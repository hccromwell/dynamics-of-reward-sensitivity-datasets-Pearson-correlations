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cc\Desktop\"/>
    </mc:Choice>
  </mc:AlternateContent>
  <xr:revisionPtr revIDLastSave="0" documentId="13_ncr:1_{7DC25E7B-FAB9-45EA-AAD1-FB400FB399B0}" xr6:coauthVersionLast="47" xr6:coauthVersionMax="47" xr10:uidLastSave="{00000000-0000-0000-0000-000000000000}"/>
  <bookViews>
    <workbookView xWindow="-19320" yWindow="-60" windowWidth="19440" windowHeight="14880" activeTab="5" xr2:uid="{00000000-000D-0000-FFFF-FFFF00000000}"/>
  </bookViews>
  <sheets>
    <sheet name="Male rat numbers" sheetId="7" r:id="rId1"/>
    <sheet name="Ad Lib and Restricted" sheetId="1" r:id="rId2"/>
    <sheet name="Restricted only" sheetId="3" r:id="rId3"/>
    <sheet name="Home Cage Restricted" sheetId="4" r:id="rId4"/>
    <sheet name="Home Cage Ad Lib" sheetId="2" r:id="rId5"/>
    <sheet name="Operant Restricted" sheetId="5" r:id="rId6"/>
    <sheet name="Trial Numbers for males OP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E5" i="5"/>
  <c r="G14" i="2" l="1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14" i="4"/>
  <c r="G13" i="4"/>
  <c r="G12" i="4"/>
  <c r="G11" i="4"/>
  <c r="G10" i="4"/>
  <c r="G9" i="4"/>
  <c r="G8" i="4"/>
  <c r="G7" i="4"/>
  <c r="G6" i="4"/>
  <c r="G5" i="4"/>
  <c r="G4" i="4"/>
  <c r="F14" i="4"/>
  <c r="F13" i="4"/>
  <c r="F12" i="4"/>
  <c r="F11" i="4"/>
  <c r="F10" i="4"/>
  <c r="F9" i="4"/>
  <c r="F8" i="4"/>
  <c r="F7" i="4"/>
  <c r="F6" i="4"/>
  <c r="F5" i="4"/>
  <c r="F4" i="4"/>
  <c r="E14" i="4"/>
  <c r="E13" i="4"/>
  <c r="E12" i="4"/>
  <c r="E11" i="4"/>
  <c r="E10" i="4"/>
  <c r="E9" i="4"/>
  <c r="E8" i="4"/>
  <c r="E7" i="4"/>
  <c r="E6" i="4"/>
  <c r="E5" i="4"/>
  <c r="E4" i="4"/>
</calcChain>
</file>

<file path=xl/sharedStrings.xml><?xml version="1.0" encoding="utf-8"?>
<sst xmlns="http://schemas.openxmlformats.org/spreadsheetml/2006/main" count="93" uniqueCount="45">
  <si>
    <t>Rat</t>
  </si>
  <si>
    <t>HomeCage Discrimination</t>
  </si>
  <si>
    <t>HomeCage IC</t>
  </si>
  <si>
    <t>Operant Discrimination</t>
  </si>
  <si>
    <t>HAdOne</t>
  </si>
  <si>
    <t>HAdTen</t>
  </si>
  <si>
    <t>HAdThirty</t>
  </si>
  <si>
    <t>HRone</t>
  </si>
  <si>
    <t>HRten</t>
  </si>
  <si>
    <t>HRthirty</t>
  </si>
  <si>
    <t>HAdPC</t>
  </si>
  <si>
    <t>HAdNC</t>
  </si>
  <si>
    <t>HRPC</t>
  </si>
  <si>
    <t>HRNC</t>
  </si>
  <si>
    <t>Oone</t>
  </si>
  <si>
    <t>Oten</t>
  </si>
  <si>
    <t>Othirty</t>
  </si>
  <si>
    <t>Licking Discrimination</t>
  </si>
  <si>
    <t>Lone</t>
  </si>
  <si>
    <t>Lten</t>
  </si>
  <si>
    <t>Lthirty</t>
  </si>
  <si>
    <t>Licking IC</t>
  </si>
  <si>
    <t>LPC</t>
  </si>
  <si>
    <t>LNC</t>
  </si>
  <si>
    <t>DS10-1</t>
  </si>
  <si>
    <t>DS30-10</t>
  </si>
  <si>
    <t>DS30-1</t>
  </si>
  <si>
    <t>OpPC</t>
  </si>
  <si>
    <t>OpNC</t>
  </si>
  <si>
    <t>NPThirty</t>
  </si>
  <si>
    <t>NP Ten</t>
  </si>
  <si>
    <t>NP One</t>
  </si>
  <si>
    <t>NP PC</t>
  </si>
  <si>
    <t>NP NC</t>
  </si>
  <si>
    <t>Rat number</t>
  </si>
  <si>
    <t>trials 1%</t>
  </si>
  <si>
    <t>trials 10</t>
  </si>
  <si>
    <t xml:space="preserve">trials 30 </t>
  </si>
  <si>
    <t>Trials PC</t>
  </si>
  <si>
    <t>Trials NC</t>
  </si>
  <si>
    <t>Sex</t>
  </si>
  <si>
    <t>females = 1</t>
  </si>
  <si>
    <t>males= 2</t>
  </si>
  <si>
    <t>Home cage Retricted Data males</t>
  </si>
  <si>
    <t>AD LIB HOME CAGE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</si>
</sst>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7808-4CC1-4678-95EC-1E4AADF06C9F}">
  <dimension ref="A1:B27"/>
  <sheetViews>
    <sheetView workbookViewId="0">
      <selection activeCell="D24" sqref="D24"/>
    </sheetView>
  </sheetViews>
  <sheetFormatPr defaultRowHeight="15" x14ac:dyDescent="0.25"/>
  <cols>
    <col min="1" max="2" width="9.140625" style="12"/>
  </cols>
  <sheetData>
    <row r="1" spans="1:2" x14ac:dyDescent="0.25">
      <c r="A1" s="12" t="s">
        <v>0</v>
      </c>
      <c r="B1" s="12" t="s">
        <v>40</v>
      </c>
    </row>
    <row r="2" spans="1:2" x14ac:dyDescent="0.25">
      <c r="A2" s="12">
        <v>1</v>
      </c>
      <c r="B2" s="12">
        <v>1</v>
      </c>
    </row>
    <row r="3" spans="1:2" x14ac:dyDescent="0.25">
      <c r="A3" s="12">
        <v>3</v>
      </c>
      <c r="B3" s="12">
        <v>1</v>
      </c>
    </row>
    <row r="4" spans="1:2" x14ac:dyDescent="0.25">
      <c r="A4" s="12">
        <v>6</v>
      </c>
      <c r="B4" s="12">
        <v>1</v>
      </c>
    </row>
    <row r="5" spans="1:2" x14ac:dyDescent="0.25">
      <c r="A5" s="12">
        <v>7</v>
      </c>
      <c r="B5" s="12">
        <v>1</v>
      </c>
    </row>
    <row r="6" spans="1:2" x14ac:dyDescent="0.25">
      <c r="A6" s="12">
        <v>9</v>
      </c>
      <c r="B6" s="12">
        <v>1</v>
      </c>
    </row>
    <row r="7" spans="1:2" x14ac:dyDescent="0.25">
      <c r="A7" s="12">
        <v>11</v>
      </c>
      <c r="B7" s="12">
        <v>1</v>
      </c>
    </row>
    <row r="8" spans="1:2" x14ac:dyDescent="0.25">
      <c r="A8" s="13">
        <v>13</v>
      </c>
      <c r="B8" s="13">
        <v>1</v>
      </c>
    </row>
    <row r="9" spans="1:2" x14ac:dyDescent="0.25">
      <c r="A9" s="13">
        <v>15</v>
      </c>
      <c r="B9" s="13">
        <v>1</v>
      </c>
    </row>
    <row r="10" spans="1:2" x14ac:dyDescent="0.25">
      <c r="A10" s="12">
        <v>17</v>
      </c>
      <c r="B10" s="12">
        <v>1</v>
      </c>
    </row>
    <row r="11" spans="1:2" x14ac:dyDescent="0.25">
      <c r="A11" s="12">
        <v>22</v>
      </c>
      <c r="B11" s="12">
        <v>1</v>
      </c>
    </row>
    <row r="12" spans="1:2" x14ac:dyDescent="0.25">
      <c r="A12" s="12">
        <v>24</v>
      </c>
      <c r="B12" s="12">
        <v>1</v>
      </c>
    </row>
    <row r="13" spans="1:2" x14ac:dyDescent="0.25">
      <c r="A13" s="12">
        <v>25</v>
      </c>
      <c r="B13" s="12">
        <v>1</v>
      </c>
    </row>
    <row r="14" spans="1:2" x14ac:dyDescent="0.25">
      <c r="A14" s="12">
        <v>2</v>
      </c>
      <c r="B14" s="12">
        <v>2</v>
      </c>
    </row>
    <row r="15" spans="1:2" x14ac:dyDescent="0.25">
      <c r="A15" s="12">
        <v>4</v>
      </c>
      <c r="B15" s="12">
        <v>2</v>
      </c>
    </row>
    <row r="16" spans="1:2" x14ac:dyDescent="0.25">
      <c r="A16" s="12">
        <v>10</v>
      </c>
      <c r="B16" s="12">
        <v>2</v>
      </c>
    </row>
    <row r="17" spans="1:2" x14ac:dyDescent="0.25">
      <c r="A17" s="12">
        <v>14</v>
      </c>
      <c r="B17" s="12">
        <v>2</v>
      </c>
    </row>
    <row r="18" spans="1:2" x14ac:dyDescent="0.25">
      <c r="A18" s="12">
        <v>16</v>
      </c>
      <c r="B18" s="12">
        <v>2</v>
      </c>
    </row>
    <row r="19" spans="1:2" x14ac:dyDescent="0.25">
      <c r="A19" s="12">
        <v>18</v>
      </c>
      <c r="B19" s="12">
        <v>2</v>
      </c>
    </row>
    <row r="20" spans="1:2" x14ac:dyDescent="0.25">
      <c r="A20" s="12">
        <v>19</v>
      </c>
      <c r="B20" s="12">
        <v>2</v>
      </c>
    </row>
    <row r="21" spans="1:2" x14ac:dyDescent="0.25">
      <c r="A21" s="12">
        <v>20</v>
      </c>
      <c r="B21" s="12">
        <v>2</v>
      </c>
    </row>
    <row r="22" spans="1:2" x14ac:dyDescent="0.25">
      <c r="A22" s="12">
        <v>21</v>
      </c>
      <c r="B22" s="12">
        <v>2</v>
      </c>
    </row>
    <row r="23" spans="1:2" x14ac:dyDescent="0.25">
      <c r="A23" s="12">
        <v>23</v>
      </c>
      <c r="B23" s="12">
        <v>2</v>
      </c>
    </row>
    <row r="24" spans="1:2" x14ac:dyDescent="0.25">
      <c r="A24" s="12">
        <v>26</v>
      </c>
      <c r="B24" s="12">
        <v>2</v>
      </c>
    </row>
    <row r="26" spans="1:2" x14ac:dyDescent="0.25">
      <c r="A26" s="12" t="s">
        <v>41</v>
      </c>
    </row>
    <row r="27" spans="1:2" x14ac:dyDescent="0.25">
      <c r="A27" s="12" t="s">
        <v>42</v>
      </c>
    </row>
  </sheetData>
  <sortState xmlns:xlrd2="http://schemas.microsoft.com/office/spreadsheetml/2017/richdata2" ref="A2:B24">
    <sortCondition ref="B2:B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workbookViewId="0">
      <selection activeCell="D23" sqref="D23"/>
    </sheetView>
  </sheetViews>
  <sheetFormatPr defaultRowHeight="15" x14ac:dyDescent="0.25"/>
  <cols>
    <col min="1" max="7" width="9.140625" style="1"/>
    <col min="12" max="22" width="9.140625" style="3"/>
  </cols>
  <sheetData>
    <row r="1" spans="1:20" x14ac:dyDescent="0.25">
      <c r="B1" s="15" t="s">
        <v>1</v>
      </c>
      <c r="C1" s="15"/>
      <c r="D1" s="15"/>
      <c r="E1" s="15"/>
      <c r="F1" s="15"/>
      <c r="G1" s="15"/>
      <c r="H1" s="16" t="s">
        <v>2</v>
      </c>
      <c r="I1" s="16"/>
      <c r="J1" s="16"/>
      <c r="K1" s="16"/>
      <c r="L1" s="16" t="s">
        <v>3</v>
      </c>
      <c r="M1" s="16"/>
      <c r="N1" s="16"/>
      <c r="O1" s="16" t="s">
        <v>17</v>
      </c>
      <c r="P1" s="16"/>
      <c r="Q1" s="16"/>
      <c r="R1" s="16" t="s">
        <v>21</v>
      </c>
      <c r="S1" s="16"/>
      <c r="T1" s="4"/>
    </row>
    <row r="2" spans="1:20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3" t="s">
        <v>18</v>
      </c>
      <c r="P2" s="3" t="s">
        <v>19</v>
      </c>
      <c r="Q2" s="3" t="s">
        <v>20</v>
      </c>
      <c r="R2" s="3" t="s">
        <v>22</v>
      </c>
      <c r="S2" s="3" t="s">
        <v>23</v>
      </c>
    </row>
    <row r="3" spans="1:20" x14ac:dyDescent="0.25">
      <c r="A3" s="12">
        <v>2</v>
      </c>
      <c r="B3" s="2"/>
      <c r="C3" s="2"/>
      <c r="D3" s="2"/>
      <c r="E3" s="2"/>
      <c r="F3" s="2"/>
      <c r="G3" s="2"/>
      <c r="L3" s="5"/>
      <c r="M3" s="5"/>
      <c r="N3" s="5"/>
      <c r="O3" s="6"/>
      <c r="P3" s="6"/>
      <c r="Q3" s="6"/>
    </row>
    <row r="4" spans="1:20" x14ac:dyDescent="0.25">
      <c r="A4" s="12">
        <v>4</v>
      </c>
      <c r="B4" s="2"/>
      <c r="C4" s="2"/>
      <c r="D4" s="2"/>
      <c r="E4" s="2"/>
      <c r="F4" s="2"/>
      <c r="G4" s="2"/>
      <c r="L4" s="5"/>
      <c r="M4" s="5"/>
      <c r="N4" s="5"/>
      <c r="O4" s="6"/>
      <c r="P4" s="6"/>
      <c r="Q4" s="6"/>
    </row>
    <row r="5" spans="1:20" x14ac:dyDescent="0.25">
      <c r="A5" s="12">
        <v>10</v>
      </c>
      <c r="B5" s="2"/>
      <c r="C5" s="2"/>
      <c r="D5" s="2"/>
      <c r="E5" s="2"/>
      <c r="F5" s="2"/>
      <c r="G5" s="2"/>
      <c r="L5" s="5"/>
      <c r="M5" s="5"/>
      <c r="N5" s="5"/>
      <c r="O5" s="6"/>
      <c r="P5" s="6"/>
      <c r="Q5" s="6"/>
    </row>
    <row r="6" spans="1:20" x14ac:dyDescent="0.25">
      <c r="A6" s="12">
        <v>14</v>
      </c>
      <c r="B6" s="2"/>
      <c r="C6" s="2"/>
      <c r="D6" s="2"/>
      <c r="E6" s="2"/>
      <c r="F6" s="2"/>
      <c r="G6" s="2"/>
      <c r="L6" s="5"/>
      <c r="M6" s="5"/>
      <c r="N6" s="5"/>
      <c r="O6" s="6"/>
      <c r="P6" s="6"/>
      <c r="Q6" s="6"/>
    </row>
    <row r="7" spans="1:20" x14ac:dyDescent="0.25">
      <c r="A7" s="12">
        <v>16</v>
      </c>
      <c r="B7" s="2"/>
      <c r="C7" s="2"/>
      <c r="D7" s="2"/>
      <c r="E7" s="2"/>
      <c r="F7" s="2"/>
      <c r="G7" s="2"/>
      <c r="L7" s="5"/>
      <c r="M7" s="5"/>
      <c r="N7" s="5"/>
      <c r="O7" s="6"/>
      <c r="P7" s="6"/>
      <c r="Q7" s="6"/>
    </row>
    <row r="8" spans="1:20" x14ac:dyDescent="0.25">
      <c r="A8" s="12">
        <v>18</v>
      </c>
      <c r="B8" s="2"/>
      <c r="C8" s="2"/>
      <c r="D8" s="2"/>
      <c r="E8" s="2"/>
      <c r="F8" s="2"/>
      <c r="G8" s="2"/>
      <c r="L8" s="5"/>
      <c r="M8" s="5"/>
      <c r="N8" s="5"/>
      <c r="O8" s="6"/>
      <c r="P8" s="6"/>
      <c r="Q8" s="6"/>
    </row>
    <row r="9" spans="1:20" x14ac:dyDescent="0.25">
      <c r="A9" s="12">
        <v>19</v>
      </c>
      <c r="B9" s="2"/>
      <c r="C9" s="2"/>
      <c r="D9" s="2"/>
      <c r="E9" s="2"/>
      <c r="F9" s="2"/>
      <c r="G9" s="2"/>
      <c r="L9" s="5"/>
      <c r="M9" s="5"/>
      <c r="N9" s="5"/>
      <c r="O9" s="6"/>
      <c r="P9" s="6"/>
      <c r="Q9" s="6"/>
    </row>
    <row r="10" spans="1:20" x14ac:dyDescent="0.25">
      <c r="A10" s="12">
        <v>20</v>
      </c>
      <c r="B10" s="2"/>
      <c r="C10" s="2"/>
      <c r="D10" s="2"/>
      <c r="E10" s="2"/>
      <c r="F10" s="2"/>
      <c r="G10" s="2"/>
      <c r="L10" s="5"/>
      <c r="M10" s="5"/>
      <c r="N10" s="5"/>
      <c r="O10" s="6"/>
      <c r="P10" s="6"/>
      <c r="Q10" s="6"/>
    </row>
    <row r="11" spans="1:20" x14ac:dyDescent="0.25">
      <c r="A11" s="12">
        <v>21</v>
      </c>
      <c r="B11" s="2"/>
      <c r="C11" s="2"/>
      <c r="D11" s="2"/>
      <c r="E11" s="2"/>
      <c r="F11" s="2"/>
      <c r="G11" s="2"/>
      <c r="L11" s="5"/>
      <c r="M11" s="5"/>
      <c r="N11" s="5"/>
      <c r="O11" s="6"/>
      <c r="P11" s="6"/>
      <c r="Q11" s="6"/>
    </row>
    <row r="12" spans="1:20" x14ac:dyDescent="0.25">
      <c r="A12" s="12">
        <v>23</v>
      </c>
      <c r="B12" s="2"/>
      <c r="C12" s="2"/>
      <c r="D12" s="2"/>
      <c r="E12" s="2"/>
      <c r="F12" s="2"/>
      <c r="G12" s="2"/>
      <c r="L12" s="5"/>
      <c r="M12" s="5"/>
      <c r="N12" s="5"/>
      <c r="O12" s="6"/>
      <c r="P12" s="6"/>
      <c r="Q12" s="6"/>
    </row>
    <row r="13" spans="1:20" x14ac:dyDescent="0.25">
      <c r="A13" s="12">
        <v>26</v>
      </c>
      <c r="B13" s="2"/>
      <c r="C13" s="2"/>
      <c r="D13" s="2"/>
      <c r="E13" s="2"/>
      <c r="F13" s="2"/>
      <c r="G13" s="2"/>
      <c r="L13" s="5"/>
      <c r="M13" s="5"/>
      <c r="N13" s="5"/>
      <c r="O13" s="6"/>
      <c r="P13" s="6"/>
      <c r="Q13" s="6"/>
    </row>
    <row r="14" spans="1:20" x14ac:dyDescent="0.25">
      <c r="B14" s="2"/>
      <c r="C14" s="2"/>
      <c r="D14" s="2"/>
      <c r="E14" s="2"/>
      <c r="F14" s="2"/>
      <c r="G14" s="2"/>
      <c r="L14" s="5"/>
      <c r="M14" s="5"/>
      <c r="N14" s="5"/>
      <c r="O14" s="6"/>
      <c r="P14" s="6"/>
      <c r="Q14" s="6"/>
    </row>
  </sheetData>
  <mergeCells count="5">
    <mergeCell ref="B1:G1"/>
    <mergeCell ref="H1:K1"/>
    <mergeCell ref="L1:N1"/>
    <mergeCell ref="O1:Q1"/>
    <mergeCell ref="R1:S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642B-EF39-4935-9586-4CADF631D36C}">
  <dimension ref="A1:N14"/>
  <sheetViews>
    <sheetView workbookViewId="0">
      <selection activeCell="A14" sqref="A14"/>
    </sheetView>
  </sheetViews>
  <sheetFormatPr defaultRowHeight="15" x14ac:dyDescent="0.25"/>
  <sheetData>
    <row r="1" spans="1:14" x14ac:dyDescent="0.25">
      <c r="A1" s="7"/>
      <c r="B1" s="7"/>
      <c r="C1" s="7"/>
      <c r="D1" s="7"/>
      <c r="G1" s="16" t="s">
        <v>3</v>
      </c>
      <c r="H1" s="16"/>
      <c r="I1" s="16"/>
      <c r="J1" s="16" t="s">
        <v>17</v>
      </c>
      <c r="K1" s="16"/>
      <c r="L1" s="16"/>
      <c r="M1" s="16" t="s">
        <v>21</v>
      </c>
      <c r="N1" s="16"/>
    </row>
    <row r="2" spans="1:14" x14ac:dyDescent="0.25">
      <c r="A2" s="7" t="s">
        <v>0</v>
      </c>
      <c r="B2" s="7" t="s">
        <v>7</v>
      </c>
      <c r="C2" s="7" t="s">
        <v>8</v>
      </c>
      <c r="D2" s="7" t="s">
        <v>9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8" t="s">
        <v>18</v>
      </c>
      <c r="K2" s="8" t="s">
        <v>19</v>
      </c>
      <c r="L2" s="8" t="s">
        <v>20</v>
      </c>
      <c r="M2" s="8" t="s">
        <v>22</v>
      </c>
      <c r="N2" s="8" t="s">
        <v>23</v>
      </c>
    </row>
    <row r="3" spans="1:14" x14ac:dyDescent="0.25">
      <c r="A3" s="12">
        <v>2</v>
      </c>
      <c r="B3" s="2"/>
      <c r="C3" s="2"/>
      <c r="D3" s="2"/>
      <c r="G3" s="5"/>
      <c r="H3" s="5"/>
      <c r="I3" s="5"/>
      <c r="J3" s="6"/>
      <c r="K3" s="6"/>
      <c r="L3" s="6"/>
      <c r="M3" s="8"/>
      <c r="N3" s="8"/>
    </row>
    <row r="4" spans="1:14" x14ac:dyDescent="0.25">
      <c r="A4" s="12">
        <v>4</v>
      </c>
      <c r="B4" s="2"/>
      <c r="C4" s="2"/>
      <c r="D4" s="2"/>
      <c r="G4" s="5"/>
      <c r="H4" s="5"/>
      <c r="I4" s="5"/>
      <c r="J4" s="6"/>
      <c r="K4" s="6"/>
      <c r="L4" s="6"/>
      <c r="M4" s="8"/>
      <c r="N4" s="8"/>
    </row>
    <row r="5" spans="1:14" x14ac:dyDescent="0.25">
      <c r="A5" s="12">
        <v>10</v>
      </c>
      <c r="B5" s="2"/>
      <c r="C5" s="2"/>
      <c r="D5" s="2"/>
      <c r="G5" s="5"/>
      <c r="H5" s="5"/>
      <c r="I5" s="5"/>
      <c r="J5" s="6"/>
      <c r="K5" s="6"/>
      <c r="L5" s="6"/>
      <c r="M5" s="8"/>
      <c r="N5" s="8"/>
    </row>
    <row r="6" spans="1:14" x14ac:dyDescent="0.25">
      <c r="A6" s="12">
        <v>14</v>
      </c>
      <c r="B6" s="2"/>
      <c r="C6" s="2"/>
      <c r="D6" s="2"/>
      <c r="G6" s="5"/>
      <c r="H6" s="5"/>
      <c r="I6" s="5"/>
      <c r="J6" s="6"/>
      <c r="K6" s="6"/>
      <c r="L6" s="6"/>
      <c r="M6" s="8"/>
      <c r="N6" s="8"/>
    </row>
    <row r="7" spans="1:14" x14ac:dyDescent="0.25">
      <c r="A7" s="12">
        <v>16</v>
      </c>
      <c r="B7" s="2"/>
      <c r="C7" s="2"/>
      <c r="D7" s="2"/>
      <c r="G7" s="5"/>
      <c r="H7" s="5"/>
      <c r="I7" s="5"/>
      <c r="J7" s="6"/>
      <c r="K7" s="6"/>
      <c r="L7" s="6"/>
      <c r="M7" s="8"/>
      <c r="N7" s="8"/>
    </row>
    <row r="8" spans="1:14" x14ac:dyDescent="0.25">
      <c r="A8" s="12">
        <v>18</v>
      </c>
      <c r="B8" s="2"/>
      <c r="C8" s="2"/>
      <c r="D8" s="2"/>
      <c r="G8" s="5"/>
      <c r="H8" s="5"/>
      <c r="I8" s="5"/>
      <c r="J8" s="6"/>
      <c r="K8" s="6"/>
      <c r="L8" s="6"/>
      <c r="M8" s="8"/>
      <c r="N8" s="8"/>
    </row>
    <row r="9" spans="1:14" x14ac:dyDescent="0.25">
      <c r="A9" s="12">
        <v>19</v>
      </c>
      <c r="B9" s="2"/>
      <c r="C9" s="2"/>
      <c r="D9" s="2"/>
      <c r="G9" s="5"/>
      <c r="H9" s="5"/>
      <c r="I9" s="5"/>
      <c r="J9" s="6"/>
      <c r="K9" s="6"/>
      <c r="L9" s="6"/>
      <c r="M9" s="8"/>
      <c r="N9" s="8"/>
    </row>
    <row r="10" spans="1:14" x14ac:dyDescent="0.25">
      <c r="A10" s="12">
        <v>20</v>
      </c>
      <c r="B10" s="2"/>
      <c r="C10" s="2"/>
      <c r="D10" s="2"/>
      <c r="G10" s="5"/>
      <c r="H10" s="5"/>
      <c r="I10" s="5"/>
      <c r="J10" s="6"/>
      <c r="K10" s="6"/>
      <c r="L10" s="6"/>
      <c r="M10" s="8"/>
      <c r="N10" s="8"/>
    </row>
    <row r="11" spans="1:14" x14ac:dyDescent="0.25">
      <c r="A11" s="12">
        <v>21</v>
      </c>
      <c r="B11" s="2"/>
      <c r="C11" s="2"/>
      <c r="D11" s="2"/>
      <c r="G11" s="5"/>
      <c r="H11" s="5"/>
      <c r="I11" s="5"/>
      <c r="J11" s="6"/>
      <c r="K11" s="6"/>
      <c r="L11" s="6"/>
      <c r="M11" s="8"/>
      <c r="N11" s="8"/>
    </row>
    <row r="12" spans="1:14" x14ac:dyDescent="0.25">
      <c r="A12" s="12">
        <v>23</v>
      </c>
      <c r="B12" s="2"/>
      <c r="C12" s="2"/>
      <c r="D12" s="2"/>
      <c r="G12" s="5"/>
      <c r="H12" s="5"/>
      <c r="I12" s="5"/>
      <c r="J12" s="6"/>
      <c r="K12" s="6"/>
      <c r="L12" s="6"/>
      <c r="M12" s="8"/>
      <c r="N12" s="8"/>
    </row>
    <row r="13" spans="1:14" x14ac:dyDescent="0.25">
      <c r="A13" s="12">
        <v>26</v>
      </c>
      <c r="B13" s="2"/>
      <c r="C13" s="2"/>
      <c r="D13" s="2"/>
      <c r="G13" s="5"/>
      <c r="H13" s="5"/>
      <c r="I13" s="5"/>
      <c r="J13" s="6"/>
      <c r="K13" s="6"/>
      <c r="L13" s="6"/>
      <c r="M13" s="8"/>
      <c r="N13" s="8"/>
    </row>
    <row r="14" spans="1:14" x14ac:dyDescent="0.25">
      <c r="A14" s="7"/>
      <c r="B14" s="2"/>
      <c r="C14" s="2"/>
      <c r="D14" s="2"/>
      <c r="G14" s="5"/>
      <c r="H14" s="5"/>
      <c r="I14" s="5"/>
      <c r="J14" s="6"/>
      <c r="K14" s="6"/>
      <c r="L14" s="6"/>
      <c r="M14" s="8"/>
      <c r="N14" s="8"/>
    </row>
  </sheetData>
  <mergeCells count="3">
    <mergeCell ref="G1:I1"/>
    <mergeCell ref="J1:L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8484-79EA-40B4-B61D-878646FD1A20}">
  <dimension ref="A1:I15"/>
  <sheetViews>
    <sheetView workbookViewId="0">
      <selection activeCell="J27" sqref="J27"/>
    </sheetView>
  </sheetViews>
  <sheetFormatPr defaultRowHeight="15" x14ac:dyDescent="0.25"/>
  <sheetData>
    <row r="1" spans="1:9" x14ac:dyDescent="0.25">
      <c r="A1" t="s">
        <v>43</v>
      </c>
    </row>
    <row r="3" spans="1:9" x14ac:dyDescent="0.25">
      <c r="A3" s="9" t="s">
        <v>0</v>
      </c>
      <c r="B3" s="9" t="s">
        <v>7</v>
      </c>
      <c r="C3" s="9" t="s">
        <v>8</v>
      </c>
      <c r="D3" s="9" t="s">
        <v>9</v>
      </c>
      <c r="E3" s="9" t="s">
        <v>24</v>
      </c>
      <c r="F3" s="9" t="s">
        <v>25</v>
      </c>
      <c r="G3" s="9" t="s">
        <v>26</v>
      </c>
      <c r="H3" s="9" t="s">
        <v>12</v>
      </c>
      <c r="I3" s="9" t="s">
        <v>13</v>
      </c>
    </row>
    <row r="4" spans="1:9" ht="15.75" x14ac:dyDescent="0.25">
      <c r="A4" s="12">
        <v>2</v>
      </c>
      <c r="B4" s="14">
        <v>2.5999999999999999E-2</v>
      </c>
      <c r="C4" s="14">
        <v>0.40100000000000002</v>
      </c>
      <c r="D4" s="14">
        <v>1.3660000000000001</v>
      </c>
      <c r="E4" s="2">
        <f>(C4-B4)</f>
        <v>0.375</v>
      </c>
      <c r="F4" s="2">
        <f>(D4-C4)</f>
        <v>0.96500000000000008</v>
      </c>
      <c r="G4" s="2">
        <f>(D4-B4)</f>
        <v>1.34</v>
      </c>
      <c r="H4">
        <v>4.2999999999999983E-2</v>
      </c>
      <c r="I4">
        <v>8.4000000000000019E-2</v>
      </c>
    </row>
    <row r="5" spans="1:9" ht="15.75" x14ac:dyDescent="0.25">
      <c r="A5" s="12">
        <v>4</v>
      </c>
      <c r="B5" s="14">
        <v>1.7000000000000001E-2</v>
      </c>
      <c r="C5" s="14">
        <v>0.35799999999999998</v>
      </c>
      <c r="D5" s="14">
        <v>1.2170000000000001</v>
      </c>
      <c r="E5" s="2">
        <f t="shared" ref="E5:E14" si="0">(C5-B5)</f>
        <v>0.34099999999999997</v>
      </c>
      <c r="F5" s="2">
        <f t="shared" ref="F5:F14" si="1">(D5-C5)</f>
        <v>0.8590000000000001</v>
      </c>
      <c r="G5" s="2">
        <f t="shared" ref="G5:G14" si="2">(D5-B5)</f>
        <v>1.2000000000000002</v>
      </c>
      <c r="H5">
        <v>2.7000000000000024E-2</v>
      </c>
      <c r="I5">
        <v>-1.100000000000001E-2</v>
      </c>
    </row>
    <row r="6" spans="1:9" ht="15.75" x14ac:dyDescent="0.25">
      <c r="A6" s="12">
        <v>10</v>
      </c>
      <c r="B6" s="14">
        <v>8.9999999999999993E-3</v>
      </c>
      <c r="C6" s="14">
        <v>0.32200000000000001</v>
      </c>
      <c r="D6" s="14">
        <v>1.1910000000000001</v>
      </c>
      <c r="E6" s="2">
        <f t="shared" si="0"/>
        <v>0.313</v>
      </c>
      <c r="F6" s="2">
        <f t="shared" si="1"/>
        <v>0.86899999999999999</v>
      </c>
      <c r="G6" s="2">
        <f t="shared" si="2"/>
        <v>1.1820000000000002</v>
      </c>
      <c r="H6">
        <v>4.0999999999999981E-2</v>
      </c>
      <c r="I6">
        <v>-5.0000000000000044E-3</v>
      </c>
    </row>
    <row r="7" spans="1:9" ht="15.75" x14ac:dyDescent="0.25">
      <c r="A7" s="12">
        <v>14</v>
      </c>
      <c r="B7" s="14">
        <v>2.3E-2</v>
      </c>
      <c r="C7" s="14">
        <v>0.29199999999999998</v>
      </c>
      <c r="D7" s="14">
        <v>0.92400000000000004</v>
      </c>
      <c r="E7" s="2">
        <f t="shared" si="0"/>
        <v>0.26899999999999996</v>
      </c>
      <c r="F7" s="2">
        <f t="shared" si="1"/>
        <v>0.63200000000000012</v>
      </c>
      <c r="G7" s="2">
        <f t="shared" si="2"/>
        <v>0.90100000000000002</v>
      </c>
      <c r="H7">
        <v>6.9000000000000006E-2</v>
      </c>
      <c r="I7">
        <v>1.699999999999996E-2</v>
      </c>
    </row>
    <row r="8" spans="1:9" ht="15.75" x14ac:dyDescent="0.25">
      <c r="A8" s="12">
        <v>16</v>
      </c>
      <c r="B8" s="14">
        <v>1.7000000000000001E-2</v>
      </c>
      <c r="C8" s="14">
        <v>0.35799999999999998</v>
      </c>
      <c r="D8" s="14">
        <v>0.94799999999999995</v>
      </c>
      <c r="E8" s="2">
        <f t="shared" si="0"/>
        <v>0.34099999999999997</v>
      </c>
      <c r="F8" s="2">
        <f t="shared" si="1"/>
        <v>0.59</v>
      </c>
      <c r="G8" s="2">
        <f t="shared" si="2"/>
        <v>0.93099999999999994</v>
      </c>
      <c r="H8">
        <v>-3.2999999999999974E-2</v>
      </c>
      <c r="I8">
        <v>4.0999999999999981E-2</v>
      </c>
    </row>
    <row r="9" spans="1:9" ht="15.75" x14ac:dyDescent="0.25">
      <c r="A9" s="12">
        <v>18</v>
      </c>
      <c r="B9" s="14">
        <v>7.0000000000000001E-3</v>
      </c>
      <c r="C9" s="14">
        <v>0.40400000000000003</v>
      </c>
      <c r="D9" s="14">
        <v>1.1859999999999999</v>
      </c>
      <c r="E9" s="2">
        <f t="shared" si="0"/>
        <v>0.39700000000000002</v>
      </c>
      <c r="F9" s="2">
        <f t="shared" si="1"/>
        <v>0.78199999999999992</v>
      </c>
      <c r="G9" s="2">
        <f t="shared" si="2"/>
        <v>1.179</v>
      </c>
      <c r="H9">
        <v>-1.6000000000000014E-2</v>
      </c>
      <c r="I9">
        <v>9.000000000000008E-3</v>
      </c>
    </row>
    <row r="10" spans="1:9" ht="15.75" x14ac:dyDescent="0.25">
      <c r="A10" s="12">
        <v>19</v>
      </c>
      <c r="B10" s="14">
        <v>7.0000000000000001E-3</v>
      </c>
      <c r="C10" s="14">
        <v>0.44800000000000001</v>
      </c>
      <c r="D10" s="14">
        <v>1.129</v>
      </c>
      <c r="E10" s="2">
        <f t="shared" si="0"/>
        <v>0.441</v>
      </c>
      <c r="F10" s="2">
        <f t="shared" si="1"/>
        <v>0.68100000000000005</v>
      </c>
      <c r="G10" s="2">
        <f t="shared" si="2"/>
        <v>1.1220000000000001</v>
      </c>
      <c r="H10">
        <v>-4.0000000000000036E-3</v>
      </c>
      <c r="I10">
        <v>5.6999999999999995E-2</v>
      </c>
    </row>
    <row r="11" spans="1:9" ht="15.75" x14ac:dyDescent="0.25">
      <c r="A11" s="12">
        <v>20</v>
      </c>
      <c r="B11" s="14">
        <v>1.2E-2</v>
      </c>
      <c r="C11" s="14">
        <v>0.41599999999999998</v>
      </c>
      <c r="D11" s="14">
        <v>1.117</v>
      </c>
      <c r="E11" s="2">
        <f t="shared" si="0"/>
        <v>0.40399999999999997</v>
      </c>
      <c r="F11" s="2">
        <f t="shared" si="1"/>
        <v>0.70100000000000007</v>
      </c>
      <c r="G11" s="2">
        <f t="shared" si="2"/>
        <v>1.105</v>
      </c>
      <c r="H11">
        <v>0.49600000000000005</v>
      </c>
      <c r="I11">
        <v>-3.1000000000000028E-2</v>
      </c>
    </row>
    <row r="12" spans="1:9" ht="15.75" x14ac:dyDescent="0.25">
      <c r="A12" s="12">
        <v>21</v>
      </c>
      <c r="B12" s="14">
        <v>7.0000000000000001E-3</v>
      </c>
      <c r="C12" s="14">
        <v>0.34699999999999998</v>
      </c>
      <c r="D12" s="14">
        <v>1.0660000000000001</v>
      </c>
      <c r="E12" s="2">
        <f t="shared" si="0"/>
        <v>0.33999999999999997</v>
      </c>
      <c r="F12" s="2">
        <f t="shared" si="1"/>
        <v>0.71900000000000008</v>
      </c>
      <c r="G12" s="2">
        <f t="shared" si="2"/>
        <v>1.0590000000000002</v>
      </c>
      <c r="H12">
        <v>3.400000000000003E-2</v>
      </c>
      <c r="I12">
        <v>1.2999999999999956E-2</v>
      </c>
    </row>
    <row r="13" spans="1:9" ht="15.75" x14ac:dyDescent="0.25">
      <c r="A13" s="12">
        <v>23</v>
      </c>
      <c r="B13" s="14">
        <v>2.4E-2</v>
      </c>
      <c r="C13" s="14">
        <v>0.374</v>
      </c>
      <c r="D13" s="14">
        <v>1.1830000000000001</v>
      </c>
      <c r="E13" s="2">
        <f t="shared" si="0"/>
        <v>0.35</v>
      </c>
      <c r="F13" s="2">
        <f t="shared" si="1"/>
        <v>0.80900000000000005</v>
      </c>
      <c r="G13" s="2">
        <f t="shared" si="2"/>
        <v>1.159</v>
      </c>
      <c r="H13">
        <v>-1.0000000000000009E-2</v>
      </c>
      <c r="I13">
        <v>6.4000000000000001E-2</v>
      </c>
    </row>
    <row r="14" spans="1:9" ht="15.75" x14ac:dyDescent="0.25">
      <c r="A14" s="12">
        <v>26</v>
      </c>
      <c r="B14" s="14">
        <v>0.01</v>
      </c>
      <c r="C14" s="14">
        <v>0.35899999999999999</v>
      </c>
      <c r="D14" s="14">
        <v>1.4159999999999999</v>
      </c>
      <c r="E14" s="2">
        <f t="shared" si="0"/>
        <v>0.34899999999999998</v>
      </c>
      <c r="F14" s="2">
        <f t="shared" si="1"/>
        <v>1.0569999999999999</v>
      </c>
      <c r="G14" s="2">
        <f t="shared" si="2"/>
        <v>1.4059999999999999</v>
      </c>
      <c r="H14">
        <v>5.0000000000000044E-3</v>
      </c>
      <c r="I14">
        <v>0.10099999999999998</v>
      </c>
    </row>
    <row r="15" spans="1:9" ht="15.75" x14ac:dyDescent="0.25">
      <c r="A15" s="9"/>
      <c r="B15" s="14"/>
      <c r="C15" s="14"/>
      <c r="D15" s="14"/>
      <c r="E15" s="2"/>
      <c r="F15" s="2"/>
      <c r="G15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6656-5C9E-40D0-A36C-FA4F0E18F92D}">
  <dimension ref="A1:I15"/>
  <sheetViews>
    <sheetView workbookViewId="0">
      <selection activeCell="F24" sqref="F24"/>
    </sheetView>
  </sheetViews>
  <sheetFormatPr defaultRowHeight="15" x14ac:dyDescent="0.25"/>
  <cols>
    <col min="1" max="1" width="29.7109375" customWidth="1"/>
  </cols>
  <sheetData>
    <row r="1" spans="1:9" x14ac:dyDescent="0.25">
      <c r="A1" s="7" t="s">
        <v>44</v>
      </c>
      <c r="B1" s="7"/>
      <c r="C1" s="7"/>
      <c r="D1" s="7"/>
      <c r="E1" s="9"/>
      <c r="F1" s="9"/>
      <c r="G1" s="9"/>
      <c r="H1" s="7"/>
      <c r="I1" s="7"/>
    </row>
    <row r="2" spans="1:9" x14ac:dyDescent="0.25">
      <c r="A2" s="7"/>
      <c r="B2" s="2"/>
      <c r="C2" s="2"/>
      <c r="D2" s="2"/>
      <c r="E2" s="2"/>
      <c r="F2" s="2"/>
      <c r="G2" s="2"/>
    </row>
    <row r="3" spans="1:9" x14ac:dyDescent="0.25">
      <c r="A3" s="9" t="s">
        <v>0</v>
      </c>
      <c r="B3" s="9" t="s">
        <v>4</v>
      </c>
      <c r="C3" s="9" t="s">
        <v>5</v>
      </c>
      <c r="D3" s="9" t="s">
        <v>6</v>
      </c>
      <c r="E3" s="9" t="s">
        <v>24</v>
      </c>
      <c r="F3" s="9" t="s">
        <v>25</v>
      </c>
      <c r="G3" s="9" t="s">
        <v>26</v>
      </c>
      <c r="H3" s="9" t="s">
        <v>10</v>
      </c>
      <c r="I3" s="9" t="s">
        <v>11</v>
      </c>
    </row>
    <row r="4" spans="1:9" ht="15.75" x14ac:dyDescent="0.25">
      <c r="A4" s="12">
        <v>2</v>
      </c>
      <c r="B4" s="14">
        <v>1.2E-2</v>
      </c>
      <c r="C4" s="14">
        <v>0.313</v>
      </c>
      <c r="D4" s="14">
        <v>1.0640000000000001</v>
      </c>
      <c r="E4" s="2">
        <f>(C4-B4)</f>
        <v>0.30099999999999999</v>
      </c>
      <c r="F4" s="2">
        <f>(D4-C4)</f>
        <v>0.75100000000000011</v>
      </c>
      <c r="G4" s="2">
        <f>(D4-B4)</f>
        <v>1.052</v>
      </c>
      <c r="H4">
        <v>9.4999999999999973E-2</v>
      </c>
      <c r="I4">
        <v>-8.1000000000000016E-2</v>
      </c>
    </row>
    <row r="5" spans="1:9" ht="15.75" x14ac:dyDescent="0.25">
      <c r="A5" s="12">
        <v>4</v>
      </c>
      <c r="B5" s="14">
        <v>8.9999999999999993E-3</v>
      </c>
      <c r="C5" s="14">
        <v>0.26200000000000001</v>
      </c>
      <c r="D5" s="14">
        <v>0.96799999999999997</v>
      </c>
      <c r="E5" s="2">
        <f t="shared" ref="E5:F14" si="0">(C5-B5)</f>
        <v>0.253</v>
      </c>
      <c r="F5" s="2">
        <f t="shared" si="0"/>
        <v>0.70599999999999996</v>
      </c>
      <c r="G5" s="2">
        <f t="shared" ref="G5:G14" si="1">(D5-B5)</f>
        <v>0.95899999999999996</v>
      </c>
      <c r="H5">
        <v>1.7000000000000015E-2</v>
      </c>
      <c r="I5">
        <v>3.9000000000000007E-2</v>
      </c>
    </row>
    <row r="6" spans="1:9" ht="15.75" x14ac:dyDescent="0.25">
      <c r="A6" s="12">
        <v>10</v>
      </c>
      <c r="B6" s="14">
        <v>0</v>
      </c>
      <c r="C6" s="14">
        <v>0.37</v>
      </c>
      <c r="D6" s="14">
        <v>1.1020000000000001</v>
      </c>
      <c r="E6" s="2">
        <f t="shared" si="0"/>
        <v>0.37</v>
      </c>
      <c r="F6" s="2">
        <f t="shared" si="0"/>
        <v>0.7320000000000001</v>
      </c>
      <c r="G6" s="2">
        <f t="shared" si="1"/>
        <v>1.1020000000000001</v>
      </c>
      <c r="H6">
        <v>-2.200000000000002E-2</v>
      </c>
      <c r="I6">
        <v>7.2000000000000008E-2</v>
      </c>
    </row>
    <row r="7" spans="1:9" ht="15.75" x14ac:dyDescent="0.25">
      <c r="A7" s="12">
        <v>14</v>
      </c>
      <c r="B7" s="14">
        <v>0</v>
      </c>
      <c r="C7" s="14">
        <v>0.28000000000000003</v>
      </c>
      <c r="D7" s="14">
        <v>0.89900000000000002</v>
      </c>
      <c r="E7" s="2">
        <f t="shared" si="0"/>
        <v>0.28000000000000003</v>
      </c>
      <c r="F7" s="2">
        <f t="shared" si="0"/>
        <v>0.61899999999999999</v>
      </c>
      <c r="G7" s="2">
        <f t="shared" si="1"/>
        <v>0.89900000000000002</v>
      </c>
      <c r="H7">
        <v>5.6999999999999995E-2</v>
      </c>
      <c r="I7">
        <v>0.17700000000000005</v>
      </c>
    </row>
    <row r="8" spans="1:9" ht="15.75" x14ac:dyDescent="0.25">
      <c r="A8" s="12">
        <v>16</v>
      </c>
      <c r="B8" s="14">
        <v>4.0000000000000001E-3</v>
      </c>
      <c r="C8" s="14">
        <v>0.247</v>
      </c>
      <c r="D8" s="14">
        <v>0.78400000000000003</v>
      </c>
      <c r="E8" s="2">
        <f t="shared" si="0"/>
        <v>0.24299999999999999</v>
      </c>
      <c r="F8" s="2">
        <f t="shared" si="0"/>
        <v>0.53700000000000003</v>
      </c>
      <c r="G8" s="2">
        <f t="shared" si="1"/>
        <v>0.78</v>
      </c>
      <c r="H8">
        <v>0</v>
      </c>
      <c r="I8">
        <v>1.4999999999999986E-2</v>
      </c>
    </row>
    <row r="9" spans="1:9" ht="15.75" x14ac:dyDescent="0.25">
      <c r="A9" s="12">
        <v>18</v>
      </c>
      <c r="B9" s="14">
        <v>1.4999999999999999E-2</v>
      </c>
      <c r="C9" s="14">
        <v>0.35199999999999998</v>
      </c>
      <c r="D9" s="14">
        <v>0.88500000000000001</v>
      </c>
      <c r="E9" s="2">
        <f t="shared" si="0"/>
        <v>0.33699999999999997</v>
      </c>
      <c r="F9" s="2">
        <f t="shared" si="0"/>
        <v>0.53300000000000003</v>
      </c>
      <c r="G9" s="2">
        <f t="shared" si="1"/>
        <v>0.87</v>
      </c>
      <c r="H9">
        <v>-4.1999999999999982E-2</v>
      </c>
      <c r="I9">
        <v>0.06</v>
      </c>
    </row>
    <row r="10" spans="1:9" ht="15.75" x14ac:dyDescent="0.25">
      <c r="A10" s="12">
        <v>19</v>
      </c>
      <c r="B10" s="14">
        <v>2E-3</v>
      </c>
      <c r="C10" s="14">
        <v>0.35199999999999998</v>
      </c>
      <c r="D10" s="14">
        <v>0.872</v>
      </c>
      <c r="E10" s="2">
        <f t="shared" si="0"/>
        <v>0.35</v>
      </c>
      <c r="F10" s="2">
        <f t="shared" si="0"/>
        <v>0.52</v>
      </c>
      <c r="G10" s="2">
        <f t="shared" si="1"/>
        <v>0.87</v>
      </c>
      <c r="H10">
        <v>-8.3999999999999964E-2</v>
      </c>
      <c r="I10">
        <v>8.0999999999999961E-2</v>
      </c>
    </row>
    <row r="11" spans="1:9" ht="15.75" x14ac:dyDescent="0.25">
      <c r="A11" s="12">
        <v>20</v>
      </c>
      <c r="B11" s="14">
        <v>1.0999999999999999E-2</v>
      </c>
      <c r="C11" s="14">
        <v>0.33300000000000002</v>
      </c>
      <c r="D11" s="14">
        <v>1.0529999999999999</v>
      </c>
      <c r="E11" s="2">
        <f t="shared" si="0"/>
        <v>0.32200000000000001</v>
      </c>
      <c r="F11" s="2">
        <f t="shared" si="0"/>
        <v>0.72</v>
      </c>
      <c r="G11" s="2">
        <f t="shared" si="1"/>
        <v>1.042</v>
      </c>
      <c r="H11">
        <v>-0.11200000000000002</v>
      </c>
      <c r="I11">
        <v>-1.3999999999999957E-2</v>
      </c>
    </row>
    <row r="12" spans="1:9" ht="15.75" x14ac:dyDescent="0.25">
      <c r="A12" s="12">
        <v>21</v>
      </c>
      <c r="B12" s="14">
        <v>8.9999999999999993E-3</v>
      </c>
      <c r="C12" s="14">
        <v>0.254</v>
      </c>
      <c r="D12" s="14">
        <v>0.93100000000000005</v>
      </c>
      <c r="E12" s="2">
        <f t="shared" si="0"/>
        <v>0.245</v>
      </c>
      <c r="F12" s="2">
        <f t="shared" si="0"/>
        <v>0.67700000000000005</v>
      </c>
      <c r="G12" s="2">
        <f t="shared" si="1"/>
        <v>0.92200000000000004</v>
      </c>
      <c r="H12">
        <v>0</v>
      </c>
      <c r="I12">
        <v>2.0000000000000018E-3</v>
      </c>
    </row>
    <row r="13" spans="1:9" ht="15.75" x14ac:dyDescent="0.25">
      <c r="A13" s="12">
        <v>23</v>
      </c>
      <c r="B13" s="14">
        <v>3.0000000000000001E-3</v>
      </c>
      <c r="C13" s="14">
        <v>0.25</v>
      </c>
      <c r="D13" s="14">
        <v>0.752</v>
      </c>
      <c r="E13" s="2">
        <f t="shared" si="0"/>
        <v>0.247</v>
      </c>
      <c r="F13" s="2">
        <f t="shared" si="0"/>
        <v>0.502</v>
      </c>
      <c r="G13" s="2">
        <f t="shared" si="1"/>
        <v>0.749</v>
      </c>
      <c r="H13">
        <v>-1.999999999999999E-2</v>
      </c>
      <c r="I13">
        <v>9.5000000000000001E-2</v>
      </c>
    </row>
    <row r="14" spans="1:9" ht="15.75" x14ac:dyDescent="0.25">
      <c r="A14" s="12">
        <v>26</v>
      </c>
      <c r="B14" s="14">
        <v>0</v>
      </c>
      <c r="C14" s="14">
        <v>5.1999999999999998E-2</v>
      </c>
      <c r="D14" s="14">
        <v>0.56899999999999995</v>
      </c>
      <c r="E14" s="2">
        <f t="shared" si="0"/>
        <v>5.1999999999999998E-2</v>
      </c>
      <c r="F14" s="2">
        <f t="shared" si="0"/>
        <v>0.5169999999999999</v>
      </c>
      <c r="G14" s="2">
        <f t="shared" si="1"/>
        <v>0.56899999999999995</v>
      </c>
      <c r="H14">
        <v>1.7000000000000008E-2</v>
      </c>
      <c r="I14">
        <v>-1.8000000000000009E-2</v>
      </c>
    </row>
    <row r="15" spans="1:9" ht="15.75" x14ac:dyDescent="0.25">
      <c r="A15" s="9"/>
      <c r="B15" s="14"/>
      <c r="C15" s="14"/>
      <c r="D15" s="14"/>
      <c r="E15" s="2"/>
      <c r="F15" s="2"/>
      <c r="G15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1403-F8EA-468F-85FB-419059B06202}">
  <dimension ref="A1:S16"/>
  <sheetViews>
    <sheetView tabSelected="1" workbookViewId="0">
      <selection activeCell="F31" sqref="F31"/>
    </sheetView>
  </sheetViews>
  <sheetFormatPr defaultRowHeight="15" x14ac:dyDescent="0.25"/>
  <sheetData>
    <row r="1" spans="1:19" x14ac:dyDescent="0.25">
      <c r="A1" s="9"/>
      <c r="B1" s="9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9" x14ac:dyDescent="0.25">
      <c r="A3" s="9"/>
      <c r="B3" s="10" t="s">
        <v>3</v>
      </c>
      <c r="C3" s="10"/>
      <c r="D3" s="10"/>
      <c r="E3" s="10"/>
      <c r="F3" s="10"/>
      <c r="G3" s="10"/>
      <c r="H3" s="10"/>
      <c r="I3" s="10"/>
      <c r="J3" s="16" t="s">
        <v>17</v>
      </c>
      <c r="K3" s="16"/>
      <c r="L3" s="16"/>
      <c r="M3" s="16" t="s">
        <v>21</v>
      </c>
      <c r="N3" s="16"/>
      <c r="O3" s="16"/>
      <c r="P3" s="16"/>
      <c r="Q3" s="16"/>
      <c r="R3" s="16"/>
      <c r="S3" s="16"/>
    </row>
    <row r="4" spans="1:19" x14ac:dyDescent="0.25">
      <c r="A4" s="9" t="s">
        <v>0</v>
      </c>
      <c r="B4" s="9" t="s">
        <v>14</v>
      </c>
      <c r="C4" s="9" t="s">
        <v>15</v>
      </c>
      <c r="D4" s="9" t="s">
        <v>16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10" t="s">
        <v>18</v>
      </c>
      <c r="K4" s="10" t="s">
        <v>19</v>
      </c>
      <c r="L4" s="10" t="s">
        <v>20</v>
      </c>
      <c r="M4" s="10" t="s">
        <v>22</v>
      </c>
      <c r="N4" s="10" t="s">
        <v>23</v>
      </c>
      <c r="O4" s="10" t="s">
        <v>31</v>
      </c>
      <c r="P4" s="10" t="s">
        <v>30</v>
      </c>
      <c r="Q4" s="10" t="s">
        <v>29</v>
      </c>
      <c r="R4" s="10" t="s">
        <v>32</v>
      </c>
      <c r="S4" s="10" t="s">
        <v>33</v>
      </c>
    </row>
    <row r="5" spans="1:19" x14ac:dyDescent="0.25">
      <c r="A5" s="12">
        <v>2</v>
      </c>
      <c r="B5">
        <v>1.6</v>
      </c>
      <c r="C5">
        <v>0.8</v>
      </c>
      <c r="D5">
        <v>1</v>
      </c>
      <c r="E5">
        <f>(C5-B5)</f>
        <v>-0.8</v>
      </c>
      <c r="F5">
        <f>(D5-C5)</f>
        <v>0.19999999999999996</v>
      </c>
      <c r="G5">
        <f>(D5-B5)</f>
        <v>-0.60000000000000009</v>
      </c>
      <c r="H5" s="5">
        <v>0.2</v>
      </c>
      <c r="I5" s="5">
        <v>-1</v>
      </c>
      <c r="J5" s="6">
        <v>3.411</v>
      </c>
      <c r="K5" s="6">
        <v>2.8440000000000003</v>
      </c>
      <c r="L5" s="6">
        <v>2.7</v>
      </c>
      <c r="M5" s="10">
        <v>-11.490000000000002</v>
      </c>
      <c r="N5" s="10">
        <v>-4.7199999999999989</v>
      </c>
      <c r="O5" s="6">
        <v>99.85</v>
      </c>
      <c r="P5" s="6">
        <v>32.4</v>
      </c>
      <c r="Q5" s="6">
        <v>29.6</v>
      </c>
      <c r="R5" s="10">
        <v>23.6</v>
      </c>
      <c r="S5" s="10">
        <v>60.9</v>
      </c>
    </row>
    <row r="6" spans="1:19" x14ac:dyDescent="0.25">
      <c r="A6" s="12">
        <v>4</v>
      </c>
      <c r="B6">
        <v>0.6</v>
      </c>
      <c r="C6">
        <v>2.2000000000000002</v>
      </c>
      <c r="D6">
        <v>2.2000000000000002</v>
      </c>
      <c r="E6">
        <f t="shared" ref="E6:F15" si="0">(C6-B6)</f>
        <v>1.6</v>
      </c>
      <c r="F6">
        <f t="shared" si="0"/>
        <v>0</v>
      </c>
      <c r="G6">
        <f t="shared" ref="G6:G15" si="1">(D6-B6)</f>
        <v>1.6</v>
      </c>
      <c r="H6" s="5">
        <v>0</v>
      </c>
      <c r="I6" s="5">
        <v>0</v>
      </c>
      <c r="J6" s="6">
        <v>2.8559999999999999</v>
      </c>
      <c r="K6" s="6">
        <v>3.3329999999999997</v>
      </c>
      <c r="L6" s="6">
        <v>3.222</v>
      </c>
      <c r="M6" s="10">
        <v>1.7199999999999989</v>
      </c>
      <c r="N6" s="10">
        <v>-4.0799999999999983</v>
      </c>
      <c r="O6" s="6">
        <v>69.13</v>
      </c>
      <c r="P6" s="6">
        <v>27.2</v>
      </c>
      <c r="Q6" s="6">
        <v>18.3</v>
      </c>
      <c r="R6" s="10">
        <v>35.72</v>
      </c>
      <c r="S6" s="10">
        <v>24.4</v>
      </c>
    </row>
    <row r="7" spans="1:19" x14ac:dyDescent="0.25">
      <c r="A7" s="12">
        <v>10</v>
      </c>
      <c r="B7">
        <v>0.01</v>
      </c>
      <c r="C7">
        <v>0.8</v>
      </c>
      <c r="D7">
        <v>1.2</v>
      </c>
      <c r="E7">
        <f t="shared" si="0"/>
        <v>0.79</v>
      </c>
      <c r="F7">
        <f t="shared" si="0"/>
        <v>0.39999999999999991</v>
      </c>
      <c r="G7">
        <f t="shared" si="1"/>
        <v>1.19</v>
      </c>
      <c r="H7" s="5">
        <v>0.2</v>
      </c>
      <c r="I7" s="5">
        <v>-1.2</v>
      </c>
      <c r="J7" s="6">
        <v>2.4319999999999999</v>
      </c>
      <c r="K7" s="6">
        <v>2.2999999999999998</v>
      </c>
      <c r="L7" s="6">
        <v>2.722</v>
      </c>
      <c r="M7" s="10">
        <v>16.009999999999998</v>
      </c>
      <c r="N7" s="10">
        <v>-14.18</v>
      </c>
      <c r="O7" s="6">
        <v>176</v>
      </c>
      <c r="P7" s="6">
        <v>56.6</v>
      </c>
      <c r="Q7" s="6">
        <v>25.2</v>
      </c>
      <c r="R7" s="10">
        <v>56.1</v>
      </c>
      <c r="S7" s="10">
        <v>366.5</v>
      </c>
    </row>
    <row r="8" spans="1:19" x14ac:dyDescent="0.25">
      <c r="A8" s="12">
        <v>14</v>
      </c>
      <c r="B8">
        <v>2.6</v>
      </c>
      <c r="C8">
        <v>1.6</v>
      </c>
      <c r="D8">
        <v>4.2</v>
      </c>
      <c r="E8">
        <f t="shared" si="0"/>
        <v>-1</v>
      </c>
      <c r="F8">
        <f t="shared" si="0"/>
        <v>2.6</v>
      </c>
      <c r="G8">
        <f t="shared" si="1"/>
        <v>1.6</v>
      </c>
      <c r="H8" s="5">
        <v>0.4</v>
      </c>
      <c r="I8" s="5">
        <v>-0.8</v>
      </c>
      <c r="J8" s="6">
        <v>2.5670000000000002</v>
      </c>
      <c r="K8" s="6">
        <v>4.0220000000000002</v>
      </c>
      <c r="L8" s="6">
        <v>5</v>
      </c>
      <c r="M8" s="10">
        <v>-7.3599999999999994</v>
      </c>
      <c r="N8" s="10">
        <v>-5.1700000000000017</v>
      </c>
      <c r="O8" s="6">
        <v>45.6</v>
      </c>
      <c r="P8" s="6">
        <v>31.76</v>
      </c>
      <c r="Q8" s="6">
        <v>15.01</v>
      </c>
      <c r="R8" s="10">
        <v>16.399999999999999</v>
      </c>
      <c r="S8" s="10">
        <v>32.9</v>
      </c>
    </row>
    <row r="9" spans="1:19" x14ac:dyDescent="0.25">
      <c r="A9" s="12">
        <v>16</v>
      </c>
      <c r="B9">
        <v>0.2</v>
      </c>
      <c r="C9">
        <v>0.6</v>
      </c>
      <c r="D9">
        <v>0.01</v>
      </c>
      <c r="E9">
        <f t="shared" si="0"/>
        <v>0.39999999999999997</v>
      </c>
      <c r="F9">
        <f t="shared" si="0"/>
        <v>-0.59</v>
      </c>
      <c r="G9">
        <f t="shared" si="1"/>
        <v>-0.19</v>
      </c>
      <c r="H9" s="5">
        <v>1.3</v>
      </c>
      <c r="I9" s="5">
        <v>0</v>
      </c>
      <c r="J9" s="6">
        <v>1.4670000000000001</v>
      </c>
      <c r="K9" s="6">
        <v>0.34399999999999997</v>
      </c>
      <c r="L9" s="6">
        <v>0</v>
      </c>
      <c r="M9" s="10">
        <v>8.009999999999998</v>
      </c>
      <c r="N9" s="10">
        <v>11</v>
      </c>
      <c r="O9" s="6">
        <v>72.010000000000005</v>
      </c>
      <c r="P9" s="6">
        <v>50.63</v>
      </c>
      <c r="Q9" s="6">
        <v>70.52</v>
      </c>
      <c r="R9" s="10">
        <v>2.2999999999999998</v>
      </c>
      <c r="S9" s="10">
        <v>23.01</v>
      </c>
    </row>
    <row r="10" spans="1:19" x14ac:dyDescent="0.25">
      <c r="A10" s="12">
        <v>18</v>
      </c>
      <c r="B10">
        <v>2</v>
      </c>
      <c r="C10">
        <v>4.2</v>
      </c>
      <c r="D10">
        <v>2.6</v>
      </c>
      <c r="E10">
        <f t="shared" si="0"/>
        <v>2.2000000000000002</v>
      </c>
      <c r="F10">
        <f t="shared" si="0"/>
        <v>-1.6</v>
      </c>
      <c r="G10">
        <f t="shared" si="1"/>
        <v>0.60000000000000009</v>
      </c>
      <c r="H10" s="5">
        <v>0.3</v>
      </c>
      <c r="I10" s="5">
        <v>-2</v>
      </c>
      <c r="J10" s="6">
        <v>2.9889999999999999</v>
      </c>
      <c r="K10" s="6">
        <v>4.2439999999999998</v>
      </c>
      <c r="L10" s="6">
        <v>3.1779999999999999</v>
      </c>
      <c r="M10" s="10">
        <v>4.3900000000000006</v>
      </c>
      <c r="N10" s="10">
        <v>13.380000000000003</v>
      </c>
      <c r="O10" s="6">
        <v>39.25</v>
      </c>
      <c r="P10" s="6">
        <v>26.21</v>
      </c>
      <c r="Q10" s="6">
        <v>14.9</v>
      </c>
      <c r="R10" s="10">
        <v>11.2</v>
      </c>
      <c r="S10" s="10">
        <v>21.17</v>
      </c>
    </row>
    <row r="11" spans="1:19" x14ac:dyDescent="0.25">
      <c r="A11" s="12">
        <v>19</v>
      </c>
      <c r="B11">
        <v>1</v>
      </c>
      <c r="C11">
        <v>2.4</v>
      </c>
      <c r="D11">
        <v>2</v>
      </c>
      <c r="E11">
        <f t="shared" si="0"/>
        <v>1.4</v>
      </c>
      <c r="F11">
        <f t="shared" si="0"/>
        <v>-0.39999999999999991</v>
      </c>
      <c r="G11">
        <f t="shared" si="1"/>
        <v>1</v>
      </c>
      <c r="H11" s="5">
        <v>0.1</v>
      </c>
      <c r="I11" s="5">
        <v>0</v>
      </c>
      <c r="J11" s="6">
        <v>2.556</v>
      </c>
      <c r="K11" s="6">
        <v>3.9670000000000001</v>
      </c>
      <c r="L11" s="6">
        <v>3.4560000000000004</v>
      </c>
      <c r="M11" s="10">
        <v>9.8299999999999983</v>
      </c>
      <c r="N11" s="10">
        <v>-18.82</v>
      </c>
      <c r="O11" s="6">
        <v>36.25</v>
      </c>
      <c r="P11" s="6">
        <v>19.63</v>
      </c>
      <c r="Q11" s="6">
        <v>15.64</v>
      </c>
      <c r="R11" s="10">
        <v>11</v>
      </c>
      <c r="S11" s="10">
        <v>11.6</v>
      </c>
    </row>
    <row r="12" spans="1:19" x14ac:dyDescent="0.25">
      <c r="A12" s="12">
        <v>20</v>
      </c>
      <c r="B12">
        <v>2</v>
      </c>
      <c r="C12">
        <v>4.2</v>
      </c>
      <c r="D12">
        <v>1.8</v>
      </c>
      <c r="E12">
        <f t="shared" si="0"/>
        <v>2.2000000000000002</v>
      </c>
      <c r="F12">
        <f t="shared" si="0"/>
        <v>-2.4000000000000004</v>
      </c>
      <c r="G12">
        <f t="shared" si="1"/>
        <v>-0.19999999999999996</v>
      </c>
      <c r="H12" s="5">
        <v>0</v>
      </c>
      <c r="I12" s="5">
        <v>-1</v>
      </c>
      <c r="J12" s="6">
        <v>2.9</v>
      </c>
      <c r="K12" s="6">
        <v>4.9560000000000004</v>
      </c>
      <c r="L12" s="6">
        <v>4.4329999999999998</v>
      </c>
      <c r="M12" s="10">
        <v>-2.5900000000000034</v>
      </c>
      <c r="N12" s="10">
        <v>24.78</v>
      </c>
      <c r="O12" s="6">
        <v>59.1</v>
      </c>
      <c r="P12" s="6">
        <v>24.23</v>
      </c>
      <c r="Q12" s="6">
        <v>15.36</v>
      </c>
      <c r="R12" s="10">
        <v>18</v>
      </c>
      <c r="S12" s="10">
        <v>28.36</v>
      </c>
    </row>
    <row r="13" spans="1:19" x14ac:dyDescent="0.25">
      <c r="A13" s="12">
        <v>21</v>
      </c>
      <c r="B13">
        <v>2.6</v>
      </c>
      <c r="C13">
        <v>2.8</v>
      </c>
      <c r="D13">
        <v>3</v>
      </c>
      <c r="E13">
        <f t="shared" si="0"/>
        <v>0.19999999999999973</v>
      </c>
      <c r="F13">
        <f t="shared" si="0"/>
        <v>0.20000000000000018</v>
      </c>
      <c r="G13">
        <f t="shared" si="1"/>
        <v>0.39999999999999991</v>
      </c>
      <c r="H13" s="5">
        <v>0.1</v>
      </c>
      <c r="I13" s="5">
        <v>0</v>
      </c>
      <c r="J13" s="6">
        <v>3.7</v>
      </c>
      <c r="K13" s="6">
        <v>4.7780000000000005</v>
      </c>
      <c r="L13" s="6">
        <v>4.2780000000000005</v>
      </c>
      <c r="M13" s="10">
        <v>-3.740000000000002</v>
      </c>
      <c r="N13" s="10">
        <v>17.600000000000005</v>
      </c>
      <c r="O13" s="6">
        <v>98.45</v>
      </c>
      <c r="P13" s="6">
        <v>48.56</v>
      </c>
      <c r="Q13" s="6">
        <v>11</v>
      </c>
      <c r="R13" s="10">
        <v>8</v>
      </c>
      <c r="S13" s="10">
        <v>33.68</v>
      </c>
    </row>
    <row r="14" spans="1:19" x14ac:dyDescent="0.25">
      <c r="A14" s="12">
        <v>23</v>
      </c>
      <c r="B14">
        <v>0.8</v>
      </c>
      <c r="C14">
        <v>2.2000000000000002</v>
      </c>
      <c r="D14">
        <v>3.4</v>
      </c>
      <c r="E14">
        <f t="shared" si="0"/>
        <v>1.4000000000000001</v>
      </c>
      <c r="F14">
        <f t="shared" si="0"/>
        <v>1.1999999999999997</v>
      </c>
      <c r="G14">
        <f t="shared" si="1"/>
        <v>2.5999999999999996</v>
      </c>
      <c r="H14" s="5">
        <v>1.5</v>
      </c>
      <c r="I14" s="5">
        <v>0</v>
      </c>
      <c r="J14" s="6">
        <v>1.367</v>
      </c>
      <c r="K14" s="6">
        <v>5.0220000000000002</v>
      </c>
      <c r="L14" s="6">
        <v>4.9560000000000004</v>
      </c>
      <c r="M14" s="10">
        <v>-7.6700000000000017</v>
      </c>
      <c r="N14" s="10">
        <v>3.9500000000000028</v>
      </c>
      <c r="O14" s="6">
        <v>45.4</v>
      </c>
      <c r="P14" s="6">
        <v>26.54</v>
      </c>
      <c r="Q14" s="6">
        <v>10.1</v>
      </c>
      <c r="R14" s="10">
        <v>16.5</v>
      </c>
      <c r="S14" s="10">
        <v>14.12</v>
      </c>
    </row>
    <row r="15" spans="1:19" x14ac:dyDescent="0.25">
      <c r="A15" s="12">
        <v>26</v>
      </c>
      <c r="B15">
        <v>0.2</v>
      </c>
      <c r="C15">
        <v>2.6</v>
      </c>
      <c r="D15">
        <v>3.6</v>
      </c>
      <c r="E15">
        <f t="shared" si="0"/>
        <v>2.4</v>
      </c>
      <c r="F15">
        <f t="shared" si="0"/>
        <v>1</v>
      </c>
      <c r="G15">
        <f t="shared" si="1"/>
        <v>3.4</v>
      </c>
      <c r="H15" s="5">
        <v>2</v>
      </c>
      <c r="I15" s="5">
        <v>0.1</v>
      </c>
      <c r="J15" s="6">
        <v>0.51100000000000001</v>
      </c>
      <c r="K15" s="6">
        <v>4.6219999999999999</v>
      </c>
      <c r="L15" s="6">
        <v>4.7670000000000003</v>
      </c>
      <c r="M15" s="10">
        <v>-12.300000000000004</v>
      </c>
      <c r="N15" s="10">
        <v>1.6300000000000026</v>
      </c>
      <c r="O15" s="6">
        <v>61.34</v>
      </c>
      <c r="P15" s="6">
        <v>44.56</v>
      </c>
      <c r="Q15" s="6">
        <v>13.18</v>
      </c>
      <c r="R15" s="10">
        <v>11.5</v>
      </c>
      <c r="S15" s="10">
        <v>49.11</v>
      </c>
    </row>
    <row r="16" spans="1:19" x14ac:dyDescent="0.25">
      <c r="A16" s="9"/>
      <c r="B16" s="5"/>
      <c r="C16" s="5"/>
      <c r="D16" s="5"/>
      <c r="E16" s="5"/>
      <c r="F16" s="5"/>
      <c r="G16" s="5"/>
      <c r="H16" s="5"/>
      <c r="I16" s="5"/>
      <c r="J16" s="6"/>
      <c r="K16" s="6"/>
      <c r="L16" s="6"/>
      <c r="M16" s="10"/>
      <c r="N16" s="10"/>
      <c r="O16" s="6"/>
      <c r="P16" s="6"/>
      <c r="Q16" s="6"/>
      <c r="R16" s="10"/>
      <c r="S16" s="10"/>
    </row>
  </sheetData>
  <mergeCells count="4">
    <mergeCell ref="O3:Q3"/>
    <mergeCell ref="R3:S3"/>
    <mergeCell ref="J3:L3"/>
    <mergeCell ref="M3:N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EAAF-4AEC-4738-8170-B9BE4473B83C}">
  <dimension ref="A3:F14"/>
  <sheetViews>
    <sheetView workbookViewId="0">
      <selection activeCell="C14" sqref="C14"/>
    </sheetView>
  </sheetViews>
  <sheetFormatPr defaultRowHeight="15" x14ac:dyDescent="0.25"/>
  <sheetData>
    <row r="3" spans="1:6" x14ac:dyDescent="0.25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</row>
    <row r="4" spans="1:6" x14ac:dyDescent="0.25">
      <c r="A4" s="12">
        <v>2</v>
      </c>
    </row>
    <row r="5" spans="1:6" x14ac:dyDescent="0.25">
      <c r="A5" s="12">
        <v>4</v>
      </c>
    </row>
    <row r="6" spans="1:6" x14ac:dyDescent="0.25">
      <c r="A6" s="12">
        <v>10</v>
      </c>
    </row>
    <row r="7" spans="1:6" x14ac:dyDescent="0.25">
      <c r="A7" s="12">
        <v>14</v>
      </c>
    </row>
    <row r="8" spans="1:6" x14ac:dyDescent="0.25">
      <c r="A8" s="12">
        <v>16</v>
      </c>
    </row>
    <row r="9" spans="1:6" x14ac:dyDescent="0.25">
      <c r="A9" s="12">
        <v>18</v>
      </c>
    </row>
    <row r="10" spans="1:6" x14ac:dyDescent="0.25">
      <c r="A10" s="12">
        <v>19</v>
      </c>
    </row>
    <row r="11" spans="1:6" x14ac:dyDescent="0.25">
      <c r="A11" s="12">
        <v>20</v>
      </c>
    </row>
    <row r="12" spans="1:6" x14ac:dyDescent="0.25">
      <c r="A12" s="12">
        <v>21</v>
      </c>
    </row>
    <row r="13" spans="1:6" x14ac:dyDescent="0.25">
      <c r="A13" s="12">
        <v>23</v>
      </c>
    </row>
    <row r="14" spans="1:6" x14ac:dyDescent="0.25">
      <c r="A14" s="1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Male rat numbers</vt:lpstr>
      <vt:lpstr>Ad Lib and Restricted</vt:lpstr>
      <vt:lpstr>Restricted only</vt:lpstr>
      <vt:lpstr>Home Cage Restricted</vt:lpstr>
      <vt:lpstr>Home Cage Ad Lib</vt:lpstr>
      <vt:lpstr>Operant Restricted</vt:lpstr>
      <vt:lpstr>Trial Numbers for males OP</vt:lpstr>
    </vt:vector>
  </TitlesOfParts>
  <Company>Bowling Green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Marie Thompson</dc:creator>
  <cp:lastModifiedBy>Howard Casey Cromwell</cp:lastModifiedBy>
  <dcterms:created xsi:type="dcterms:W3CDTF">2022-06-20T17:50:58Z</dcterms:created>
  <dcterms:modified xsi:type="dcterms:W3CDTF">2025-12-01T21:28:38Z</dcterms:modified>
</cp:coreProperties>
</file>