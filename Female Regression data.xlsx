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cc\Desktop\"/>
    </mc:Choice>
  </mc:AlternateContent>
  <xr:revisionPtr revIDLastSave="0" documentId="13_ncr:1_{6AF2605F-6416-421E-8F74-F903116694F1}" xr6:coauthVersionLast="47" xr6:coauthVersionMax="47" xr10:uidLastSave="{00000000-0000-0000-0000-000000000000}"/>
  <bookViews>
    <workbookView xWindow="-19320" yWindow="-60" windowWidth="19440" windowHeight="14880" xr2:uid="{00000000-000D-0000-FFFF-FFFF00000000}"/>
  </bookViews>
  <sheets>
    <sheet name="Master Sheet" sheetId="3" r:id="rId1"/>
    <sheet name="HC D" sheetId="2" r:id="rId2"/>
    <sheet name="HC IC" sheetId="1" r:id="rId3"/>
    <sheet name="O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" i="3" l="1"/>
  <c r="U2" i="3"/>
  <c r="P13" i="3"/>
  <c r="P12" i="3"/>
  <c r="P11" i="3"/>
  <c r="P10" i="3"/>
  <c r="P9" i="3"/>
  <c r="U9" i="3" s="1"/>
  <c r="P8" i="3"/>
  <c r="P7" i="3"/>
  <c r="P6" i="3"/>
  <c r="P5" i="3"/>
  <c r="P4" i="3"/>
  <c r="P3" i="3"/>
  <c r="P2" i="3"/>
  <c r="O13" i="3"/>
  <c r="O12" i="3"/>
  <c r="O11" i="3"/>
  <c r="O10" i="3"/>
  <c r="O9" i="3"/>
  <c r="T9" i="3" s="1"/>
  <c r="O8" i="3"/>
  <c r="O7" i="3"/>
  <c r="O6" i="3"/>
  <c r="T6" i="3" s="1"/>
  <c r="O5" i="3"/>
  <c r="O4" i="3"/>
  <c r="O3" i="3"/>
  <c r="O2" i="3"/>
  <c r="T2" i="3" s="1"/>
  <c r="E13" i="4" l="1"/>
  <c r="E12" i="4"/>
  <c r="E11" i="4"/>
  <c r="E10" i="4"/>
  <c r="E9" i="4"/>
  <c r="E8" i="4"/>
  <c r="E7" i="4"/>
  <c r="E6" i="4"/>
  <c r="E5" i="4"/>
  <c r="E4" i="4"/>
  <c r="E3" i="4"/>
  <c r="E2" i="4"/>
  <c r="L6" i="3" l="1"/>
  <c r="Q6" i="3" s="1"/>
  <c r="R6" i="3"/>
  <c r="S9" i="3"/>
  <c r="R9" i="3"/>
  <c r="Q9" i="3"/>
  <c r="N13" i="3"/>
  <c r="M13" i="3"/>
  <c r="L13" i="3"/>
  <c r="N12" i="3"/>
  <c r="M12" i="3"/>
  <c r="L12" i="3"/>
  <c r="S12" i="3" s="1"/>
  <c r="N11" i="3"/>
  <c r="M11" i="3"/>
  <c r="L11" i="3"/>
  <c r="N10" i="3"/>
  <c r="M10" i="3"/>
  <c r="L10" i="3"/>
  <c r="N8" i="3"/>
  <c r="M8" i="3"/>
  <c r="L8" i="3"/>
  <c r="N7" i="3"/>
  <c r="M7" i="3"/>
  <c r="L7" i="3"/>
  <c r="N5" i="3"/>
  <c r="M5" i="3"/>
  <c r="R5" i="3" s="1"/>
  <c r="L5" i="3"/>
  <c r="N4" i="3"/>
  <c r="M4" i="3"/>
  <c r="L4" i="3"/>
  <c r="N3" i="3"/>
  <c r="M3" i="3"/>
  <c r="L3" i="3"/>
  <c r="M2" i="3"/>
  <c r="R2" i="3" s="1"/>
  <c r="L2" i="3"/>
  <c r="Q2" i="3" s="1"/>
  <c r="D13" i="4"/>
  <c r="D12" i="4"/>
  <c r="D11" i="4"/>
  <c r="D10" i="4"/>
  <c r="D8" i="4"/>
  <c r="D7" i="4"/>
  <c r="D5" i="4"/>
  <c r="D4" i="4"/>
  <c r="D3" i="4"/>
  <c r="C13" i="4"/>
  <c r="B13" i="4"/>
  <c r="C12" i="4"/>
  <c r="B12" i="4"/>
  <c r="C11" i="4"/>
  <c r="B11" i="4"/>
  <c r="C10" i="4"/>
  <c r="B10" i="4"/>
  <c r="C8" i="4"/>
  <c r="B8" i="4"/>
  <c r="C7" i="4"/>
  <c r="B7" i="4"/>
  <c r="C6" i="4"/>
  <c r="B6" i="4"/>
  <c r="C5" i="4"/>
  <c r="B5" i="4"/>
  <c r="C4" i="4"/>
  <c r="B4" i="4"/>
  <c r="C3" i="4"/>
  <c r="B3" i="4"/>
  <c r="C2" i="4"/>
  <c r="B2" i="4"/>
  <c r="U12" i="3" l="1"/>
  <c r="T12" i="3"/>
  <c r="S7" i="3"/>
  <c r="U7" i="3"/>
  <c r="T7" i="3"/>
  <c r="R12" i="3"/>
  <c r="Q13" i="3"/>
  <c r="U13" i="3"/>
  <c r="T13" i="3"/>
  <c r="S8" i="3"/>
  <c r="Q12" i="3"/>
  <c r="Q3" i="3"/>
  <c r="U3" i="3"/>
  <c r="T3" i="3"/>
  <c r="U10" i="3"/>
  <c r="T10" i="3"/>
  <c r="Q8" i="3"/>
  <c r="U8" i="3"/>
  <c r="T8" i="3"/>
  <c r="R4" i="3"/>
  <c r="Q11" i="3"/>
  <c r="U11" i="3"/>
  <c r="T11" i="3"/>
  <c r="U5" i="3"/>
  <c r="T5" i="3"/>
  <c r="Q4" i="3"/>
  <c r="U4" i="3"/>
  <c r="T4" i="3"/>
  <c r="Q5" i="3"/>
  <c r="S2" i="3"/>
  <c r="Q7" i="3"/>
  <c r="S11" i="3"/>
  <c r="S10" i="3"/>
  <c r="R10" i="3"/>
  <c r="R3" i="3"/>
  <c r="R13" i="3"/>
  <c r="R11" i="3"/>
  <c r="R8" i="3"/>
  <c r="R7" i="3"/>
  <c r="S4" i="3"/>
  <c r="Q10" i="3"/>
  <c r="S5" i="3"/>
  <c r="S3" i="3"/>
  <c r="S6" i="3"/>
  <c r="S13" i="3"/>
  <c r="K3" i="3"/>
  <c r="K4" i="3"/>
  <c r="K5" i="3"/>
  <c r="K6" i="3"/>
  <c r="K7" i="3"/>
  <c r="K8" i="3"/>
  <c r="K9" i="3"/>
  <c r="K10" i="3"/>
  <c r="K11" i="3"/>
  <c r="K12" i="3"/>
  <c r="K13" i="3"/>
  <c r="K2" i="3"/>
  <c r="J3" i="3"/>
  <c r="J4" i="3"/>
  <c r="J5" i="3"/>
  <c r="J6" i="3"/>
  <c r="J7" i="3"/>
  <c r="J8" i="3"/>
  <c r="J9" i="3"/>
  <c r="J10" i="3"/>
  <c r="J11" i="3"/>
  <c r="J12" i="3"/>
  <c r="J13" i="3"/>
  <c r="J2" i="3"/>
  <c r="I3" i="3"/>
  <c r="I4" i="3"/>
  <c r="I5" i="3"/>
  <c r="I6" i="3"/>
  <c r="I7" i="3"/>
  <c r="I8" i="3"/>
  <c r="I9" i="3"/>
  <c r="I10" i="3"/>
  <c r="I11" i="3"/>
  <c r="I12" i="3"/>
  <c r="I13" i="3"/>
  <c r="I2" i="3"/>
  <c r="H9" i="3"/>
  <c r="H3" i="3"/>
  <c r="H4" i="3"/>
  <c r="H5" i="3"/>
  <c r="H6" i="3"/>
  <c r="H7" i="3"/>
  <c r="H8" i="3"/>
  <c r="H10" i="3"/>
  <c r="H11" i="3"/>
  <c r="H12" i="3"/>
  <c r="H13" i="3"/>
  <c r="H2" i="3"/>
  <c r="G3" i="3"/>
  <c r="G4" i="3"/>
  <c r="G5" i="3"/>
  <c r="G6" i="3"/>
  <c r="G7" i="3"/>
  <c r="G8" i="3"/>
  <c r="G9" i="3"/>
  <c r="G10" i="3"/>
  <c r="G11" i="3"/>
  <c r="G12" i="3"/>
  <c r="G13" i="3"/>
  <c r="G2" i="3"/>
  <c r="I2" i="1"/>
  <c r="J2" i="1"/>
  <c r="I3" i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</calcChain>
</file>

<file path=xl/sharedStrings.xml><?xml version="1.0" encoding="utf-8"?>
<sst xmlns="http://schemas.openxmlformats.org/spreadsheetml/2006/main" count="68" uniqueCount="55">
  <si>
    <t>Rat</t>
  </si>
  <si>
    <t>Sex</t>
  </si>
  <si>
    <t>AdLibA10</t>
  </si>
  <si>
    <t>AdLibAPC</t>
  </si>
  <si>
    <t>AdLibANC</t>
  </si>
  <si>
    <t>AdLibB10</t>
  </si>
  <si>
    <t>AdLibBPC</t>
  </si>
  <si>
    <t>AdLibBNC</t>
  </si>
  <si>
    <t>AdPC</t>
  </si>
  <si>
    <t>AdNC</t>
  </si>
  <si>
    <t>ResA10</t>
  </si>
  <si>
    <t>ResAPC</t>
  </si>
  <si>
    <t>ResANC</t>
  </si>
  <si>
    <t>ResB10</t>
  </si>
  <si>
    <t>ResBPC</t>
  </si>
  <si>
    <t>ResBNC</t>
  </si>
  <si>
    <t>HC10</t>
  </si>
  <si>
    <t>HCPC</t>
  </si>
  <si>
    <t>HCNC</t>
  </si>
  <si>
    <t>AdLibA1</t>
  </si>
  <si>
    <t>AdLibA30</t>
  </si>
  <si>
    <t>AdLibB1</t>
  </si>
  <si>
    <t>AdLibB30</t>
  </si>
  <si>
    <t>ResA1</t>
  </si>
  <si>
    <t>ResA30</t>
  </si>
  <si>
    <t>ResB1</t>
  </si>
  <si>
    <t>ResB30</t>
  </si>
  <si>
    <t>HCD1</t>
  </si>
  <si>
    <t>HCD30</t>
  </si>
  <si>
    <t>HC DS PC10-10</t>
  </si>
  <si>
    <t>HC DS 10-NC10</t>
  </si>
  <si>
    <t>OP D 1</t>
  </si>
  <si>
    <t>OP D 30</t>
  </si>
  <si>
    <t>OP 10</t>
  </si>
  <si>
    <t>OP PC</t>
  </si>
  <si>
    <t>OP NC</t>
  </si>
  <si>
    <t>OP DSD 10-1</t>
  </si>
  <si>
    <t>OP DSD 30-10</t>
  </si>
  <si>
    <t>OP DSD 30-1</t>
  </si>
  <si>
    <t>OP DS PC10-10</t>
  </si>
  <si>
    <t>OP DS 10-NC10</t>
  </si>
  <si>
    <t>Key</t>
  </si>
  <si>
    <t xml:space="preserve">HC </t>
  </si>
  <si>
    <t>Homecage</t>
  </si>
  <si>
    <t>D</t>
  </si>
  <si>
    <t>Discrimination</t>
  </si>
  <si>
    <t>DS</t>
  </si>
  <si>
    <t>Difference Score</t>
  </si>
  <si>
    <t>PC</t>
  </si>
  <si>
    <t>NC</t>
  </si>
  <si>
    <t>Negative contrast</t>
  </si>
  <si>
    <t>HC DS D 10-1</t>
  </si>
  <si>
    <t>HC DS D 30-10</t>
  </si>
  <si>
    <t>HC DS D 30-1</t>
  </si>
  <si>
    <t>Positive contrast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</si>
</sst>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1" fontId="2" fillId="0" borderId="0" xfId="0" applyNumberFormat="1" applyFont="1" applyFill="1" applyAlignment="1">
      <alignment horizontal="center" vertical="center"/>
    </xf>
    <xf numFmtId="164" fontId="2" fillId="0" borderId="0" xfId="0" applyNumberFormat="1" applyFont="1" applyFill="1" applyAlignment="1">
      <alignment horizontal="center" vertical="center"/>
    </xf>
    <xf numFmtId="0" fontId="0" fillId="0" borderId="0" xfId="0" applyFill="1"/>
    <xf numFmtId="164" fontId="2" fillId="0" borderId="0" xfId="0" applyNumberFormat="1" applyFont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4" fillId="0" borderId="0" xfId="0" applyNumberFormat="1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3"/>
  <sheetViews>
    <sheetView tabSelected="1" zoomScale="110" zoomScaleNormal="110" workbookViewId="0">
      <selection activeCell="G25" sqref="G25"/>
    </sheetView>
  </sheetViews>
  <sheetFormatPr defaultRowHeight="15" x14ac:dyDescent="0.25"/>
  <cols>
    <col min="2" max="6" width="10.7109375" customWidth="1"/>
    <col min="7" max="9" width="13.7109375" customWidth="1"/>
    <col min="10" max="10" width="15.140625" customWidth="1"/>
    <col min="11" max="11" width="19.85546875" customWidth="1"/>
    <col min="17" max="19" width="15.7109375" style="11" customWidth="1"/>
    <col min="20" max="21" width="15.7109375" customWidth="1"/>
  </cols>
  <sheetData>
    <row r="1" spans="1:21" ht="15.75" x14ac:dyDescent="0.25">
      <c r="A1" s="8" t="s">
        <v>0</v>
      </c>
      <c r="B1" s="4" t="s">
        <v>27</v>
      </c>
      <c r="C1" s="4" t="s">
        <v>28</v>
      </c>
      <c r="D1" s="2" t="s">
        <v>16</v>
      </c>
      <c r="E1" s="2" t="s">
        <v>17</v>
      </c>
      <c r="F1" s="2" t="s">
        <v>18</v>
      </c>
      <c r="G1" s="9" t="s">
        <v>51</v>
      </c>
      <c r="H1" s="9" t="s">
        <v>52</v>
      </c>
      <c r="I1" s="9" t="s">
        <v>53</v>
      </c>
      <c r="J1" s="12" t="s">
        <v>29</v>
      </c>
      <c r="K1" s="12" t="s">
        <v>30</v>
      </c>
      <c r="L1" s="6" t="s">
        <v>31</v>
      </c>
      <c r="M1" s="6" t="s">
        <v>32</v>
      </c>
      <c r="N1" s="6" t="s">
        <v>33</v>
      </c>
      <c r="O1" s="8" t="s">
        <v>34</v>
      </c>
      <c r="P1" s="8" t="s">
        <v>35</v>
      </c>
      <c r="Q1" s="17" t="s">
        <v>36</v>
      </c>
      <c r="R1" s="17" t="s">
        <v>37</v>
      </c>
      <c r="S1" s="17" t="s">
        <v>38</v>
      </c>
      <c r="T1" s="18" t="s">
        <v>39</v>
      </c>
      <c r="U1" s="18" t="s">
        <v>40</v>
      </c>
    </row>
    <row r="2" spans="1:21" ht="15.75" x14ac:dyDescent="0.25">
      <c r="A2" s="1">
        <v>1</v>
      </c>
      <c r="B2" s="7">
        <v>1.4999999999999999E-2</v>
      </c>
      <c r="C2" s="7">
        <v>2.1819999999999999</v>
      </c>
      <c r="D2" s="2">
        <v>0.57199999999999995</v>
      </c>
      <c r="E2" s="2">
        <v>0.502</v>
      </c>
      <c r="F2" s="2">
        <v>0.46899999999999997</v>
      </c>
      <c r="G2" s="10">
        <f>(D2-B2)/D2</f>
        <v>0.97377622377622375</v>
      </c>
      <c r="H2" s="10">
        <f>(C2-D2)/C2</f>
        <v>0.73785517873510542</v>
      </c>
      <c r="I2" s="10">
        <f>(C2-B2)/C2</f>
        <v>0.99312557286892755</v>
      </c>
      <c r="J2" s="19">
        <f>(E2-D2)/E2</f>
        <v>-0.13944223107569712</v>
      </c>
      <c r="K2" s="19">
        <f>(D2-F2)/D2</f>
        <v>0.18006993006993005</v>
      </c>
      <c r="L2" s="14">
        <f>14.89/10</f>
        <v>1.4890000000000001</v>
      </c>
      <c r="M2" s="14">
        <f>42.44/10</f>
        <v>4.2439999999999998</v>
      </c>
      <c r="N2" s="14">
        <v>3.3</v>
      </c>
      <c r="O2" s="8">
        <f>35.56/10</f>
        <v>3.556</v>
      </c>
      <c r="P2" s="8">
        <f>46.44/10</f>
        <v>4.6440000000000001</v>
      </c>
      <c r="Q2" s="10">
        <f t="shared" ref="Q2:Q13" si="0">(N2-L2)/N2</f>
        <v>0.54878787878787871</v>
      </c>
      <c r="R2" s="10">
        <f t="shared" ref="R2:R13" si="1">(M2-N2)/M2</f>
        <v>0.22243166823751179</v>
      </c>
      <c r="S2" s="10">
        <f t="shared" ref="S2:S13" si="2">(M2-L2)/M2</f>
        <v>0.64915174363807726</v>
      </c>
      <c r="T2" s="19">
        <f>(O2-N2)/O2</f>
        <v>7.1991001124859455E-2</v>
      </c>
      <c r="U2" s="19">
        <f>(N2-P2)/N2</f>
        <v>-0.4072727272727274</v>
      </c>
    </row>
    <row r="3" spans="1:21" ht="15.75" x14ac:dyDescent="0.25">
      <c r="A3" s="1">
        <v>3</v>
      </c>
      <c r="B3" s="4">
        <v>3.0000000000000001E-3</v>
      </c>
      <c r="C3" s="7">
        <v>1.458</v>
      </c>
      <c r="D3" s="2">
        <v>0.51400000000000001</v>
      </c>
      <c r="E3" s="2">
        <v>0.47599999999999998</v>
      </c>
      <c r="F3" s="2">
        <v>0.38500000000000001</v>
      </c>
      <c r="G3" s="10">
        <f t="shared" ref="G3:G13" si="3">(D3-B3)/D3</f>
        <v>0.99416342412451364</v>
      </c>
      <c r="H3" s="10">
        <f t="shared" ref="H3:H13" si="4">(C3-D3)/C3</f>
        <v>0.64746227709190673</v>
      </c>
      <c r="I3" s="10">
        <f t="shared" ref="I3:I13" si="5">(C3-B3)/C3</f>
        <v>0.99794238683127579</v>
      </c>
      <c r="J3" s="19">
        <f t="shared" ref="J3:J13" si="6">(E3-D3)/E3</f>
        <v>-7.9831932773109321E-2</v>
      </c>
      <c r="K3" s="19">
        <f t="shared" ref="K3:K13" si="7">(D3-F3)/D3</f>
        <v>0.25097276264591439</v>
      </c>
      <c r="L3" s="14">
        <f>35.44/10</f>
        <v>3.5439999999999996</v>
      </c>
      <c r="M3" s="14">
        <f>24.44/10</f>
        <v>2.444</v>
      </c>
      <c r="N3" s="14">
        <f>43.44/10</f>
        <v>4.3439999999999994</v>
      </c>
      <c r="O3" s="8">
        <f>37.11/10</f>
        <v>3.7109999999999999</v>
      </c>
      <c r="P3" s="8">
        <f>50.33/10</f>
        <v>5.0329999999999995</v>
      </c>
      <c r="Q3" s="10">
        <f t="shared" si="0"/>
        <v>0.18416206261510126</v>
      </c>
      <c r="R3" s="10">
        <f t="shared" si="1"/>
        <v>-0.77741407528641548</v>
      </c>
      <c r="S3" s="10">
        <f t="shared" si="2"/>
        <v>-0.45008183306055632</v>
      </c>
      <c r="T3" s="19">
        <f t="shared" ref="T3:T13" si="8">(O3-N3)/O3</f>
        <v>-0.17057396928051727</v>
      </c>
      <c r="U3" s="19">
        <f t="shared" ref="U3:U13" si="9">(N3-P3)/N3</f>
        <v>-0.15860957642725601</v>
      </c>
    </row>
    <row r="4" spans="1:21" ht="15.75" x14ac:dyDescent="0.25">
      <c r="A4" s="1">
        <v>6</v>
      </c>
      <c r="B4" s="4">
        <v>8.9999999999999993E-3</v>
      </c>
      <c r="C4" s="4">
        <v>1.8879999999999999</v>
      </c>
      <c r="D4" s="2">
        <v>0.53300000000000003</v>
      </c>
      <c r="E4" s="2">
        <v>0.66</v>
      </c>
      <c r="F4" s="2">
        <v>0.51200000000000001</v>
      </c>
      <c r="G4" s="10">
        <f t="shared" si="3"/>
        <v>0.98311444652908064</v>
      </c>
      <c r="H4" s="10">
        <f t="shared" si="4"/>
        <v>0.71769067796610175</v>
      </c>
      <c r="I4" s="10">
        <f t="shared" si="5"/>
        <v>0.99523305084745772</v>
      </c>
      <c r="J4" s="19">
        <f t="shared" si="6"/>
        <v>0.19242424242424241</v>
      </c>
      <c r="K4" s="19">
        <f t="shared" si="7"/>
        <v>3.939962476547846E-2</v>
      </c>
      <c r="L4" s="14">
        <f>29.67/10</f>
        <v>2.9670000000000001</v>
      </c>
      <c r="M4" s="14">
        <f>39.44/10</f>
        <v>3.944</v>
      </c>
      <c r="N4" s="14">
        <f>40.56/10</f>
        <v>4.056</v>
      </c>
      <c r="O4" s="8">
        <f>35.33/10</f>
        <v>3.5329999999999999</v>
      </c>
      <c r="P4" s="8">
        <f>36.33/10</f>
        <v>3.633</v>
      </c>
      <c r="Q4" s="10">
        <f t="shared" si="0"/>
        <v>0.26849112426035504</v>
      </c>
      <c r="R4" s="10">
        <f t="shared" si="1"/>
        <v>-2.8397565922920916E-2</v>
      </c>
      <c r="S4" s="10">
        <f t="shared" si="2"/>
        <v>0.24771805273833669</v>
      </c>
      <c r="T4" s="19">
        <f t="shared" si="8"/>
        <v>-0.1480328332861591</v>
      </c>
      <c r="U4" s="19">
        <f t="shared" si="9"/>
        <v>0.10428994082840237</v>
      </c>
    </row>
    <row r="5" spans="1:21" ht="15.75" x14ac:dyDescent="0.25">
      <c r="A5" s="1">
        <v>7</v>
      </c>
      <c r="B5" s="4">
        <v>0</v>
      </c>
      <c r="C5" s="4">
        <v>1.8779999999999999</v>
      </c>
      <c r="D5" s="2">
        <v>0.54200000000000004</v>
      </c>
      <c r="E5" s="2">
        <v>0.61499999999999999</v>
      </c>
      <c r="F5" s="2">
        <v>0.377</v>
      </c>
      <c r="G5" s="10">
        <f t="shared" si="3"/>
        <v>1</v>
      </c>
      <c r="H5" s="10">
        <f t="shared" si="4"/>
        <v>0.71139510117145899</v>
      </c>
      <c r="I5" s="10">
        <f t="shared" si="5"/>
        <v>1</v>
      </c>
      <c r="J5" s="19">
        <f t="shared" si="6"/>
        <v>0.11869918699186985</v>
      </c>
      <c r="K5" s="19">
        <f t="shared" si="7"/>
        <v>0.30442804428044284</v>
      </c>
      <c r="L5" s="14">
        <f>46.78/10</f>
        <v>4.6779999999999999</v>
      </c>
      <c r="M5" s="14">
        <f>44/10</f>
        <v>4.4000000000000004</v>
      </c>
      <c r="N5" s="14">
        <f>53.33/10</f>
        <v>5.3330000000000002</v>
      </c>
      <c r="O5" s="8">
        <f>43.44/10</f>
        <v>4.3439999999999994</v>
      </c>
      <c r="P5" s="8">
        <f>55.78/10</f>
        <v>5.5780000000000003</v>
      </c>
      <c r="Q5" s="10">
        <f t="shared" si="0"/>
        <v>0.12282017626101635</v>
      </c>
      <c r="R5" s="10">
        <f t="shared" si="1"/>
        <v>-0.21204545454545448</v>
      </c>
      <c r="S5" s="10">
        <f t="shared" si="2"/>
        <v>-6.3181818181818075E-2</v>
      </c>
      <c r="T5" s="19">
        <f t="shared" si="8"/>
        <v>-0.22767034990791918</v>
      </c>
      <c r="U5" s="19">
        <f t="shared" si="9"/>
        <v>-4.5940371273204592E-2</v>
      </c>
    </row>
    <row r="6" spans="1:21" ht="15.75" x14ac:dyDescent="0.25">
      <c r="A6" s="23">
        <v>9</v>
      </c>
      <c r="B6" s="5">
        <v>8.0000000000000002E-3</v>
      </c>
      <c r="C6" s="5">
        <v>1.73</v>
      </c>
      <c r="D6" s="5">
        <v>0.59399999999999997</v>
      </c>
      <c r="E6" s="5">
        <v>0.67800000000000005</v>
      </c>
      <c r="F6" s="5">
        <v>0.50600000000000001</v>
      </c>
      <c r="G6" s="21">
        <f t="shared" si="3"/>
        <v>0.98653198653198648</v>
      </c>
      <c r="H6" s="21">
        <f t="shared" si="4"/>
        <v>0.65664739884393075</v>
      </c>
      <c r="I6" s="21">
        <f t="shared" si="5"/>
        <v>0.9953757225433526</v>
      </c>
      <c r="J6" s="20">
        <f t="shared" si="6"/>
        <v>0.12389380530973461</v>
      </c>
      <c r="K6" s="20">
        <f t="shared" si="7"/>
        <v>0.14814814814814811</v>
      </c>
      <c r="L6" s="13">
        <f>18/10</f>
        <v>1.8</v>
      </c>
      <c r="M6" s="13">
        <v>2.67</v>
      </c>
      <c r="N6" s="13"/>
      <c r="O6" s="13">
        <f>25/10</f>
        <v>2.5</v>
      </c>
      <c r="P6" s="22">
        <f>47/10</f>
        <v>4.7</v>
      </c>
      <c r="Q6" s="21" t="e">
        <f t="shared" si="0"/>
        <v>#DIV/0!</v>
      </c>
      <c r="R6" s="21">
        <f t="shared" si="1"/>
        <v>1</v>
      </c>
      <c r="S6" s="21">
        <f t="shared" si="2"/>
        <v>0.32584269662921345</v>
      </c>
      <c r="T6" s="20">
        <f t="shared" si="8"/>
        <v>1</v>
      </c>
      <c r="U6" s="20" t="e">
        <f t="shared" si="9"/>
        <v>#DIV/0!</v>
      </c>
    </row>
    <row r="7" spans="1:21" ht="15.75" x14ac:dyDescent="0.25">
      <c r="A7" s="1">
        <v>11</v>
      </c>
      <c r="B7" s="4">
        <v>8.0000000000000002E-3</v>
      </c>
      <c r="C7" s="4">
        <v>1.8180000000000001</v>
      </c>
      <c r="D7" s="2">
        <v>0.437</v>
      </c>
      <c r="E7" s="2">
        <v>0.71199999999999997</v>
      </c>
      <c r="F7" s="2">
        <v>0.48699999999999999</v>
      </c>
      <c r="G7" s="10">
        <f t="shared" si="3"/>
        <v>0.98169336384439354</v>
      </c>
      <c r="H7" s="10">
        <f t="shared" si="4"/>
        <v>0.75962596259625959</v>
      </c>
      <c r="I7" s="10">
        <f t="shared" si="5"/>
        <v>0.99559955995599558</v>
      </c>
      <c r="J7" s="19">
        <f t="shared" si="6"/>
        <v>0.38623595505617975</v>
      </c>
      <c r="K7" s="19">
        <f t="shared" si="7"/>
        <v>-0.11441647597254002</v>
      </c>
      <c r="L7" s="14">
        <f>11.44/10</f>
        <v>1.1439999999999999</v>
      </c>
      <c r="M7" s="14">
        <f>36.78/10</f>
        <v>3.6779999999999999</v>
      </c>
      <c r="N7" s="14">
        <f>27.22/10</f>
        <v>2.722</v>
      </c>
      <c r="O7" s="8">
        <f>48.44/10</f>
        <v>4.8439999999999994</v>
      </c>
      <c r="P7" s="8">
        <f>35.11/10</f>
        <v>3.5110000000000001</v>
      </c>
      <c r="Q7" s="10">
        <f t="shared" si="0"/>
        <v>0.57972079353416606</v>
      </c>
      <c r="R7" s="10">
        <f t="shared" si="1"/>
        <v>0.25992387166938552</v>
      </c>
      <c r="S7" s="10">
        <f t="shared" si="2"/>
        <v>0.68896139206090268</v>
      </c>
      <c r="T7" s="19">
        <f t="shared" si="8"/>
        <v>0.43806771263418653</v>
      </c>
      <c r="U7" s="19">
        <f t="shared" si="9"/>
        <v>-0.28986039676708308</v>
      </c>
    </row>
    <row r="8" spans="1:21" ht="15.75" x14ac:dyDescent="0.25">
      <c r="A8" s="1">
        <v>13</v>
      </c>
      <c r="B8" s="4">
        <v>6.0000000000000001E-3</v>
      </c>
      <c r="C8" s="4">
        <v>1.6970000000000001</v>
      </c>
      <c r="D8" s="2">
        <v>0.47899999999999998</v>
      </c>
      <c r="E8" s="2">
        <v>0.53900000000000003</v>
      </c>
      <c r="F8" s="2">
        <v>0.47399999999999998</v>
      </c>
      <c r="G8" s="10">
        <f t="shared" si="3"/>
        <v>0.98747390396659707</v>
      </c>
      <c r="H8" s="10">
        <f t="shared" si="4"/>
        <v>0.71773718326458447</v>
      </c>
      <c r="I8" s="10">
        <f t="shared" si="5"/>
        <v>0.9964643488509134</v>
      </c>
      <c r="J8" s="19">
        <f t="shared" si="6"/>
        <v>0.11131725417439713</v>
      </c>
      <c r="K8" s="19">
        <f t="shared" si="7"/>
        <v>1.0438413361169113E-2</v>
      </c>
      <c r="L8" s="14">
        <f>19.89/10</f>
        <v>1.9890000000000001</v>
      </c>
      <c r="M8" s="14">
        <f>49/10</f>
        <v>4.9000000000000004</v>
      </c>
      <c r="N8" s="14">
        <f>50.67/10</f>
        <v>5.0670000000000002</v>
      </c>
      <c r="O8" s="8">
        <f>48.44/10</f>
        <v>4.8439999999999994</v>
      </c>
      <c r="P8" s="8">
        <f>46.33/10</f>
        <v>4.633</v>
      </c>
      <c r="Q8" s="10">
        <f t="shared" si="0"/>
        <v>0.60746003552397876</v>
      </c>
      <c r="R8" s="10">
        <f t="shared" si="1"/>
        <v>-3.4081632653061182E-2</v>
      </c>
      <c r="S8" s="10">
        <f t="shared" si="2"/>
        <v>0.59408163265306124</v>
      </c>
      <c r="T8" s="19">
        <f t="shared" si="8"/>
        <v>-4.6036333608588102E-2</v>
      </c>
      <c r="U8" s="19">
        <f t="shared" si="9"/>
        <v>8.5652259719755305E-2</v>
      </c>
    </row>
    <row r="9" spans="1:21" ht="15.75" x14ac:dyDescent="0.25">
      <c r="A9" s="1">
        <v>15</v>
      </c>
      <c r="B9" s="4">
        <v>0</v>
      </c>
      <c r="C9" s="4">
        <v>1.7050000000000001</v>
      </c>
      <c r="D9" s="2">
        <v>0.498</v>
      </c>
      <c r="E9" s="2">
        <v>0.46700000000000003</v>
      </c>
      <c r="F9" s="2">
        <v>0.46300000000000002</v>
      </c>
      <c r="G9" s="10">
        <f t="shared" si="3"/>
        <v>1</v>
      </c>
      <c r="H9" s="10">
        <f>(C9-D9)/C9</f>
        <v>0.70791788856304982</v>
      </c>
      <c r="I9" s="10">
        <f t="shared" si="5"/>
        <v>1</v>
      </c>
      <c r="J9" s="19">
        <f t="shared" si="6"/>
        <v>-6.638115631691642E-2</v>
      </c>
      <c r="K9" s="19">
        <f t="shared" si="7"/>
        <v>7.0281124497991926E-2</v>
      </c>
      <c r="L9" s="6">
        <v>4.8899999999999997</v>
      </c>
      <c r="M9" s="14">
        <v>4.33</v>
      </c>
      <c r="N9" s="14">
        <v>4.91</v>
      </c>
      <c r="O9" s="8">
        <f>45.89/10</f>
        <v>4.5890000000000004</v>
      </c>
      <c r="P9" s="8">
        <f>46.22/10</f>
        <v>4.6219999999999999</v>
      </c>
      <c r="Q9" s="10">
        <f t="shared" si="0"/>
        <v>4.0733197556009088E-3</v>
      </c>
      <c r="R9" s="10">
        <f t="shared" si="1"/>
        <v>-0.13394919168591227</v>
      </c>
      <c r="S9" s="10">
        <f t="shared" si="2"/>
        <v>-0.12933025404157034</v>
      </c>
      <c r="T9" s="19">
        <f t="shared" si="8"/>
        <v>-6.9949880148180363E-2</v>
      </c>
      <c r="U9" s="19">
        <f t="shared" si="9"/>
        <v>5.8655804480651781E-2</v>
      </c>
    </row>
    <row r="10" spans="1:21" ht="15.75" x14ac:dyDescent="0.25">
      <c r="A10" s="1">
        <v>17</v>
      </c>
      <c r="B10" s="4">
        <v>8.0000000000000002E-3</v>
      </c>
      <c r="C10" s="4">
        <v>1.681</v>
      </c>
      <c r="D10" s="2">
        <v>0.57499999999999996</v>
      </c>
      <c r="E10" s="2">
        <v>0.60899999999999999</v>
      </c>
      <c r="F10" s="2">
        <v>0.60299999999999998</v>
      </c>
      <c r="G10" s="10">
        <f t="shared" si="3"/>
        <v>0.98608695652173917</v>
      </c>
      <c r="H10" s="10">
        <f t="shared" si="4"/>
        <v>0.65794170136823327</v>
      </c>
      <c r="I10" s="10">
        <f t="shared" si="5"/>
        <v>0.9952409280190363</v>
      </c>
      <c r="J10" s="19">
        <f t="shared" si="6"/>
        <v>5.5829228243021396E-2</v>
      </c>
      <c r="K10" s="19">
        <f t="shared" si="7"/>
        <v>-4.8695652173913091E-2</v>
      </c>
      <c r="L10" s="14">
        <f>35.44/10</f>
        <v>3.5439999999999996</v>
      </c>
      <c r="M10" s="14">
        <f>36.44/10</f>
        <v>3.6439999999999997</v>
      </c>
      <c r="N10" s="14">
        <f>36.22/10</f>
        <v>3.6219999999999999</v>
      </c>
      <c r="O10" s="8">
        <f>48.78/10</f>
        <v>4.8780000000000001</v>
      </c>
      <c r="P10" s="8">
        <f>30.89/10</f>
        <v>3.089</v>
      </c>
      <c r="Q10" s="10">
        <f t="shared" si="0"/>
        <v>2.1535063500828351E-2</v>
      </c>
      <c r="R10" s="10">
        <f t="shared" si="1"/>
        <v>6.037321624588309E-3</v>
      </c>
      <c r="S10" s="10">
        <f t="shared" si="2"/>
        <v>2.744237102085623E-2</v>
      </c>
      <c r="T10" s="19">
        <f t="shared" si="8"/>
        <v>0.25748257482574832</v>
      </c>
      <c r="U10" s="19">
        <f t="shared" si="9"/>
        <v>0.14715626725565983</v>
      </c>
    </row>
    <row r="11" spans="1:21" ht="15.75" x14ac:dyDescent="0.25">
      <c r="A11" s="1">
        <v>22</v>
      </c>
      <c r="B11" s="4">
        <v>2.3E-2</v>
      </c>
      <c r="C11" s="4">
        <v>1.5049999999999999</v>
      </c>
      <c r="D11" s="2">
        <v>0.56100000000000005</v>
      </c>
      <c r="E11" s="2">
        <v>0.45100000000000001</v>
      </c>
      <c r="F11" s="2">
        <v>0.41699999999999998</v>
      </c>
      <c r="G11" s="10">
        <f t="shared" si="3"/>
        <v>0.95900178253119428</v>
      </c>
      <c r="H11" s="10">
        <f t="shared" si="4"/>
        <v>0.62724252491694343</v>
      </c>
      <c r="I11" s="10">
        <f t="shared" si="5"/>
        <v>0.984717607973422</v>
      </c>
      <c r="J11" s="19">
        <f t="shared" si="6"/>
        <v>-0.24390243902439032</v>
      </c>
      <c r="K11" s="19">
        <f t="shared" si="7"/>
        <v>0.25668449197860971</v>
      </c>
      <c r="L11" s="14">
        <f>37.78/10</f>
        <v>3.778</v>
      </c>
      <c r="M11" s="14">
        <f>33/10</f>
        <v>3.3</v>
      </c>
      <c r="N11" s="14">
        <f>49.33/10</f>
        <v>4.9329999999999998</v>
      </c>
      <c r="O11" s="8">
        <f>42/10</f>
        <v>4.2</v>
      </c>
      <c r="P11" s="8">
        <f>44.44/10</f>
        <v>4.444</v>
      </c>
      <c r="Q11" s="10">
        <f t="shared" si="0"/>
        <v>0.23413744171903503</v>
      </c>
      <c r="R11" s="10">
        <f t="shared" si="1"/>
        <v>-0.49484848484848487</v>
      </c>
      <c r="S11" s="10">
        <f t="shared" si="2"/>
        <v>-0.14484848484848492</v>
      </c>
      <c r="T11" s="19">
        <f t="shared" si="8"/>
        <v>-0.17452380952380944</v>
      </c>
      <c r="U11" s="19">
        <f t="shared" si="9"/>
        <v>9.9128319481046001E-2</v>
      </c>
    </row>
    <row r="12" spans="1:21" ht="15.75" x14ac:dyDescent="0.25">
      <c r="A12" s="1">
        <v>24</v>
      </c>
      <c r="B12" s="4">
        <v>5.0000000000000001E-3</v>
      </c>
      <c r="C12" s="4">
        <v>2</v>
      </c>
      <c r="D12" s="2">
        <v>0.59099999999999997</v>
      </c>
      <c r="E12" s="2">
        <v>0.46</v>
      </c>
      <c r="F12" s="2">
        <v>0.33700000000000002</v>
      </c>
      <c r="G12" s="10">
        <f t="shared" si="3"/>
        <v>0.99153976311336711</v>
      </c>
      <c r="H12" s="10">
        <f t="shared" si="4"/>
        <v>0.70450000000000002</v>
      </c>
      <c r="I12" s="10">
        <f t="shared" si="5"/>
        <v>0.99750000000000005</v>
      </c>
      <c r="J12" s="19">
        <f t="shared" si="6"/>
        <v>-0.28478260869565203</v>
      </c>
      <c r="K12" s="19">
        <f t="shared" si="7"/>
        <v>0.42978003384094748</v>
      </c>
      <c r="L12" s="14">
        <f>47.44/10</f>
        <v>4.7439999999999998</v>
      </c>
      <c r="M12" s="14">
        <f>51.44/10</f>
        <v>5.1440000000000001</v>
      </c>
      <c r="N12" s="14">
        <f>34.67/10</f>
        <v>3.4670000000000001</v>
      </c>
      <c r="O12" s="8">
        <f>45.11/10</f>
        <v>4.5110000000000001</v>
      </c>
      <c r="P12" s="8">
        <f>44.22/10</f>
        <v>4.4219999999999997</v>
      </c>
      <c r="Q12" s="10">
        <f t="shared" si="0"/>
        <v>-0.36832996827228143</v>
      </c>
      <c r="R12" s="10">
        <f t="shared" si="1"/>
        <v>0.32601088646967341</v>
      </c>
      <c r="S12" s="10">
        <f t="shared" si="2"/>
        <v>7.7760497667185138E-2</v>
      </c>
      <c r="T12" s="19">
        <f t="shared" si="8"/>
        <v>0.2314342717800931</v>
      </c>
      <c r="U12" s="19">
        <f t="shared" si="9"/>
        <v>-0.27545428324199583</v>
      </c>
    </row>
    <row r="13" spans="1:21" ht="15.75" x14ac:dyDescent="0.25">
      <c r="A13" s="1">
        <v>25</v>
      </c>
      <c r="B13" s="4">
        <v>3.5999999999999997E-2</v>
      </c>
      <c r="C13" s="4">
        <v>1.863</v>
      </c>
      <c r="D13" s="2">
        <v>0.57999999999999996</v>
      </c>
      <c r="E13" s="2">
        <v>0.58499999999999996</v>
      </c>
      <c r="F13" s="2">
        <v>0.48499999999999999</v>
      </c>
      <c r="G13" s="10">
        <f t="shared" si="3"/>
        <v>0.93793103448275861</v>
      </c>
      <c r="H13" s="10">
        <f t="shared" si="4"/>
        <v>0.68867418142780457</v>
      </c>
      <c r="I13" s="10">
        <f t="shared" si="5"/>
        <v>0.98067632850241548</v>
      </c>
      <c r="J13" s="19">
        <f t="shared" si="6"/>
        <v>8.5470085470085548E-3</v>
      </c>
      <c r="K13" s="19">
        <f t="shared" si="7"/>
        <v>0.16379310344827583</v>
      </c>
      <c r="L13" s="14">
        <f>30.89/10</f>
        <v>3.089</v>
      </c>
      <c r="M13" s="14">
        <f>40.44/10</f>
        <v>4.0439999999999996</v>
      </c>
      <c r="N13" s="14">
        <f>42.89/10</f>
        <v>4.2889999999999997</v>
      </c>
      <c r="O13" s="8">
        <f>36.44/10</f>
        <v>3.6439999999999997</v>
      </c>
      <c r="P13" s="8">
        <f>42/10</f>
        <v>4.2</v>
      </c>
      <c r="Q13" s="10">
        <f t="shared" si="0"/>
        <v>0.27978549778503142</v>
      </c>
      <c r="R13" s="10">
        <f t="shared" si="1"/>
        <v>-6.0583580613254237E-2</v>
      </c>
      <c r="S13" s="10">
        <f t="shared" si="2"/>
        <v>0.23615232443125611</v>
      </c>
      <c r="T13" s="19">
        <f t="shared" si="8"/>
        <v>-0.17700329308452253</v>
      </c>
      <c r="U13" s="19">
        <f t="shared" si="9"/>
        <v>2.0750757752389725E-2</v>
      </c>
    </row>
    <row r="18" spans="2:4" x14ac:dyDescent="0.25">
      <c r="B18" s="26" t="s">
        <v>41</v>
      </c>
      <c r="C18" s="26"/>
      <c r="D18" s="26"/>
    </row>
    <row r="19" spans="2:4" x14ac:dyDescent="0.25">
      <c r="B19" s="25" t="s">
        <v>42</v>
      </c>
      <c r="C19" s="26" t="s">
        <v>43</v>
      </c>
      <c r="D19" s="26"/>
    </row>
    <row r="20" spans="2:4" x14ac:dyDescent="0.25">
      <c r="B20" s="25" t="s">
        <v>44</v>
      </c>
      <c r="C20" s="26" t="s">
        <v>45</v>
      </c>
      <c r="D20" s="26"/>
    </row>
    <row r="21" spans="2:4" x14ac:dyDescent="0.25">
      <c r="B21" s="25" t="s">
        <v>46</v>
      </c>
      <c r="C21" s="26" t="s">
        <v>47</v>
      </c>
      <c r="D21" s="26"/>
    </row>
    <row r="22" spans="2:4" x14ac:dyDescent="0.25">
      <c r="B22" s="25" t="s">
        <v>48</v>
      </c>
      <c r="C22" s="26" t="s">
        <v>54</v>
      </c>
      <c r="D22" s="26"/>
    </row>
    <row r="23" spans="2:4" x14ac:dyDescent="0.25">
      <c r="B23" s="25" t="s">
        <v>49</v>
      </c>
      <c r="C23" s="26" t="s">
        <v>50</v>
      </c>
      <c r="D23" s="26"/>
    </row>
  </sheetData>
  <mergeCells count="6">
    <mergeCell ref="B18:D18"/>
    <mergeCell ref="C19:D19"/>
    <mergeCell ref="C20:D20"/>
    <mergeCell ref="C21:D21"/>
    <mergeCell ref="C22:D22"/>
    <mergeCell ref="C23:D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workbookViewId="0">
      <selection activeCell="I2" sqref="I2"/>
    </sheetView>
  </sheetViews>
  <sheetFormatPr defaultRowHeight="15" x14ac:dyDescent="0.25"/>
  <cols>
    <col min="1" max="14" width="10.7109375" customWidth="1"/>
  </cols>
  <sheetData>
    <row r="1" spans="1:14" ht="15.75" x14ac:dyDescent="0.25">
      <c r="A1" s="6" t="s">
        <v>0</v>
      </c>
      <c r="B1" s="6" t="s">
        <v>1</v>
      </c>
      <c r="C1" s="4" t="s">
        <v>19</v>
      </c>
      <c r="D1" s="4" t="s">
        <v>2</v>
      </c>
      <c r="E1" s="4" t="s">
        <v>20</v>
      </c>
      <c r="F1" s="4" t="s">
        <v>21</v>
      </c>
      <c r="G1" s="4" t="s">
        <v>5</v>
      </c>
      <c r="H1" s="4" t="s">
        <v>22</v>
      </c>
      <c r="I1" s="4" t="s">
        <v>23</v>
      </c>
      <c r="J1" s="4" t="s">
        <v>10</v>
      </c>
      <c r="K1" s="4" t="s">
        <v>24</v>
      </c>
      <c r="L1" s="4" t="s">
        <v>25</v>
      </c>
      <c r="M1" s="4" t="s">
        <v>13</v>
      </c>
      <c r="N1" s="4" t="s">
        <v>26</v>
      </c>
    </row>
    <row r="2" spans="1:14" ht="15.75" x14ac:dyDescent="0.25">
      <c r="A2" s="6">
        <v>1</v>
      </c>
      <c r="B2" s="6">
        <v>1</v>
      </c>
      <c r="C2" s="7">
        <v>1.0999999999999999E-2</v>
      </c>
      <c r="D2" s="7">
        <v>0.57599999999999996</v>
      </c>
      <c r="E2" s="7">
        <v>1.4350000000000001</v>
      </c>
      <c r="F2" s="7">
        <v>7.0000000000000001E-3</v>
      </c>
      <c r="G2" s="7">
        <v>0.38300000000000001</v>
      </c>
      <c r="H2" s="7">
        <v>1.5</v>
      </c>
      <c r="I2" s="7">
        <v>7.0000000000000001E-3</v>
      </c>
      <c r="J2" s="7">
        <v>0.46899999999999997</v>
      </c>
      <c r="K2" s="7">
        <v>1.9430000000000001</v>
      </c>
      <c r="L2" s="7">
        <v>1.4999999999999999E-2</v>
      </c>
      <c r="M2" s="7">
        <v>0.57199999999999995</v>
      </c>
      <c r="N2" s="7">
        <v>2.1819999999999999</v>
      </c>
    </row>
    <row r="3" spans="1:14" ht="15.75" x14ac:dyDescent="0.25">
      <c r="A3" s="6">
        <v>3</v>
      </c>
      <c r="B3" s="6">
        <v>1</v>
      </c>
      <c r="C3" s="4">
        <v>2.3E-2</v>
      </c>
      <c r="D3" s="4">
        <v>0.48099999999999998</v>
      </c>
      <c r="E3" s="4">
        <v>1.548</v>
      </c>
      <c r="F3" s="4">
        <v>0</v>
      </c>
      <c r="G3" s="4">
        <v>0.25800000000000001</v>
      </c>
      <c r="H3" s="4">
        <v>1.6180000000000001</v>
      </c>
      <c r="I3" s="4">
        <v>5.0000000000000001E-3</v>
      </c>
      <c r="J3" s="4">
        <v>0.49399999999999999</v>
      </c>
      <c r="K3" s="4">
        <v>1.4339999999999999</v>
      </c>
      <c r="L3" s="4">
        <v>3.0000000000000001E-3</v>
      </c>
      <c r="M3" s="4">
        <v>0.51400000000000001</v>
      </c>
      <c r="N3" s="7">
        <v>1.458</v>
      </c>
    </row>
    <row r="4" spans="1:14" ht="15.75" x14ac:dyDescent="0.25">
      <c r="A4" s="6">
        <v>6</v>
      </c>
      <c r="B4" s="6">
        <v>1</v>
      </c>
      <c r="C4" s="4">
        <v>1.4E-2</v>
      </c>
      <c r="D4" s="4">
        <v>0.432</v>
      </c>
      <c r="E4" s="4">
        <v>1.44</v>
      </c>
      <c r="F4" s="4">
        <v>0</v>
      </c>
      <c r="G4" s="4">
        <v>0.504</v>
      </c>
      <c r="H4" s="4">
        <v>1.5660000000000001</v>
      </c>
      <c r="I4" s="4">
        <v>1.2999999999999999E-2</v>
      </c>
      <c r="J4" s="4">
        <v>0.56699999999999995</v>
      </c>
      <c r="K4" s="4">
        <v>1.851</v>
      </c>
      <c r="L4" s="4">
        <v>8.9999999999999993E-3</v>
      </c>
      <c r="M4" s="4">
        <v>0.53300000000000003</v>
      </c>
      <c r="N4" s="4">
        <v>1.8879999999999999</v>
      </c>
    </row>
    <row r="5" spans="1:14" ht="15.75" x14ac:dyDescent="0.25">
      <c r="A5" s="6">
        <v>7</v>
      </c>
      <c r="B5" s="6">
        <v>1</v>
      </c>
      <c r="C5" s="4">
        <v>6.0000000000000001E-3</v>
      </c>
      <c r="D5" s="4">
        <v>0.55200000000000005</v>
      </c>
      <c r="E5" s="4">
        <v>1.6559999999999999</v>
      </c>
      <c r="F5" s="4">
        <v>0</v>
      </c>
      <c r="G5" s="4">
        <v>0.437</v>
      </c>
      <c r="H5" s="4">
        <v>1.518</v>
      </c>
      <c r="I5" s="4">
        <v>3.2000000000000001E-2</v>
      </c>
      <c r="J5" s="4">
        <v>0.47899999999999998</v>
      </c>
      <c r="K5" s="4">
        <v>1.671</v>
      </c>
      <c r="L5" s="4">
        <v>0</v>
      </c>
      <c r="M5" s="4">
        <v>0.54200000000000004</v>
      </c>
      <c r="N5" s="4">
        <v>1.8779999999999999</v>
      </c>
    </row>
    <row r="6" spans="1:14" ht="15.75" x14ac:dyDescent="0.25">
      <c r="A6" s="24">
        <v>9</v>
      </c>
      <c r="B6" s="24">
        <v>1</v>
      </c>
      <c r="C6" s="5">
        <v>5.0000000000000001E-3</v>
      </c>
      <c r="D6" s="5">
        <v>0.57899999999999996</v>
      </c>
      <c r="E6" s="5">
        <v>1.593</v>
      </c>
      <c r="F6" s="5">
        <v>0</v>
      </c>
      <c r="G6" s="5">
        <v>0.52200000000000002</v>
      </c>
      <c r="H6" s="5">
        <v>1.3939999999999999</v>
      </c>
      <c r="I6" s="5">
        <v>2.5000000000000001E-2</v>
      </c>
      <c r="J6" s="5">
        <v>0.60799999999999998</v>
      </c>
      <c r="K6" s="5">
        <v>1.786</v>
      </c>
      <c r="L6" s="5">
        <v>8.0000000000000002E-3</v>
      </c>
      <c r="M6" s="5">
        <v>0.59399999999999997</v>
      </c>
      <c r="N6" s="5">
        <v>1.73</v>
      </c>
    </row>
    <row r="7" spans="1:14" ht="15.75" x14ac:dyDescent="0.25">
      <c r="A7" s="6">
        <v>11</v>
      </c>
      <c r="B7" s="6">
        <v>1</v>
      </c>
      <c r="C7" s="4">
        <v>3.0000000000000001E-3</v>
      </c>
      <c r="D7" s="4">
        <v>0.51200000000000001</v>
      </c>
      <c r="E7" s="4">
        <v>1</v>
      </c>
      <c r="F7" s="4">
        <v>2E-3</v>
      </c>
      <c r="G7" s="4">
        <v>0.48599999999999999</v>
      </c>
      <c r="H7" s="4">
        <v>1.391</v>
      </c>
      <c r="I7" s="4">
        <v>3.3000000000000002E-2</v>
      </c>
      <c r="J7" s="4">
        <v>0.54100000000000004</v>
      </c>
      <c r="K7" s="4">
        <v>1.708</v>
      </c>
      <c r="L7" s="4">
        <v>8.0000000000000002E-3</v>
      </c>
      <c r="M7" s="4">
        <v>0.437</v>
      </c>
      <c r="N7" s="4">
        <v>1.8180000000000001</v>
      </c>
    </row>
    <row r="8" spans="1:14" ht="15.75" x14ac:dyDescent="0.25">
      <c r="A8" s="6">
        <v>13</v>
      </c>
      <c r="B8" s="6">
        <v>1</v>
      </c>
      <c r="C8" s="4">
        <v>5.0000000000000001E-3</v>
      </c>
      <c r="D8" s="4">
        <v>0.35599999999999998</v>
      </c>
      <c r="E8" s="4">
        <v>1.5249999999999999</v>
      </c>
      <c r="F8" s="4">
        <v>1.0999999999999999E-2</v>
      </c>
      <c r="G8" s="4">
        <v>0.311</v>
      </c>
      <c r="H8" s="4">
        <v>1.296</v>
      </c>
      <c r="I8" s="4">
        <v>1.4999999999999999E-2</v>
      </c>
      <c r="J8" s="4">
        <v>0.47199999999999998</v>
      </c>
      <c r="K8" s="4">
        <v>1.552</v>
      </c>
      <c r="L8" s="4">
        <v>6.0000000000000001E-3</v>
      </c>
      <c r="M8" s="4">
        <v>0.47899999999999998</v>
      </c>
      <c r="N8" s="4">
        <v>1.6970000000000001</v>
      </c>
    </row>
    <row r="9" spans="1:14" ht="15.75" x14ac:dyDescent="0.25">
      <c r="A9" s="6">
        <v>15</v>
      </c>
      <c r="B9" s="6">
        <v>1</v>
      </c>
      <c r="C9" s="4">
        <v>3.0000000000000001E-3</v>
      </c>
      <c r="D9" s="4">
        <v>0.378</v>
      </c>
      <c r="E9" s="4">
        <v>1.2150000000000001</v>
      </c>
      <c r="F9" s="4">
        <v>0</v>
      </c>
      <c r="G9" s="4">
        <v>0.432</v>
      </c>
      <c r="H9" s="4">
        <v>1.2150000000000001</v>
      </c>
      <c r="I9" s="4">
        <v>6.6000000000000003E-2</v>
      </c>
      <c r="J9" s="4">
        <v>0.502</v>
      </c>
      <c r="K9" s="4">
        <v>1.7350000000000001</v>
      </c>
      <c r="L9" s="4">
        <v>0</v>
      </c>
      <c r="M9" s="4">
        <v>0.498</v>
      </c>
      <c r="N9" s="4">
        <v>1.7050000000000001</v>
      </c>
    </row>
    <row r="10" spans="1:14" ht="15.75" x14ac:dyDescent="0.25">
      <c r="A10" s="6">
        <v>17</v>
      </c>
      <c r="B10" s="6">
        <v>1</v>
      </c>
      <c r="C10" s="4">
        <v>8.9999999999999993E-3</v>
      </c>
      <c r="D10" s="4">
        <v>0.372</v>
      </c>
      <c r="E10" s="4">
        <v>1.3380000000000001</v>
      </c>
      <c r="F10" s="4">
        <v>0</v>
      </c>
      <c r="G10" s="4">
        <v>0.42099999999999999</v>
      </c>
      <c r="H10" s="4">
        <v>1.55</v>
      </c>
      <c r="I10" s="4">
        <v>0.02</v>
      </c>
      <c r="J10" s="4">
        <v>0.51300000000000001</v>
      </c>
      <c r="K10" s="4">
        <v>1.8109999999999999</v>
      </c>
      <c r="L10" s="4">
        <v>8.0000000000000002E-3</v>
      </c>
      <c r="M10" s="4">
        <v>0.57499999999999996</v>
      </c>
      <c r="N10" s="4">
        <v>1.681</v>
      </c>
    </row>
    <row r="11" spans="1:14" ht="15.75" x14ac:dyDescent="0.25">
      <c r="A11" s="6">
        <v>22</v>
      </c>
      <c r="B11" s="6">
        <v>1</v>
      </c>
      <c r="C11" s="4">
        <v>0</v>
      </c>
      <c r="D11" s="4">
        <v>0.56000000000000005</v>
      </c>
      <c r="E11" s="4">
        <v>1.177</v>
      </c>
      <c r="F11" s="4">
        <v>6.0000000000000001E-3</v>
      </c>
      <c r="G11" s="4">
        <v>0.47799999999999998</v>
      </c>
      <c r="H11" s="4">
        <v>1.292</v>
      </c>
      <c r="I11" s="4">
        <v>3.0000000000000001E-3</v>
      </c>
      <c r="J11" s="4">
        <v>0.50800000000000001</v>
      </c>
      <c r="K11" s="4">
        <v>1.635</v>
      </c>
      <c r="L11" s="4">
        <v>2.3E-2</v>
      </c>
      <c r="M11" s="4">
        <v>0.56100000000000005</v>
      </c>
      <c r="N11" s="4">
        <v>1.5049999999999999</v>
      </c>
    </row>
    <row r="12" spans="1:14" ht="15.75" x14ac:dyDescent="0.25">
      <c r="A12" s="6">
        <v>24</v>
      </c>
      <c r="B12" s="6">
        <v>1</v>
      </c>
      <c r="C12" s="4">
        <v>4.0000000000000001E-3</v>
      </c>
      <c r="D12" s="4">
        <v>0.38</v>
      </c>
      <c r="E12" s="4">
        <v>1.1399999999999999</v>
      </c>
      <c r="F12" s="4">
        <v>4.0000000000000001E-3</v>
      </c>
      <c r="G12" s="4">
        <v>0.497</v>
      </c>
      <c r="H12" s="4">
        <v>1.3859999999999999</v>
      </c>
      <c r="I12" s="4">
        <v>2E-3</v>
      </c>
      <c r="J12" s="4">
        <v>0.61499999999999999</v>
      </c>
      <c r="K12" s="4">
        <v>2.1429999999999998</v>
      </c>
      <c r="L12" s="4">
        <v>5.0000000000000001E-3</v>
      </c>
      <c r="M12" s="4">
        <v>0.59099999999999997</v>
      </c>
      <c r="N12" s="4">
        <v>2</v>
      </c>
    </row>
    <row r="13" spans="1:14" ht="15.75" x14ac:dyDescent="0.25">
      <c r="A13" s="6">
        <v>25</v>
      </c>
      <c r="B13" s="6">
        <v>1</v>
      </c>
      <c r="C13" s="4">
        <v>2.1000000000000001E-2</v>
      </c>
      <c r="D13" s="4">
        <v>0.308</v>
      </c>
      <c r="E13" s="4">
        <v>1.41</v>
      </c>
      <c r="F13" s="4">
        <v>0.02</v>
      </c>
      <c r="G13" s="4">
        <v>0.52200000000000002</v>
      </c>
      <c r="H13" s="4">
        <v>1.5049999999999999</v>
      </c>
      <c r="I13" s="4">
        <v>0.01</v>
      </c>
      <c r="J13" s="4">
        <v>0.57199999999999995</v>
      </c>
      <c r="K13" s="4">
        <v>1.8460000000000001</v>
      </c>
      <c r="L13" s="4">
        <v>3.5999999999999997E-2</v>
      </c>
      <c r="M13" s="4">
        <v>0.57999999999999996</v>
      </c>
      <c r="N13" s="4">
        <v>1.863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"/>
  <sheetViews>
    <sheetView workbookViewId="0">
      <selection activeCell="I2" sqref="I2"/>
    </sheetView>
  </sheetViews>
  <sheetFormatPr defaultRowHeight="15" x14ac:dyDescent="0.25"/>
  <cols>
    <col min="1" max="16" width="10.7109375" customWidth="1"/>
  </cols>
  <sheetData>
    <row r="1" spans="1:16" s="3" customFormat="1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s="3" customFormat="1" ht="15.75" x14ac:dyDescent="0.25">
      <c r="A2" s="1">
        <v>1</v>
      </c>
      <c r="B2" s="1">
        <v>1</v>
      </c>
      <c r="C2" s="2">
        <v>0.57599999999999996</v>
      </c>
      <c r="D2" s="2">
        <v>0.45700000000000002</v>
      </c>
      <c r="E2" s="2">
        <v>0.39100000000000001</v>
      </c>
      <c r="F2" s="2">
        <v>0.38300000000000001</v>
      </c>
      <c r="G2" s="2">
        <v>0.37</v>
      </c>
      <c r="H2" s="2">
        <v>0.52200000000000002</v>
      </c>
      <c r="I2" s="2">
        <f>G2-F2</f>
        <v>-1.3000000000000012E-2</v>
      </c>
      <c r="J2" s="2">
        <f>F2-H2</f>
        <v>-0.13900000000000001</v>
      </c>
      <c r="K2" s="2">
        <v>0.46899999999999997</v>
      </c>
      <c r="L2" s="2">
        <v>0.55400000000000005</v>
      </c>
      <c r="M2" s="2">
        <v>0.42599999999999999</v>
      </c>
      <c r="N2" s="2">
        <v>0.57199999999999995</v>
      </c>
      <c r="O2" s="2">
        <v>0.502</v>
      </c>
      <c r="P2" s="2">
        <v>0.46899999999999997</v>
      </c>
    </row>
    <row r="3" spans="1:16" s="3" customFormat="1" ht="15.75" x14ac:dyDescent="0.25">
      <c r="A3" s="1">
        <v>3</v>
      </c>
      <c r="B3" s="1">
        <v>1</v>
      </c>
      <c r="C3" s="2">
        <v>0.48099999999999998</v>
      </c>
      <c r="D3" s="2">
        <v>0.30499999999999999</v>
      </c>
      <c r="E3" s="2">
        <v>0.28100000000000003</v>
      </c>
      <c r="F3" s="2">
        <v>0.25800000000000001</v>
      </c>
      <c r="G3" s="2">
        <v>0.46899999999999997</v>
      </c>
      <c r="H3" s="2">
        <v>0.42199999999999999</v>
      </c>
      <c r="I3" s="2">
        <f t="shared" ref="I3:I13" si="0">G3-F3</f>
        <v>0.21099999999999997</v>
      </c>
      <c r="J3" s="2">
        <f t="shared" ref="J3:J13" si="1">F3-H3</f>
        <v>-0.16399999999999998</v>
      </c>
      <c r="K3" s="2">
        <v>0.49399999999999999</v>
      </c>
      <c r="L3" s="2">
        <v>0.49</v>
      </c>
      <c r="M3" s="2">
        <v>0.4</v>
      </c>
      <c r="N3" s="2">
        <v>0.51400000000000001</v>
      </c>
      <c r="O3" s="2">
        <v>0.47599999999999998</v>
      </c>
      <c r="P3" s="2">
        <v>0.38500000000000001</v>
      </c>
    </row>
    <row r="4" spans="1:16" s="3" customFormat="1" ht="15.75" x14ac:dyDescent="0.25">
      <c r="A4" s="1">
        <v>6</v>
      </c>
      <c r="B4" s="1">
        <v>1</v>
      </c>
      <c r="C4" s="2">
        <v>0.432</v>
      </c>
      <c r="D4" s="2">
        <v>0.64800000000000002</v>
      </c>
      <c r="E4" s="2">
        <v>0.45600000000000002</v>
      </c>
      <c r="F4" s="2">
        <v>0.504</v>
      </c>
      <c r="G4" s="2">
        <v>0.45600000000000002</v>
      </c>
      <c r="H4" s="2">
        <v>0.48</v>
      </c>
      <c r="I4" s="2">
        <f t="shared" si="0"/>
        <v>-4.7999999999999987E-2</v>
      </c>
      <c r="J4" s="2">
        <f t="shared" si="1"/>
        <v>2.4000000000000021E-2</v>
      </c>
      <c r="K4" s="2">
        <v>0.56699999999999995</v>
      </c>
      <c r="L4" s="2">
        <v>0.64800000000000002</v>
      </c>
      <c r="M4" s="2">
        <v>0.57499999999999996</v>
      </c>
      <c r="N4" s="2">
        <v>0.53300000000000003</v>
      </c>
      <c r="O4" s="2">
        <v>0.66</v>
      </c>
      <c r="P4" s="2">
        <v>0.51200000000000001</v>
      </c>
    </row>
    <row r="5" spans="1:16" s="3" customFormat="1" ht="15.75" x14ac:dyDescent="0.25">
      <c r="A5" s="1">
        <v>7</v>
      </c>
      <c r="B5" s="1">
        <v>1</v>
      </c>
      <c r="C5" s="2">
        <v>0.55200000000000005</v>
      </c>
      <c r="D5" s="2">
        <v>0.621</v>
      </c>
      <c r="E5" s="2">
        <v>0.47099999999999997</v>
      </c>
      <c r="F5" s="2">
        <v>0.437</v>
      </c>
      <c r="G5" s="2">
        <v>0.50600000000000001</v>
      </c>
      <c r="H5" s="2">
        <v>0.48299999999999998</v>
      </c>
      <c r="I5" s="2">
        <f t="shared" si="0"/>
        <v>6.9000000000000006E-2</v>
      </c>
      <c r="J5" s="2">
        <f t="shared" si="1"/>
        <v>-4.5999999999999985E-2</v>
      </c>
      <c r="K5" s="2">
        <v>0.47899999999999998</v>
      </c>
      <c r="L5" s="2">
        <v>0.60399999999999998</v>
      </c>
      <c r="M5" s="2">
        <v>0.56799999999999995</v>
      </c>
      <c r="N5" s="2">
        <v>0.54200000000000004</v>
      </c>
      <c r="O5" s="2">
        <v>0.61499999999999999</v>
      </c>
      <c r="P5" s="2">
        <v>0.377</v>
      </c>
    </row>
    <row r="6" spans="1:16" s="3" customFormat="1" ht="15.75" x14ac:dyDescent="0.25">
      <c r="A6" s="23">
        <v>9</v>
      </c>
      <c r="B6" s="23">
        <v>1</v>
      </c>
      <c r="C6" s="5">
        <v>0.57899999999999996</v>
      </c>
      <c r="D6" s="5">
        <v>0.34399999999999997</v>
      </c>
      <c r="E6" s="5">
        <v>0.49</v>
      </c>
      <c r="F6" s="5">
        <v>0.52200000000000002</v>
      </c>
      <c r="G6" s="5">
        <v>0.55700000000000005</v>
      </c>
      <c r="H6" s="5">
        <v>0.09</v>
      </c>
      <c r="I6" s="5">
        <f t="shared" si="0"/>
        <v>3.5000000000000031E-2</v>
      </c>
      <c r="J6" s="5">
        <f t="shared" si="1"/>
        <v>0.43200000000000005</v>
      </c>
      <c r="K6" s="5">
        <v>0.60799999999999998</v>
      </c>
      <c r="L6" s="5">
        <v>0.60799999999999998</v>
      </c>
      <c r="M6" s="5">
        <v>0.63100000000000001</v>
      </c>
      <c r="N6" s="5">
        <v>0.59399999999999997</v>
      </c>
      <c r="O6" s="5">
        <v>0.67800000000000005</v>
      </c>
      <c r="P6" s="5">
        <v>0.50600000000000001</v>
      </c>
    </row>
    <row r="7" spans="1:16" s="3" customFormat="1" ht="15.75" x14ac:dyDescent="0.25">
      <c r="A7" s="1">
        <v>11</v>
      </c>
      <c r="B7" s="1">
        <v>1</v>
      </c>
      <c r="C7" s="2">
        <v>0.51200000000000001</v>
      </c>
      <c r="D7" s="2">
        <v>0.13300000000000001</v>
      </c>
      <c r="E7" s="2">
        <v>0.35399999999999998</v>
      </c>
      <c r="F7" s="2">
        <v>0.48599999999999999</v>
      </c>
      <c r="G7" s="2">
        <v>0.50600000000000001</v>
      </c>
      <c r="H7" s="2">
        <v>0.439</v>
      </c>
      <c r="I7" s="2">
        <f t="shared" si="0"/>
        <v>2.0000000000000018E-2</v>
      </c>
      <c r="J7" s="2">
        <f t="shared" si="1"/>
        <v>4.6999999999999986E-2</v>
      </c>
      <c r="K7" s="2">
        <v>0.54100000000000004</v>
      </c>
      <c r="L7" s="2">
        <v>0.624</v>
      </c>
      <c r="M7" s="2">
        <v>0.60799999999999998</v>
      </c>
      <c r="N7" s="2">
        <v>0.437</v>
      </c>
      <c r="O7" s="2">
        <v>0.71199999999999997</v>
      </c>
      <c r="P7" s="2">
        <v>0.48699999999999999</v>
      </c>
    </row>
    <row r="8" spans="1:16" s="3" customFormat="1" ht="15.75" x14ac:dyDescent="0.25">
      <c r="A8" s="1">
        <v>13</v>
      </c>
      <c r="B8" s="1">
        <v>1</v>
      </c>
      <c r="C8" s="2">
        <v>0.35599999999999998</v>
      </c>
      <c r="D8" s="2">
        <v>0.35599999999999998</v>
      </c>
      <c r="E8" s="2">
        <v>0.33</v>
      </c>
      <c r="F8" s="2">
        <v>0.311</v>
      </c>
      <c r="G8" s="2">
        <v>0.38100000000000001</v>
      </c>
      <c r="H8" s="2">
        <v>0.27400000000000002</v>
      </c>
      <c r="I8" s="2">
        <f t="shared" si="0"/>
        <v>7.0000000000000007E-2</v>
      </c>
      <c r="J8" s="2">
        <f t="shared" si="1"/>
        <v>3.6999999999999977E-2</v>
      </c>
      <c r="K8" s="2">
        <v>0.47199999999999998</v>
      </c>
      <c r="L8" s="2">
        <v>0.54100000000000004</v>
      </c>
      <c r="M8" s="2">
        <v>0.45400000000000001</v>
      </c>
      <c r="N8" s="2">
        <v>0.47899999999999998</v>
      </c>
      <c r="O8" s="2">
        <v>0.53900000000000003</v>
      </c>
      <c r="P8" s="2">
        <v>0.47399999999999998</v>
      </c>
    </row>
    <row r="9" spans="1:16" s="3" customFormat="1" ht="15.75" x14ac:dyDescent="0.25">
      <c r="A9" s="1">
        <v>15</v>
      </c>
      <c r="B9" s="1">
        <v>1</v>
      </c>
      <c r="C9" s="2">
        <v>0.378</v>
      </c>
      <c r="D9" s="2">
        <v>0.378</v>
      </c>
      <c r="E9" s="2">
        <v>0.32400000000000001</v>
      </c>
      <c r="F9" s="2">
        <v>0.432</v>
      </c>
      <c r="G9" s="2">
        <v>0.108</v>
      </c>
      <c r="H9" s="2">
        <v>0.26400000000000001</v>
      </c>
      <c r="I9" s="2">
        <f t="shared" si="0"/>
        <v>-0.32400000000000001</v>
      </c>
      <c r="J9" s="2">
        <f t="shared" si="1"/>
        <v>0.16799999999999998</v>
      </c>
      <c r="K9" s="2">
        <v>0.502</v>
      </c>
      <c r="L9" s="2">
        <v>0.45900000000000002</v>
      </c>
      <c r="M9" s="2">
        <v>0.5</v>
      </c>
      <c r="N9" s="2">
        <v>0.498</v>
      </c>
      <c r="O9" s="2">
        <v>0.46700000000000003</v>
      </c>
      <c r="P9" s="2">
        <v>0.46300000000000002</v>
      </c>
    </row>
    <row r="10" spans="1:16" s="3" customFormat="1" ht="15.75" x14ac:dyDescent="0.25">
      <c r="A10" s="1">
        <v>17</v>
      </c>
      <c r="B10" s="1">
        <v>1</v>
      </c>
      <c r="C10" s="2">
        <v>0.372</v>
      </c>
      <c r="D10" s="2">
        <v>0.39700000000000002</v>
      </c>
      <c r="E10" s="2">
        <v>0.32200000000000001</v>
      </c>
      <c r="F10" s="2">
        <v>0.42099999999999999</v>
      </c>
      <c r="G10" s="2">
        <v>0.86699999999999999</v>
      </c>
      <c r="H10" s="2">
        <v>0.37</v>
      </c>
      <c r="I10" s="2">
        <f t="shared" si="0"/>
        <v>0.44600000000000001</v>
      </c>
      <c r="J10" s="2">
        <f t="shared" si="1"/>
        <v>5.099999999999999E-2</v>
      </c>
      <c r="K10" s="2">
        <v>0.51300000000000001</v>
      </c>
      <c r="L10" s="2">
        <v>0.59799999999999998</v>
      </c>
      <c r="M10" s="2">
        <v>0.443</v>
      </c>
      <c r="N10" s="2">
        <v>0.57499999999999996</v>
      </c>
      <c r="O10" s="2">
        <v>0.60899999999999999</v>
      </c>
      <c r="P10" s="2">
        <v>0.60299999999999998</v>
      </c>
    </row>
    <row r="11" spans="1:16" s="3" customFormat="1" ht="15.75" x14ac:dyDescent="0.25">
      <c r="A11" s="1">
        <v>22</v>
      </c>
      <c r="B11" s="1">
        <v>1</v>
      </c>
      <c r="C11" s="2">
        <v>0.56000000000000005</v>
      </c>
      <c r="D11" s="2">
        <v>0.28000000000000003</v>
      </c>
      <c r="E11" s="2">
        <v>0.33600000000000002</v>
      </c>
      <c r="F11" s="2">
        <v>0.47799999999999998</v>
      </c>
      <c r="G11" s="2">
        <v>0.42899999999999999</v>
      </c>
      <c r="H11" s="2">
        <v>0.33500000000000002</v>
      </c>
      <c r="I11" s="2">
        <f t="shared" si="0"/>
        <v>-4.8999999999999988E-2</v>
      </c>
      <c r="J11" s="2">
        <f t="shared" si="1"/>
        <v>0.14299999999999996</v>
      </c>
      <c r="K11" s="2">
        <v>0.50800000000000001</v>
      </c>
      <c r="L11" s="2">
        <v>0.64100000000000001</v>
      </c>
      <c r="M11" s="2">
        <v>0.38800000000000001</v>
      </c>
      <c r="N11" s="2">
        <v>0.56100000000000005</v>
      </c>
      <c r="O11" s="2">
        <v>0.45100000000000001</v>
      </c>
      <c r="P11" s="2">
        <v>0.41699999999999998</v>
      </c>
    </row>
    <row r="12" spans="1:16" s="3" customFormat="1" ht="15.75" x14ac:dyDescent="0.25">
      <c r="A12" s="1">
        <v>24</v>
      </c>
      <c r="B12" s="1">
        <v>1</v>
      </c>
      <c r="C12" s="2">
        <v>0.38</v>
      </c>
      <c r="D12" s="2">
        <v>0.29199999999999998</v>
      </c>
      <c r="E12" s="2">
        <v>0.20499999999999999</v>
      </c>
      <c r="F12" s="2">
        <v>0.497</v>
      </c>
      <c r="G12" s="2">
        <v>0.23</v>
      </c>
      <c r="H12" s="2">
        <v>3.1E-2</v>
      </c>
      <c r="I12" s="2">
        <f t="shared" si="0"/>
        <v>-0.26700000000000002</v>
      </c>
      <c r="J12" s="2">
        <f t="shared" si="1"/>
        <v>0.46599999999999997</v>
      </c>
      <c r="K12" s="2">
        <v>0.61499999999999999</v>
      </c>
      <c r="L12" s="2">
        <v>0.6</v>
      </c>
      <c r="M12" s="2">
        <v>0.19500000000000001</v>
      </c>
      <c r="N12" s="2">
        <v>0.59099999999999997</v>
      </c>
      <c r="O12" s="2">
        <v>0.46</v>
      </c>
      <c r="P12" s="2">
        <v>0.33700000000000002</v>
      </c>
    </row>
    <row r="13" spans="1:16" s="3" customFormat="1" ht="15.75" x14ac:dyDescent="0.25">
      <c r="A13" s="1">
        <v>25</v>
      </c>
      <c r="B13" s="1">
        <v>1</v>
      </c>
      <c r="C13" s="2">
        <v>0.308</v>
      </c>
      <c r="D13" s="2">
        <v>0.41099999999999998</v>
      </c>
      <c r="E13" s="2">
        <v>0.26400000000000001</v>
      </c>
      <c r="F13" s="2">
        <v>0.52200000000000002</v>
      </c>
      <c r="G13" s="2">
        <v>0.31900000000000001</v>
      </c>
      <c r="H13" s="2">
        <v>0.23599999999999999</v>
      </c>
      <c r="I13" s="2">
        <f t="shared" si="0"/>
        <v>-0.20300000000000001</v>
      </c>
      <c r="J13" s="2">
        <f t="shared" si="1"/>
        <v>0.28600000000000003</v>
      </c>
      <c r="K13" s="2">
        <v>0.57199999999999995</v>
      </c>
      <c r="L13" s="2">
        <v>0.63300000000000001</v>
      </c>
      <c r="M13" s="2">
        <v>0.36499999999999999</v>
      </c>
      <c r="N13" s="2">
        <v>0.57999999999999996</v>
      </c>
      <c r="O13" s="2">
        <v>0.58499999999999996</v>
      </c>
      <c r="P13" s="2">
        <v>0.48499999999999999</v>
      </c>
    </row>
  </sheetData>
  <pageMargins left="0.7" right="0.7" top="0.75" bottom="0.75" header="0.3" footer="0.3"/>
  <pageSetup orientation="portrait" verticalDpi="597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3"/>
  <sheetViews>
    <sheetView workbookViewId="0">
      <selection activeCell="C26" sqref="C26"/>
    </sheetView>
  </sheetViews>
  <sheetFormatPr defaultRowHeight="15.75" x14ac:dyDescent="0.25"/>
  <cols>
    <col min="1" max="18" width="8.85546875" style="6"/>
  </cols>
  <sheetData>
    <row r="1" spans="1:6" x14ac:dyDescent="0.25">
      <c r="A1" s="6" t="s">
        <v>0</v>
      </c>
      <c r="B1" s="6" t="s">
        <v>31</v>
      </c>
      <c r="C1" s="6" t="s">
        <v>32</v>
      </c>
      <c r="D1" s="6" t="s">
        <v>33</v>
      </c>
      <c r="E1" s="11" t="s">
        <v>34</v>
      </c>
      <c r="F1" s="11" t="s">
        <v>35</v>
      </c>
    </row>
    <row r="2" spans="1:6" x14ac:dyDescent="0.25">
      <c r="A2" s="6">
        <v>1</v>
      </c>
      <c r="B2" s="14">
        <f>14.89/10</f>
        <v>1.4890000000000001</v>
      </c>
      <c r="C2" s="14">
        <f>42.44/10</f>
        <v>4.2439999999999998</v>
      </c>
      <c r="D2" s="14">
        <v>3.3</v>
      </c>
      <c r="E2" s="11">
        <f>35.56/10</f>
        <v>3.556</v>
      </c>
      <c r="F2" s="11">
        <v>46.44</v>
      </c>
    </row>
    <row r="3" spans="1:6" x14ac:dyDescent="0.25">
      <c r="A3" s="6">
        <v>3</v>
      </c>
      <c r="B3" s="14">
        <f>35.44/10</f>
        <v>3.5439999999999996</v>
      </c>
      <c r="C3" s="14">
        <f>24.44/10</f>
        <v>2.444</v>
      </c>
      <c r="D3" s="14">
        <f>43.44/10</f>
        <v>4.3439999999999994</v>
      </c>
      <c r="E3" s="11">
        <f>37.11/10</f>
        <v>3.7109999999999999</v>
      </c>
      <c r="F3" s="11">
        <v>50.33</v>
      </c>
    </row>
    <row r="4" spans="1:6" x14ac:dyDescent="0.25">
      <c r="A4" s="6">
        <v>6</v>
      </c>
      <c r="B4" s="14">
        <f>29.67/10</f>
        <v>2.9670000000000001</v>
      </c>
      <c r="C4" s="14">
        <f>39.44/10</f>
        <v>3.944</v>
      </c>
      <c r="D4" s="14">
        <f>40.56/10</f>
        <v>4.056</v>
      </c>
      <c r="E4" s="11">
        <f>35.33/10</f>
        <v>3.5329999999999999</v>
      </c>
      <c r="F4" s="11">
        <v>36.33</v>
      </c>
    </row>
    <row r="5" spans="1:6" x14ac:dyDescent="0.25">
      <c r="A5" s="6">
        <v>7</v>
      </c>
      <c r="B5" s="14">
        <f>46.78/10</f>
        <v>4.6779999999999999</v>
      </c>
      <c r="C5" s="14">
        <f>44/10</f>
        <v>4.4000000000000004</v>
      </c>
      <c r="D5" s="14">
        <f>53.33/10</f>
        <v>5.3330000000000002</v>
      </c>
      <c r="E5" s="11">
        <f>43.44/10</f>
        <v>4.3439999999999994</v>
      </c>
      <c r="F5" s="11">
        <v>55.78</v>
      </c>
    </row>
    <row r="6" spans="1:6" x14ac:dyDescent="0.25">
      <c r="A6" s="24">
        <v>9</v>
      </c>
      <c r="B6" s="15">
        <f>18/10</f>
        <v>1.8</v>
      </c>
      <c r="C6" s="15">
        <f>26.67/10</f>
        <v>2.6670000000000003</v>
      </c>
      <c r="D6" s="15"/>
      <c r="E6" s="16">
        <f>48.11/10</f>
        <v>4.8109999999999999</v>
      </c>
      <c r="F6" s="16">
        <v>18.440000000000001</v>
      </c>
    </row>
    <row r="7" spans="1:6" x14ac:dyDescent="0.25">
      <c r="A7" s="6">
        <v>11</v>
      </c>
      <c r="B7" s="14">
        <f>11.44/10</f>
        <v>1.1439999999999999</v>
      </c>
      <c r="C7" s="14">
        <f>36.78/10</f>
        <v>3.6779999999999999</v>
      </c>
      <c r="D7" s="14">
        <f>27.22/10</f>
        <v>2.722</v>
      </c>
      <c r="E7" s="11">
        <f>48.44/10</f>
        <v>4.8439999999999994</v>
      </c>
      <c r="F7" s="11">
        <v>35.11</v>
      </c>
    </row>
    <row r="8" spans="1:6" x14ac:dyDescent="0.25">
      <c r="A8" s="6">
        <v>13</v>
      </c>
      <c r="B8" s="14">
        <f>19.89/10</f>
        <v>1.9890000000000001</v>
      </c>
      <c r="C8" s="14">
        <f>49/10</f>
        <v>4.9000000000000004</v>
      </c>
      <c r="D8" s="14">
        <f>50.67/10</f>
        <v>5.0670000000000002</v>
      </c>
      <c r="E8" s="11">
        <f>48.44/10</f>
        <v>4.8439999999999994</v>
      </c>
      <c r="F8" s="11">
        <v>46.33</v>
      </c>
    </row>
    <row r="9" spans="1:6" x14ac:dyDescent="0.25">
      <c r="A9" s="6">
        <v>15</v>
      </c>
      <c r="B9" s="6">
        <v>4.8899999999999997</v>
      </c>
      <c r="C9" s="14">
        <v>4.33</v>
      </c>
      <c r="D9" s="14">
        <v>4.91</v>
      </c>
      <c r="E9" s="11">
        <f>45.89/10</f>
        <v>4.5890000000000004</v>
      </c>
      <c r="F9" s="11">
        <v>46.22</v>
      </c>
    </row>
    <row r="10" spans="1:6" x14ac:dyDescent="0.25">
      <c r="A10" s="6">
        <v>17</v>
      </c>
      <c r="B10" s="14">
        <f>35.44/10</f>
        <v>3.5439999999999996</v>
      </c>
      <c r="C10" s="14">
        <f>36.44/10</f>
        <v>3.6439999999999997</v>
      </c>
      <c r="D10" s="14">
        <f>36.22/10</f>
        <v>3.6219999999999999</v>
      </c>
      <c r="E10" s="11">
        <f>48.78/10</f>
        <v>4.8780000000000001</v>
      </c>
      <c r="F10" s="11">
        <v>30.89</v>
      </c>
    </row>
    <row r="11" spans="1:6" x14ac:dyDescent="0.25">
      <c r="A11" s="6">
        <v>22</v>
      </c>
      <c r="B11" s="14">
        <f>37.78/10</f>
        <v>3.778</v>
      </c>
      <c r="C11" s="14">
        <f>33/10</f>
        <v>3.3</v>
      </c>
      <c r="D11" s="14">
        <f>49.33/10</f>
        <v>4.9329999999999998</v>
      </c>
      <c r="E11" s="11">
        <f>42/10</f>
        <v>4.2</v>
      </c>
      <c r="F11" s="11">
        <v>44.44</v>
      </c>
    </row>
    <row r="12" spans="1:6" x14ac:dyDescent="0.25">
      <c r="A12" s="6">
        <v>24</v>
      </c>
      <c r="B12" s="14">
        <f>47.44/10</f>
        <v>4.7439999999999998</v>
      </c>
      <c r="C12" s="14">
        <f>51.44/10</f>
        <v>5.1440000000000001</v>
      </c>
      <c r="D12" s="14">
        <f>34.67/10</f>
        <v>3.4670000000000001</v>
      </c>
      <c r="E12" s="11">
        <f>45.11/10</f>
        <v>4.5110000000000001</v>
      </c>
      <c r="F12" s="11">
        <v>44.22</v>
      </c>
    </row>
    <row r="13" spans="1:6" x14ac:dyDescent="0.25">
      <c r="A13" s="6">
        <v>25</v>
      </c>
      <c r="B13" s="14">
        <f>30.89/10</f>
        <v>3.089</v>
      </c>
      <c r="C13" s="14">
        <f>40.44/10</f>
        <v>4.0439999999999996</v>
      </c>
      <c r="D13" s="14">
        <f>42.89/10</f>
        <v>4.2889999999999997</v>
      </c>
      <c r="E13" s="11">
        <f>36.44/10</f>
        <v>3.6439999999999997</v>
      </c>
      <c r="F13" s="1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Sheet</vt:lpstr>
      <vt:lpstr>HC D</vt:lpstr>
      <vt:lpstr>HC IC</vt:lpstr>
      <vt:lpstr>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Thompson</dc:creator>
  <cp:lastModifiedBy>Howard Casey Cromwell</cp:lastModifiedBy>
  <dcterms:created xsi:type="dcterms:W3CDTF">2022-07-28T18:27:21Z</dcterms:created>
  <dcterms:modified xsi:type="dcterms:W3CDTF">2025-09-28T15:24:20Z</dcterms:modified>
</cp:coreProperties>
</file>