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hcc\Desktop\"/>
    </mc:Choice>
  </mc:AlternateContent>
  <xr:revisionPtr revIDLastSave="0" documentId="13_ncr:1_{445E56F5-DB98-425C-80EC-1BE76895E4C9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Ad Lib and Restricted" sheetId="1" r:id="rId1"/>
    <sheet name="Restricted only" sheetId="3" r:id="rId2"/>
    <sheet name="Home Cage Restricted" sheetId="4" r:id="rId3"/>
    <sheet name="Home Cage Ad Lib" sheetId="2" r:id="rId4"/>
    <sheet name="Operant Restricted" sheetId="5" r:id="rId5"/>
    <sheet name="Trial Numbers for females OP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6" l="1"/>
  <c r="E15" i="6"/>
  <c r="D15" i="6"/>
  <c r="C15" i="6"/>
  <c r="B15" i="6"/>
  <c r="G15" i="4"/>
  <c r="F15" i="4"/>
  <c r="E15" i="4"/>
  <c r="G14" i="4"/>
  <c r="F14" i="4"/>
  <c r="E14" i="4"/>
  <c r="G13" i="4"/>
  <c r="F13" i="4"/>
  <c r="E13" i="4"/>
  <c r="G12" i="4"/>
  <c r="F12" i="4"/>
  <c r="E12" i="4"/>
  <c r="G11" i="4"/>
  <c r="F11" i="4"/>
  <c r="E11" i="4"/>
  <c r="G10" i="4"/>
  <c r="F10" i="4"/>
  <c r="E10" i="4"/>
  <c r="G9" i="4"/>
  <c r="F9" i="4"/>
  <c r="E9" i="4"/>
  <c r="G8" i="4"/>
  <c r="F8" i="4"/>
  <c r="E8" i="4"/>
  <c r="G7" i="4"/>
  <c r="F7" i="4"/>
  <c r="E7" i="4"/>
  <c r="G6" i="4"/>
  <c r="F6" i="4"/>
  <c r="E6" i="4"/>
  <c r="G5" i="4"/>
  <c r="F5" i="4"/>
  <c r="E5" i="4"/>
  <c r="G4" i="4"/>
  <c r="F4" i="4"/>
  <c r="E4" i="4"/>
  <c r="G15" i="2"/>
  <c r="G14" i="2"/>
  <c r="G13" i="2"/>
  <c r="G12" i="2"/>
  <c r="G11" i="2"/>
  <c r="G10" i="2"/>
  <c r="G9" i="2"/>
  <c r="G8" i="2"/>
  <c r="G7" i="2"/>
  <c r="G6" i="2"/>
  <c r="G5" i="2"/>
  <c r="G4" i="2"/>
  <c r="F15" i="2"/>
  <c r="F14" i="2"/>
  <c r="F13" i="2"/>
  <c r="F12" i="2"/>
  <c r="F11" i="2"/>
  <c r="F10" i="2"/>
  <c r="F9" i="2"/>
  <c r="F8" i="2"/>
  <c r="F7" i="2"/>
  <c r="F6" i="2"/>
  <c r="F5" i="2"/>
  <c r="F4" i="2"/>
  <c r="E15" i="2"/>
  <c r="E14" i="2"/>
  <c r="E13" i="2"/>
  <c r="E12" i="2"/>
  <c r="E11" i="2"/>
  <c r="E10" i="2"/>
  <c r="E9" i="2"/>
  <c r="E8" i="2"/>
  <c r="E7" i="2"/>
  <c r="E6" i="2"/>
  <c r="E5" i="2"/>
  <c r="E4" i="2"/>
</calcChain>
</file>

<file path=xl/sharedStrings.xml><?xml version="1.0" encoding="utf-8"?>
<sst xmlns="http://schemas.openxmlformats.org/spreadsheetml/2006/main" count="87" uniqueCount="40">
  <si>
    <t>Rat</t>
  </si>
  <si>
    <t>HomeCage Discrimination</t>
  </si>
  <si>
    <t>HomeCage IC</t>
  </si>
  <si>
    <t>Operant Discrimination</t>
  </si>
  <si>
    <t>HAdOne</t>
  </si>
  <si>
    <t>HAdTen</t>
  </si>
  <si>
    <t>HAdThirty</t>
  </si>
  <si>
    <t>HRone</t>
  </si>
  <si>
    <t>HRten</t>
  </si>
  <si>
    <t>HRthirty</t>
  </si>
  <si>
    <t>HAdPC</t>
  </si>
  <si>
    <t>HAdNC</t>
  </si>
  <si>
    <t>HRPC</t>
  </si>
  <si>
    <t>HRNC</t>
  </si>
  <si>
    <t>Oone</t>
  </si>
  <si>
    <t>Oten</t>
  </si>
  <si>
    <t>Othirty</t>
  </si>
  <si>
    <t>Licking Discrimination</t>
  </si>
  <si>
    <t>Lone</t>
  </si>
  <si>
    <t>Lten</t>
  </si>
  <si>
    <t>Lthirty</t>
  </si>
  <si>
    <t>Licking IC</t>
  </si>
  <si>
    <t>LPC</t>
  </si>
  <si>
    <t>LNC</t>
  </si>
  <si>
    <t>DS10-1</t>
  </si>
  <si>
    <t>DS30-10</t>
  </si>
  <si>
    <t>DS30-1</t>
  </si>
  <si>
    <t>OpPC</t>
  </si>
  <si>
    <t>OpNC</t>
  </si>
  <si>
    <t>NPThirty</t>
  </si>
  <si>
    <t>NP Ten</t>
  </si>
  <si>
    <t>NP One</t>
  </si>
  <si>
    <t>NP PC</t>
  </si>
  <si>
    <t>NP NC</t>
  </si>
  <si>
    <t>Rat number</t>
  </si>
  <si>
    <t>trials 1%</t>
  </si>
  <si>
    <t>trials 10</t>
  </si>
  <si>
    <t xml:space="preserve">trials 30 </t>
  </si>
  <si>
    <t>Trials PC</t>
  </si>
  <si>
    <t>Trials 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</si>
</sst>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"/>
  <sheetViews>
    <sheetView workbookViewId="0"/>
  </sheetViews>
  <sheetFormatPr defaultRowHeight="15" x14ac:dyDescent="0.25"/>
  <cols>
    <col min="1" max="7" width="9.140625" style="1"/>
    <col min="12" max="22" width="9.140625" style="3"/>
  </cols>
  <sheetData>
    <row r="1" spans="1:20" x14ac:dyDescent="0.25">
      <c r="B1" s="12" t="s">
        <v>1</v>
      </c>
      <c r="C1" s="12"/>
      <c r="D1" s="12"/>
      <c r="E1" s="12"/>
      <c r="F1" s="12"/>
      <c r="G1" s="12"/>
      <c r="H1" s="13" t="s">
        <v>2</v>
      </c>
      <c r="I1" s="13"/>
      <c r="J1" s="13"/>
      <c r="K1" s="13"/>
      <c r="L1" s="13" t="s">
        <v>3</v>
      </c>
      <c r="M1" s="13"/>
      <c r="N1" s="13"/>
      <c r="O1" s="13" t="s">
        <v>17</v>
      </c>
      <c r="P1" s="13"/>
      <c r="Q1" s="13"/>
      <c r="R1" s="13" t="s">
        <v>21</v>
      </c>
      <c r="S1" s="13"/>
      <c r="T1" s="4"/>
    </row>
    <row r="2" spans="1:20" x14ac:dyDescent="0.25">
      <c r="A2" s="1" t="s">
        <v>0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3" t="s">
        <v>18</v>
      </c>
      <c r="P2" s="3" t="s">
        <v>19</v>
      </c>
      <c r="Q2" s="3" t="s">
        <v>20</v>
      </c>
      <c r="R2" s="3" t="s">
        <v>22</v>
      </c>
      <c r="S2" s="3" t="s">
        <v>23</v>
      </c>
    </row>
    <row r="3" spans="1:20" x14ac:dyDescent="0.25">
      <c r="A3" s="1">
        <v>1</v>
      </c>
      <c r="B3" s="2">
        <v>7.0000000000000001E-3</v>
      </c>
      <c r="C3" s="2">
        <v>0.38300000000000001</v>
      </c>
      <c r="D3" s="2">
        <v>1.5</v>
      </c>
      <c r="E3" s="2">
        <v>1.4999999999999999E-2</v>
      </c>
      <c r="F3" s="2">
        <v>0.57199999999999995</v>
      </c>
      <c r="G3" s="2">
        <v>2.1819999999999999</v>
      </c>
      <c r="H3">
        <v>-1.2999999999999999E-2</v>
      </c>
      <c r="I3">
        <v>-0.13900000000000001</v>
      </c>
      <c r="J3">
        <v>-7.0000000000000007E-2</v>
      </c>
      <c r="K3">
        <v>0.10299999999999999</v>
      </c>
      <c r="L3" s="5">
        <v>0.4</v>
      </c>
      <c r="M3" s="5">
        <v>2</v>
      </c>
      <c r="N3" s="5">
        <v>5.2</v>
      </c>
      <c r="O3" s="6">
        <v>1.49</v>
      </c>
      <c r="P3" s="6">
        <v>3.3</v>
      </c>
      <c r="Q3" s="6">
        <v>4.24</v>
      </c>
      <c r="R3" s="3">
        <v>0.26</v>
      </c>
      <c r="S3" s="3">
        <v>-1.3440000000000001</v>
      </c>
    </row>
    <row r="4" spans="1:20" x14ac:dyDescent="0.25">
      <c r="A4" s="1">
        <v>3</v>
      </c>
      <c r="B4" s="2">
        <v>0</v>
      </c>
      <c r="C4" s="2">
        <v>0.25800000000000001</v>
      </c>
      <c r="D4" s="2">
        <v>1.6180000000000001</v>
      </c>
      <c r="E4" s="2">
        <v>3.0000000000000001E-3</v>
      </c>
      <c r="F4" s="2">
        <v>0.51400000000000001</v>
      </c>
      <c r="G4" s="2">
        <v>1.458</v>
      </c>
      <c r="H4">
        <v>0.21099999999999999</v>
      </c>
      <c r="I4">
        <v>-0.16400000000000001</v>
      </c>
      <c r="J4">
        <v>-3.7999999999999999E-2</v>
      </c>
      <c r="K4">
        <v>0.129</v>
      </c>
      <c r="L4" s="5">
        <v>1.8</v>
      </c>
      <c r="M4" s="5">
        <v>3.2</v>
      </c>
      <c r="N4" s="5">
        <v>0.4</v>
      </c>
      <c r="O4" s="6">
        <v>3.54</v>
      </c>
      <c r="P4" s="6">
        <v>4.34</v>
      </c>
      <c r="Q4" s="6">
        <v>2.44</v>
      </c>
      <c r="R4" s="3">
        <v>-0.63</v>
      </c>
      <c r="S4" s="3">
        <v>-0.68899999999999995</v>
      </c>
    </row>
    <row r="5" spans="1:20" x14ac:dyDescent="0.25">
      <c r="A5" s="1">
        <v>6</v>
      </c>
      <c r="B5" s="2">
        <v>0</v>
      </c>
      <c r="C5" s="2">
        <v>0.504</v>
      </c>
      <c r="D5" s="2">
        <v>1.5660000000000001</v>
      </c>
      <c r="E5" s="2">
        <v>8.9999999999999993E-3</v>
      </c>
      <c r="F5" s="2">
        <v>0.53300000000000003</v>
      </c>
      <c r="G5" s="2">
        <v>1.8879999999999999</v>
      </c>
      <c r="H5">
        <v>-4.8000000000000001E-2</v>
      </c>
      <c r="I5">
        <v>2.4E-2</v>
      </c>
      <c r="J5">
        <v>0.127</v>
      </c>
      <c r="K5">
        <v>2.1000000000000001E-2</v>
      </c>
      <c r="L5" s="5">
        <v>2</v>
      </c>
      <c r="M5" s="5">
        <v>1.4</v>
      </c>
      <c r="N5" s="5">
        <v>2</v>
      </c>
      <c r="O5" s="6">
        <v>2.97</v>
      </c>
      <c r="P5" s="6">
        <v>4.0599999999999996</v>
      </c>
      <c r="Q5" s="6">
        <v>3.94</v>
      </c>
      <c r="R5" s="3">
        <v>-0.52</v>
      </c>
      <c r="S5" s="3">
        <v>0.42299999999999999</v>
      </c>
    </row>
    <row r="6" spans="1:20" x14ac:dyDescent="0.25">
      <c r="A6" s="1">
        <v>7</v>
      </c>
      <c r="B6" s="2">
        <v>0</v>
      </c>
      <c r="C6" s="2">
        <v>0.437</v>
      </c>
      <c r="D6" s="2">
        <v>1.518</v>
      </c>
      <c r="E6" s="2">
        <v>0</v>
      </c>
      <c r="F6" s="2">
        <v>0.54200000000000004</v>
      </c>
      <c r="G6" s="2">
        <v>1.8779999999999999</v>
      </c>
      <c r="H6">
        <v>6.9000000000000006E-2</v>
      </c>
      <c r="I6">
        <v>-4.5999999999999999E-2</v>
      </c>
      <c r="J6">
        <v>7.2999999999999995E-2</v>
      </c>
      <c r="K6">
        <v>0.16500000000000001</v>
      </c>
      <c r="L6" s="5">
        <v>3.6</v>
      </c>
      <c r="M6" s="5">
        <v>4.4000000000000004</v>
      </c>
      <c r="N6" s="5">
        <v>1.2</v>
      </c>
      <c r="O6" s="6">
        <v>4.68</v>
      </c>
      <c r="P6" s="6">
        <v>5.33</v>
      </c>
      <c r="Q6" s="6">
        <v>4.4000000000000004</v>
      </c>
      <c r="R6" s="3">
        <v>-0.99</v>
      </c>
      <c r="S6" s="3">
        <v>-0.245</v>
      </c>
    </row>
    <row r="7" spans="1:20" x14ac:dyDescent="0.25">
      <c r="A7" s="1">
        <v>9</v>
      </c>
      <c r="B7" s="2">
        <v>0</v>
      </c>
      <c r="C7" s="2">
        <v>0.52200000000000002</v>
      </c>
      <c r="D7" s="2">
        <v>1.3939999999999999</v>
      </c>
      <c r="E7" s="2">
        <v>8.0000000000000002E-3</v>
      </c>
      <c r="F7" s="2">
        <v>0.59399999999999997</v>
      </c>
      <c r="G7" s="2">
        <v>1.73</v>
      </c>
      <c r="H7">
        <v>3.5000000000000003E-2</v>
      </c>
      <c r="I7">
        <v>0.432</v>
      </c>
      <c r="J7">
        <v>8.4000000000000005E-2</v>
      </c>
      <c r="K7">
        <v>8.7999999999999995E-2</v>
      </c>
      <c r="L7" s="5">
        <v>1</v>
      </c>
      <c r="M7" s="5">
        <v>0.4</v>
      </c>
      <c r="N7" s="5">
        <v>0.8</v>
      </c>
      <c r="O7" s="6"/>
      <c r="P7" s="6"/>
      <c r="Q7" s="6"/>
    </row>
    <row r="8" spans="1:20" x14ac:dyDescent="0.25">
      <c r="A8" s="1">
        <v>11</v>
      </c>
      <c r="B8" s="2">
        <v>2E-3</v>
      </c>
      <c r="C8" s="2">
        <v>0.48599999999999999</v>
      </c>
      <c r="D8" s="2">
        <v>1.391</v>
      </c>
      <c r="E8" s="2">
        <v>8.0000000000000002E-3</v>
      </c>
      <c r="F8" s="2">
        <v>0.437</v>
      </c>
      <c r="G8" s="2">
        <v>1.8180000000000001</v>
      </c>
      <c r="H8">
        <v>0.02</v>
      </c>
      <c r="I8">
        <v>4.7E-2</v>
      </c>
      <c r="J8">
        <v>0.27500000000000002</v>
      </c>
      <c r="K8">
        <v>-0.05</v>
      </c>
      <c r="L8" s="5">
        <v>0.8</v>
      </c>
      <c r="M8" s="5">
        <v>1.2</v>
      </c>
      <c r="N8" s="5">
        <v>0.6</v>
      </c>
      <c r="O8" s="6">
        <v>1.1399999999999999</v>
      </c>
      <c r="P8" s="6">
        <v>2.72</v>
      </c>
      <c r="Q8" s="6">
        <v>3.68</v>
      </c>
      <c r="R8" s="3">
        <v>2.12</v>
      </c>
      <c r="S8" s="3">
        <v>-0.78900000000000003</v>
      </c>
    </row>
    <row r="9" spans="1:20" x14ac:dyDescent="0.25">
      <c r="A9" s="1">
        <v>13</v>
      </c>
      <c r="B9" s="2">
        <v>1.0999999999999999E-2</v>
      </c>
      <c r="C9" s="2">
        <v>0.311</v>
      </c>
      <c r="D9" s="2">
        <v>1.296</v>
      </c>
      <c r="E9" s="2">
        <v>6.0000000000000001E-3</v>
      </c>
      <c r="F9" s="2">
        <v>0.47899999999999998</v>
      </c>
      <c r="G9" s="2">
        <v>1.6970000000000001</v>
      </c>
      <c r="H9">
        <v>7.0000000000000007E-2</v>
      </c>
      <c r="I9">
        <v>3.6999999999999998E-2</v>
      </c>
      <c r="J9">
        <v>0.06</v>
      </c>
      <c r="K9">
        <v>5.0000000000000001E-3</v>
      </c>
      <c r="L9" s="5">
        <v>1.4</v>
      </c>
      <c r="M9" s="5">
        <v>3.6</v>
      </c>
      <c r="N9" s="5">
        <v>3.2</v>
      </c>
      <c r="O9" s="6">
        <v>1.99</v>
      </c>
      <c r="P9" s="6">
        <v>5.07</v>
      </c>
      <c r="Q9" s="6">
        <v>4.9000000000000004</v>
      </c>
      <c r="R9" s="3">
        <v>-0.22</v>
      </c>
      <c r="S9" s="3">
        <v>0.434</v>
      </c>
    </row>
    <row r="10" spans="1:20" x14ac:dyDescent="0.25">
      <c r="A10" s="1">
        <v>15</v>
      </c>
      <c r="B10" s="2">
        <v>0</v>
      </c>
      <c r="C10" s="2">
        <v>0.432</v>
      </c>
      <c r="D10" s="2">
        <v>1.2150000000000001</v>
      </c>
      <c r="E10" s="2">
        <v>0</v>
      </c>
      <c r="F10" s="2">
        <v>0.498</v>
      </c>
      <c r="G10" s="2">
        <v>1.7050000000000001</v>
      </c>
      <c r="H10">
        <v>-0.32400000000000001</v>
      </c>
      <c r="I10">
        <v>0.16800000000000001</v>
      </c>
      <c r="J10">
        <v>-3.1E-2</v>
      </c>
      <c r="K10">
        <v>3.5000000000000003E-2</v>
      </c>
      <c r="L10" s="5">
        <v>3.6</v>
      </c>
      <c r="M10" s="5">
        <v>3</v>
      </c>
      <c r="N10" s="5">
        <v>3.6</v>
      </c>
      <c r="O10" s="6">
        <v>4.8899999999999997</v>
      </c>
      <c r="P10" s="6">
        <v>4.91</v>
      </c>
      <c r="Q10" s="6">
        <v>4.33</v>
      </c>
      <c r="R10" s="3">
        <v>-0.32</v>
      </c>
      <c r="S10" s="3">
        <v>0.28899999999999998</v>
      </c>
    </row>
    <row r="11" spans="1:20" x14ac:dyDescent="0.25">
      <c r="A11" s="1">
        <v>17</v>
      </c>
      <c r="B11" s="2">
        <v>0</v>
      </c>
      <c r="C11" s="2">
        <v>0.42099999999999999</v>
      </c>
      <c r="D11" s="2">
        <v>1.55</v>
      </c>
      <c r="E11" s="2">
        <v>8.0000000000000002E-3</v>
      </c>
      <c r="F11" s="2">
        <v>0.57499999999999996</v>
      </c>
      <c r="G11" s="2">
        <v>1.681</v>
      </c>
      <c r="H11">
        <v>0.44600000000000001</v>
      </c>
      <c r="I11">
        <v>5.0999999999999997E-2</v>
      </c>
      <c r="J11">
        <v>3.4000000000000002E-2</v>
      </c>
      <c r="K11">
        <v>-2.8000000000000001E-2</v>
      </c>
      <c r="L11" s="5">
        <v>4.5999999999999996</v>
      </c>
      <c r="M11" s="5">
        <v>1.2</v>
      </c>
      <c r="N11" s="5">
        <v>2.4</v>
      </c>
      <c r="O11" s="6">
        <v>3.54</v>
      </c>
      <c r="P11" s="6">
        <v>3.62</v>
      </c>
      <c r="Q11" s="6">
        <v>3.64</v>
      </c>
      <c r="R11" s="3">
        <v>1.26</v>
      </c>
      <c r="S11" s="3">
        <v>0.53300000000000003</v>
      </c>
    </row>
    <row r="12" spans="1:20" x14ac:dyDescent="0.25">
      <c r="A12" s="1">
        <v>22</v>
      </c>
      <c r="B12" s="2">
        <v>6.0000000000000001E-3</v>
      </c>
      <c r="C12" s="2">
        <v>0.47799999999999998</v>
      </c>
      <c r="D12" s="2">
        <v>1.292</v>
      </c>
      <c r="E12" s="2">
        <v>2.3E-2</v>
      </c>
      <c r="F12" s="2">
        <v>0.56100000000000005</v>
      </c>
      <c r="G12" s="2">
        <v>1.5049999999999999</v>
      </c>
      <c r="H12">
        <v>-4.9000000000000002E-2</v>
      </c>
      <c r="I12">
        <v>0.14299999999999999</v>
      </c>
      <c r="J12">
        <v>-0.11</v>
      </c>
      <c r="K12">
        <v>0.14399999999999999</v>
      </c>
      <c r="L12" s="5">
        <v>2.8</v>
      </c>
      <c r="M12" s="5">
        <v>2</v>
      </c>
      <c r="N12" s="5">
        <v>2</v>
      </c>
      <c r="O12" s="6">
        <v>3.78</v>
      </c>
      <c r="P12" s="6">
        <v>4.93</v>
      </c>
      <c r="Q12" s="6">
        <v>3.3</v>
      </c>
      <c r="R12" s="3">
        <v>-0.73</v>
      </c>
      <c r="S12" s="3">
        <v>0.48899999999999999</v>
      </c>
    </row>
    <row r="13" spans="1:20" x14ac:dyDescent="0.25">
      <c r="A13" s="1">
        <v>24</v>
      </c>
      <c r="B13" s="2">
        <v>4.0000000000000001E-3</v>
      </c>
      <c r="C13" s="2">
        <v>0.497</v>
      </c>
      <c r="D13" s="2">
        <v>1.3859999999999999</v>
      </c>
      <c r="E13" s="2">
        <v>5.0000000000000001E-3</v>
      </c>
      <c r="F13" s="2">
        <v>0.59099999999999997</v>
      </c>
      <c r="G13" s="2">
        <v>2</v>
      </c>
      <c r="H13">
        <v>-0.26700000000000002</v>
      </c>
      <c r="I13">
        <v>0.46600000000000003</v>
      </c>
      <c r="J13">
        <v>-0.13100000000000001</v>
      </c>
      <c r="K13">
        <v>0.254</v>
      </c>
      <c r="L13" s="5">
        <v>3</v>
      </c>
      <c r="M13" s="5">
        <v>1.4</v>
      </c>
      <c r="N13" s="5">
        <v>4.5999999999999996</v>
      </c>
      <c r="O13" s="6">
        <v>4.74</v>
      </c>
      <c r="P13" s="6">
        <v>3.47</v>
      </c>
      <c r="Q13" s="6">
        <v>5.14</v>
      </c>
      <c r="R13" s="3">
        <v>1.04</v>
      </c>
      <c r="S13" s="3">
        <v>-0.95499999999999996</v>
      </c>
    </row>
    <row r="14" spans="1:20" x14ac:dyDescent="0.25">
      <c r="A14" s="1">
        <v>25</v>
      </c>
      <c r="B14" s="2">
        <v>0.02</v>
      </c>
      <c r="C14" s="2">
        <v>0.52200000000000002</v>
      </c>
      <c r="D14" s="2">
        <v>1.5049999999999999</v>
      </c>
      <c r="E14" s="2">
        <v>3.5999999999999997E-2</v>
      </c>
      <c r="F14" s="2">
        <v>0.57999999999999996</v>
      </c>
      <c r="G14" s="2">
        <v>1.863</v>
      </c>
      <c r="H14">
        <v>-0.20300000000000001</v>
      </c>
      <c r="I14">
        <v>0.28599999999999998</v>
      </c>
      <c r="J14">
        <v>5.0000000000000001E-3</v>
      </c>
      <c r="K14">
        <v>9.5000000000000001E-2</v>
      </c>
      <c r="L14" s="5">
        <v>3</v>
      </c>
      <c r="M14" s="5">
        <v>4.5999999999999996</v>
      </c>
      <c r="N14" s="5">
        <v>4</v>
      </c>
      <c r="O14" s="6">
        <v>3.09</v>
      </c>
      <c r="P14" s="6">
        <v>4.29</v>
      </c>
      <c r="Q14" s="6">
        <v>4.04</v>
      </c>
      <c r="R14" s="3">
        <v>-0.65</v>
      </c>
      <c r="S14" s="3">
        <v>8.8999999999999996E-2</v>
      </c>
    </row>
  </sheetData>
  <mergeCells count="5">
    <mergeCell ref="B1:G1"/>
    <mergeCell ref="H1:K1"/>
    <mergeCell ref="L1:N1"/>
    <mergeCell ref="O1:Q1"/>
    <mergeCell ref="R1:S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4642B-EF39-4935-9586-4CADF631D36C}">
  <dimension ref="A1:N14"/>
  <sheetViews>
    <sheetView workbookViewId="0">
      <selection activeCell="C22" sqref="C22"/>
    </sheetView>
  </sheetViews>
  <sheetFormatPr defaultRowHeight="15" x14ac:dyDescent="0.25"/>
  <sheetData>
    <row r="1" spans="1:14" x14ac:dyDescent="0.25">
      <c r="A1" s="7"/>
      <c r="B1" s="7"/>
      <c r="C1" s="7"/>
      <c r="D1" s="7"/>
      <c r="G1" s="13" t="s">
        <v>3</v>
      </c>
      <c r="H1" s="13"/>
      <c r="I1" s="13"/>
      <c r="J1" s="13" t="s">
        <v>17</v>
      </c>
      <c r="K1" s="13"/>
      <c r="L1" s="13"/>
      <c r="M1" s="13" t="s">
        <v>21</v>
      </c>
      <c r="N1" s="13"/>
    </row>
    <row r="2" spans="1:14" x14ac:dyDescent="0.25">
      <c r="A2" s="7" t="s">
        <v>0</v>
      </c>
      <c r="B2" s="7" t="s">
        <v>7</v>
      </c>
      <c r="C2" s="7" t="s">
        <v>8</v>
      </c>
      <c r="D2" s="7" t="s">
        <v>9</v>
      </c>
      <c r="E2" s="7" t="s">
        <v>12</v>
      </c>
      <c r="F2" s="7" t="s">
        <v>13</v>
      </c>
      <c r="G2" s="7" t="s">
        <v>14</v>
      </c>
      <c r="H2" s="7" t="s">
        <v>15</v>
      </c>
      <c r="I2" s="7" t="s">
        <v>16</v>
      </c>
      <c r="J2" s="8" t="s">
        <v>18</v>
      </c>
      <c r="K2" s="8" t="s">
        <v>19</v>
      </c>
      <c r="L2" s="8" t="s">
        <v>20</v>
      </c>
      <c r="M2" s="8" t="s">
        <v>22</v>
      </c>
      <c r="N2" s="8" t="s">
        <v>23</v>
      </c>
    </row>
    <row r="3" spans="1:14" x14ac:dyDescent="0.25">
      <c r="A3" s="7">
        <v>1</v>
      </c>
      <c r="B3" s="2">
        <v>1.4999999999999999E-2</v>
      </c>
      <c r="C3" s="2">
        <v>0.57199999999999995</v>
      </c>
      <c r="D3" s="2">
        <v>2.1819999999999999</v>
      </c>
      <c r="E3">
        <v>-7.0000000000000007E-2</v>
      </c>
      <c r="F3">
        <v>0.10299999999999999</v>
      </c>
      <c r="G3" s="5">
        <v>0.4</v>
      </c>
      <c r="H3" s="5">
        <v>2</v>
      </c>
      <c r="I3" s="5">
        <v>5.2</v>
      </c>
      <c r="J3" s="6">
        <v>1.49</v>
      </c>
      <c r="K3" s="6">
        <v>3.3</v>
      </c>
      <c r="L3" s="6">
        <v>4.24</v>
      </c>
      <c r="M3" s="8">
        <v>0.26</v>
      </c>
      <c r="N3" s="8">
        <v>-1.3440000000000001</v>
      </c>
    </row>
    <row r="4" spans="1:14" x14ac:dyDescent="0.25">
      <c r="A4" s="7">
        <v>3</v>
      </c>
      <c r="B4" s="2">
        <v>3.0000000000000001E-3</v>
      </c>
      <c r="C4" s="2">
        <v>0.51400000000000001</v>
      </c>
      <c r="D4" s="2">
        <v>1.458</v>
      </c>
      <c r="E4">
        <v>-3.7999999999999999E-2</v>
      </c>
      <c r="F4">
        <v>0.129</v>
      </c>
      <c r="G4" s="5">
        <v>1.8</v>
      </c>
      <c r="H4" s="5">
        <v>3.2</v>
      </c>
      <c r="I4" s="5">
        <v>0.4</v>
      </c>
      <c r="J4" s="6">
        <v>3.54</v>
      </c>
      <c r="K4" s="6">
        <v>4.34</v>
      </c>
      <c r="L4" s="6">
        <v>2.44</v>
      </c>
      <c r="M4" s="8">
        <v>-0.63</v>
      </c>
      <c r="N4" s="8">
        <v>-0.68899999999999995</v>
      </c>
    </row>
    <row r="5" spans="1:14" x14ac:dyDescent="0.25">
      <c r="A5" s="7">
        <v>6</v>
      </c>
      <c r="B5" s="2">
        <v>8.9999999999999993E-3</v>
      </c>
      <c r="C5" s="2">
        <v>0.53300000000000003</v>
      </c>
      <c r="D5" s="2">
        <v>1.8879999999999999</v>
      </c>
      <c r="E5">
        <v>0.127</v>
      </c>
      <c r="F5">
        <v>2.1000000000000001E-2</v>
      </c>
      <c r="G5" s="5">
        <v>2</v>
      </c>
      <c r="H5" s="5">
        <v>1.4</v>
      </c>
      <c r="I5" s="5">
        <v>2</v>
      </c>
      <c r="J5" s="6">
        <v>2.97</v>
      </c>
      <c r="K5" s="6">
        <v>4.0599999999999996</v>
      </c>
      <c r="L5" s="6">
        <v>3.94</v>
      </c>
      <c r="M5" s="8">
        <v>-0.52</v>
      </c>
      <c r="N5" s="8">
        <v>0.42299999999999999</v>
      </c>
    </row>
    <row r="6" spans="1:14" x14ac:dyDescent="0.25">
      <c r="A6" s="7">
        <v>7</v>
      </c>
      <c r="B6" s="2">
        <v>0</v>
      </c>
      <c r="C6" s="2">
        <v>0.54200000000000004</v>
      </c>
      <c r="D6" s="2">
        <v>1.8779999999999999</v>
      </c>
      <c r="E6">
        <v>7.2999999999999995E-2</v>
      </c>
      <c r="F6">
        <v>0.16500000000000001</v>
      </c>
      <c r="G6" s="5">
        <v>3.6</v>
      </c>
      <c r="H6" s="5">
        <v>4.4000000000000004</v>
      </c>
      <c r="I6" s="5">
        <v>1.2</v>
      </c>
      <c r="J6" s="6">
        <v>4.68</v>
      </c>
      <c r="K6" s="6">
        <v>5.33</v>
      </c>
      <c r="L6" s="6">
        <v>4.4000000000000004</v>
      </c>
      <c r="M6" s="8">
        <v>-0.99</v>
      </c>
      <c r="N6" s="8">
        <v>-0.245</v>
      </c>
    </row>
    <row r="7" spans="1:14" x14ac:dyDescent="0.25">
      <c r="A7" s="7">
        <v>9</v>
      </c>
      <c r="B7" s="2">
        <v>8.0000000000000002E-3</v>
      </c>
      <c r="C7" s="2">
        <v>0.59399999999999997</v>
      </c>
      <c r="D7" s="2">
        <v>1.73</v>
      </c>
      <c r="E7">
        <v>8.4000000000000005E-2</v>
      </c>
      <c r="F7">
        <v>8.7999999999999995E-2</v>
      </c>
      <c r="G7" s="5">
        <v>1</v>
      </c>
      <c r="H7" s="5">
        <v>0.4</v>
      </c>
      <c r="I7" s="5">
        <v>0.8</v>
      </c>
      <c r="J7" s="6"/>
      <c r="K7" s="6"/>
      <c r="L7" s="6"/>
      <c r="M7" s="8"/>
      <c r="N7" s="8"/>
    </row>
    <row r="8" spans="1:14" x14ac:dyDescent="0.25">
      <c r="A8" s="7">
        <v>11</v>
      </c>
      <c r="B8" s="2">
        <v>8.0000000000000002E-3</v>
      </c>
      <c r="C8" s="2">
        <v>0.437</v>
      </c>
      <c r="D8" s="2">
        <v>1.8180000000000001</v>
      </c>
      <c r="E8">
        <v>0.27500000000000002</v>
      </c>
      <c r="F8">
        <v>-0.05</v>
      </c>
      <c r="G8" s="5">
        <v>0.8</v>
      </c>
      <c r="H8" s="5">
        <v>1.2</v>
      </c>
      <c r="I8" s="5">
        <v>0.6</v>
      </c>
      <c r="J8" s="6">
        <v>1.1399999999999999</v>
      </c>
      <c r="K8" s="6">
        <v>2.72</v>
      </c>
      <c r="L8" s="6">
        <v>3.68</v>
      </c>
      <c r="M8" s="8">
        <v>2.12</v>
      </c>
      <c r="N8" s="8">
        <v>-0.78900000000000003</v>
      </c>
    </row>
    <row r="9" spans="1:14" x14ac:dyDescent="0.25">
      <c r="A9" s="7">
        <v>13</v>
      </c>
      <c r="B9" s="2">
        <v>6.0000000000000001E-3</v>
      </c>
      <c r="C9" s="2">
        <v>0.47899999999999998</v>
      </c>
      <c r="D9" s="2">
        <v>1.6970000000000001</v>
      </c>
      <c r="E9">
        <v>0.06</v>
      </c>
      <c r="F9">
        <v>5.0000000000000001E-3</v>
      </c>
      <c r="G9" s="5">
        <v>1.4</v>
      </c>
      <c r="H9" s="5">
        <v>3.6</v>
      </c>
      <c r="I9" s="5">
        <v>3.2</v>
      </c>
      <c r="J9" s="6">
        <v>1.99</v>
      </c>
      <c r="K9" s="6">
        <v>5.07</v>
      </c>
      <c r="L9" s="6">
        <v>4.9000000000000004</v>
      </c>
      <c r="M9" s="8">
        <v>-0.22</v>
      </c>
      <c r="N9" s="8">
        <v>0.434</v>
      </c>
    </row>
    <row r="10" spans="1:14" x14ac:dyDescent="0.25">
      <c r="A10" s="7">
        <v>15</v>
      </c>
      <c r="B10" s="2">
        <v>0</v>
      </c>
      <c r="C10" s="2">
        <v>0.498</v>
      </c>
      <c r="D10" s="2">
        <v>1.7050000000000001</v>
      </c>
      <c r="E10">
        <v>-3.1E-2</v>
      </c>
      <c r="F10">
        <v>3.5000000000000003E-2</v>
      </c>
      <c r="G10" s="5">
        <v>3.6</v>
      </c>
      <c r="H10" s="5">
        <v>3</v>
      </c>
      <c r="I10" s="5">
        <v>3.6</v>
      </c>
      <c r="J10" s="6">
        <v>4.8899999999999997</v>
      </c>
      <c r="K10" s="6">
        <v>4.91</v>
      </c>
      <c r="L10" s="6">
        <v>4.33</v>
      </c>
      <c r="M10" s="8">
        <v>-0.32</v>
      </c>
      <c r="N10" s="8">
        <v>0.28899999999999998</v>
      </c>
    </row>
    <row r="11" spans="1:14" x14ac:dyDescent="0.25">
      <c r="A11" s="7">
        <v>17</v>
      </c>
      <c r="B11" s="2">
        <v>8.0000000000000002E-3</v>
      </c>
      <c r="C11" s="2">
        <v>0.57499999999999996</v>
      </c>
      <c r="D11" s="2">
        <v>1.681</v>
      </c>
      <c r="E11">
        <v>3.4000000000000002E-2</v>
      </c>
      <c r="F11">
        <v>-2.8000000000000001E-2</v>
      </c>
      <c r="G11" s="5">
        <v>4.5999999999999996</v>
      </c>
      <c r="H11" s="5">
        <v>1.2</v>
      </c>
      <c r="I11" s="5">
        <v>2.4</v>
      </c>
      <c r="J11" s="6">
        <v>3.54</v>
      </c>
      <c r="K11" s="6">
        <v>3.62</v>
      </c>
      <c r="L11" s="6">
        <v>3.64</v>
      </c>
      <c r="M11" s="8">
        <v>1.26</v>
      </c>
      <c r="N11" s="8">
        <v>0.53300000000000003</v>
      </c>
    </row>
    <row r="12" spans="1:14" x14ac:dyDescent="0.25">
      <c r="A12" s="7">
        <v>22</v>
      </c>
      <c r="B12" s="2">
        <v>2.3E-2</v>
      </c>
      <c r="C12" s="2">
        <v>0.56100000000000005</v>
      </c>
      <c r="D12" s="2">
        <v>1.5049999999999999</v>
      </c>
      <c r="E12">
        <v>-0.11</v>
      </c>
      <c r="F12">
        <v>0.14399999999999999</v>
      </c>
      <c r="G12" s="5">
        <v>2.8</v>
      </c>
      <c r="H12" s="5">
        <v>2</v>
      </c>
      <c r="I12" s="5">
        <v>2</v>
      </c>
      <c r="J12" s="6">
        <v>3.78</v>
      </c>
      <c r="K12" s="6">
        <v>4.93</v>
      </c>
      <c r="L12" s="6">
        <v>3.3</v>
      </c>
      <c r="M12" s="8">
        <v>-0.73</v>
      </c>
      <c r="N12" s="8">
        <v>0.48899999999999999</v>
      </c>
    </row>
    <row r="13" spans="1:14" x14ac:dyDescent="0.25">
      <c r="A13" s="7">
        <v>24</v>
      </c>
      <c r="B13" s="2">
        <v>5.0000000000000001E-3</v>
      </c>
      <c r="C13" s="2">
        <v>0.59099999999999997</v>
      </c>
      <c r="D13" s="2">
        <v>2</v>
      </c>
      <c r="E13">
        <v>-0.13100000000000001</v>
      </c>
      <c r="F13">
        <v>0.254</v>
      </c>
      <c r="G13" s="5">
        <v>3</v>
      </c>
      <c r="H13" s="5">
        <v>1.4</v>
      </c>
      <c r="I13" s="5">
        <v>4.5999999999999996</v>
      </c>
      <c r="J13" s="6">
        <v>4.74</v>
      </c>
      <c r="K13" s="6">
        <v>3.47</v>
      </c>
      <c r="L13" s="6">
        <v>5.14</v>
      </c>
      <c r="M13" s="8">
        <v>1.04</v>
      </c>
      <c r="N13" s="8">
        <v>-0.95499999999999996</v>
      </c>
    </row>
    <row r="14" spans="1:14" x14ac:dyDescent="0.25">
      <c r="A14" s="7">
        <v>25</v>
      </c>
      <c r="B14" s="2">
        <v>3.5999999999999997E-2</v>
      </c>
      <c r="C14" s="2">
        <v>0.57999999999999996</v>
      </c>
      <c r="D14" s="2">
        <v>1.863</v>
      </c>
      <c r="E14">
        <v>5.0000000000000001E-3</v>
      </c>
      <c r="F14">
        <v>9.5000000000000001E-2</v>
      </c>
      <c r="G14" s="5">
        <v>3</v>
      </c>
      <c r="H14" s="5">
        <v>4.5999999999999996</v>
      </c>
      <c r="I14" s="5">
        <v>4</v>
      </c>
      <c r="J14" s="6">
        <v>3.09</v>
      </c>
      <c r="K14" s="6">
        <v>4.29</v>
      </c>
      <c r="L14" s="6">
        <v>4.04</v>
      </c>
      <c r="M14" s="8">
        <v>-0.65</v>
      </c>
      <c r="N14" s="8">
        <v>8.8999999999999996E-2</v>
      </c>
    </row>
  </sheetData>
  <mergeCells count="3">
    <mergeCell ref="G1:I1"/>
    <mergeCell ref="J1:L1"/>
    <mergeCell ref="M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C8484-79EA-40B4-B61D-878646FD1A20}">
  <dimension ref="A3:I15"/>
  <sheetViews>
    <sheetView workbookViewId="0">
      <selection activeCell="F30" sqref="F30"/>
    </sheetView>
  </sheetViews>
  <sheetFormatPr defaultRowHeight="15" x14ac:dyDescent="0.25"/>
  <sheetData>
    <row r="3" spans="1:9" x14ac:dyDescent="0.25">
      <c r="A3" s="9" t="s">
        <v>0</v>
      </c>
      <c r="B3" s="9" t="s">
        <v>7</v>
      </c>
      <c r="C3" s="9" t="s">
        <v>8</v>
      </c>
      <c r="D3" s="9" t="s">
        <v>9</v>
      </c>
      <c r="E3" s="9" t="s">
        <v>24</v>
      </c>
      <c r="F3" s="9" t="s">
        <v>25</v>
      </c>
      <c r="G3" s="9" t="s">
        <v>26</v>
      </c>
      <c r="H3" s="9" t="s">
        <v>12</v>
      </c>
      <c r="I3" s="9" t="s">
        <v>13</v>
      </c>
    </row>
    <row r="4" spans="1:9" x14ac:dyDescent="0.25">
      <c r="A4" s="9">
        <v>1</v>
      </c>
      <c r="B4" s="2">
        <v>1.4999999999999999E-2</v>
      </c>
      <c r="C4" s="2">
        <v>0.57199999999999995</v>
      </c>
      <c r="D4" s="2">
        <v>2.1819999999999999</v>
      </c>
      <c r="E4" s="2">
        <f>(C4-B4)</f>
        <v>0.55699999999999994</v>
      </c>
      <c r="F4" s="2">
        <f>(D4-C4)</f>
        <v>1.6099999999999999</v>
      </c>
      <c r="G4" s="2">
        <f>(D4-B4)</f>
        <v>2.1669999999999998</v>
      </c>
      <c r="H4">
        <v>-7.0000000000000007E-2</v>
      </c>
      <c r="I4">
        <v>0.10299999999999999</v>
      </c>
    </row>
    <row r="5" spans="1:9" x14ac:dyDescent="0.25">
      <c r="A5" s="9">
        <v>3</v>
      </c>
      <c r="B5" s="2">
        <v>3.0000000000000001E-3</v>
      </c>
      <c r="C5" s="2">
        <v>0.51400000000000001</v>
      </c>
      <c r="D5" s="2">
        <v>1.458</v>
      </c>
      <c r="E5" s="2">
        <f t="shared" ref="E5:F15" si="0">(C5-B5)</f>
        <v>0.51100000000000001</v>
      </c>
      <c r="F5" s="2">
        <f t="shared" si="0"/>
        <v>0.94399999999999995</v>
      </c>
      <c r="G5" s="2">
        <f t="shared" ref="G5:G15" si="1">(D5-B5)</f>
        <v>1.4550000000000001</v>
      </c>
      <c r="H5">
        <v>-3.7999999999999999E-2</v>
      </c>
      <c r="I5">
        <v>0.129</v>
      </c>
    </row>
    <row r="6" spans="1:9" x14ac:dyDescent="0.25">
      <c r="A6" s="9">
        <v>6</v>
      </c>
      <c r="B6" s="2">
        <v>8.9999999999999993E-3</v>
      </c>
      <c r="C6" s="2">
        <v>0.53300000000000003</v>
      </c>
      <c r="D6" s="2">
        <v>1.8879999999999999</v>
      </c>
      <c r="E6" s="2">
        <f t="shared" si="0"/>
        <v>0.52400000000000002</v>
      </c>
      <c r="F6" s="2">
        <f t="shared" si="0"/>
        <v>1.355</v>
      </c>
      <c r="G6" s="2">
        <f t="shared" si="1"/>
        <v>1.879</v>
      </c>
      <c r="H6">
        <v>0.127</v>
      </c>
      <c r="I6">
        <v>2.1000000000000001E-2</v>
      </c>
    </row>
    <row r="7" spans="1:9" x14ac:dyDescent="0.25">
      <c r="A7" s="9">
        <v>7</v>
      </c>
      <c r="B7" s="2">
        <v>0</v>
      </c>
      <c r="C7" s="2">
        <v>0.54200000000000004</v>
      </c>
      <c r="D7" s="2">
        <v>1.8779999999999999</v>
      </c>
      <c r="E7" s="2">
        <f t="shared" si="0"/>
        <v>0.54200000000000004</v>
      </c>
      <c r="F7" s="2">
        <f t="shared" si="0"/>
        <v>1.3359999999999999</v>
      </c>
      <c r="G7" s="2">
        <f t="shared" si="1"/>
        <v>1.8779999999999999</v>
      </c>
      <c r="H7">
        <v>7.2999999999999995E-2</v>
      </c>
      <c r="I7">
        <v>0.16500000000000001</v>
      </c>
    </row>
    <row r="8" spans="1:9" x14ac:dyDescent="0.25">
      <c r="A8" s="9">
        <v>9</v>
      </c>
      <c r="B8" s="2">
        <v>8.0000000000000002E-3</v>
      </c>
      <c r="C8" s="2">
        <v>0.59399999999999997</v>
      </c>
      <c r="D8" s="2">
        <v>1.73</v>
      </c>
      <c r="E8" s="2">
        <f t="shared" si="0"/>
        <v>0.58599999999999997</v>
      </c>
      <c r="F8" s="2">
        <f t="shared" si="0"/>
        <v>1.1360000000000001</v>
      </c>
      <c r="G8" s="2">
        <f t="shared" si="1"/>
        <v>1.722</v>
      </c>
      <c r="H8">
        <v>8.4000000000000005E-2</v>
      </c>
      <c r="I8">
        <v>8.7999999999999995E-2</v>
      </c>
    </row>
    <row r="9" spans="1:9" x14ac:dyDescent="0.25">
      <c r="A9" s="9">
        <v>11</v>
      </c>
      <c r="B9" s="2">
        <v>8.0000000000000002E-3</v>
      </c>
      <c r="C9" s="2">
        <v>0.437</v>
      </c>
      <c r="D9" s="2">
        <v>1.8180000000000001</v>
      </c>
      <c r="E9" s="2">
        <f t="shared" si="0"/>
        <v>0.42899999999999999</v>
      </c>
      <c r="F9" s="2">
        <f t="shared" si="0"/>
        <v>1.381</v>
      </c>
      <c r="G9" s="2">
        <f t="shared" si="1"/>
        <v>1.81</v>
      </c>
      <c r="H9">
        <v>0.27500000000000002</v>
      </c>
      <c r="I9">
        <v>-0.05</v>
      </c>
    </row>
    <row r="10" spans="1:9" x14ac:dyDescent="0.25">
      <c r="A10" s="9">
        <v>13</v>
      </c>
      <c r="B10" s="2">
        <v>6.0000000000000001E-3</v>
      </c>
      <c r="C10" s="2">
        <v>0.47899999999999998</v>
      </c>
      <c r="D10" s="2">
        <v>1.6970000000000001</v>
      </c>
      <c r="E10" s="2">
        <f t="shared" si="0"/>
        <v>0.47299999999999998</v>
      </c>
      <c r="F10" s="2">
        <f t="shared" si="0"/>
        <v>1.218</v>
      </c>
      <c r="G10" s="2">
        <f t="shared" si="1"/>
        <v>1.6910000000000001</v>
      </c>
      <c r="H10">
        <v>0.06</v>
      </c>
      <c r="I10">
        <v>5.0000000000000001E-3</v>
      </c>
    </row>
    <row r="11" spans="1:9" x14ac:dyDescent="0.25">
      <c r="A11" s="9">
        <v>15</v>
      </c>
      <c r="B11" s="2">
        <v>0</v>
      </c>
      <c r="C11" s="2">
        <v>0.498</v>
      </c>
      <c r="D11" s="2">
        <v>1.7050000000000001</v>
      </c>
      <c r="E11" s="2">
        <f t="shared" si="0"/>
        <v>0.498</v>
      </c>
      <c r="F11" s="2">
        <f t="shared" si="0"/>
        <v>1.2070000000000001</v>
      </c>
      <c r="G11" s="2">
        <f t="shared" si="1"/>
        <v>1.7050000000000001</v>
      </c>
      <c r="H11">
        <v>-3.1E-2</v>
      </c>
      <c r="I11">
        <v>3.5000000000000003E-2</v>
      </c>
    </row>
    <row r="12" spans="1:9" x14ac:dyDescent="0.25">
      <c r="A12" s="9">
        <v>17</v>
      </c>
      <c r="B12" s="2">
        <v>8.0000000000000002E-3</v>
      </c>
      <c r="C12" s="2">
        <v>0.57499999999999996</v>
      </c>
      <c r="D12" s="2">
        <v>1.681</v>
      </c>
      <c r="E12" s="2">
        <f t="shared" si="0"/>
        <v>0.56699999999999995</v>
      </c>
      <c r="F12" s="2">
        <f t="shared" si="0"/>
        <v>1.1060000000000001</v>
      </c>
      <c r="G12" s="2">
        <f t="shared" si="1"/>
        <v>1.673</v>
      </c>
      <c r="H12">
        <v>3.4000000000000002E-2</v>
      </c>
      <c r="I12">
        <v>-2.8000000000000001E-2</v>
      </c>
    </row>
    <row r="13" spans="1:9" x14ac:dyDescent="0.25">
      <c r="A13" s="9">
        <v>22</v>
      </c>
      <c r="B13" s="2">
        <v>2.3E-2</v>
      </c>
      <c r="C13" s="2">
        <v>0.56100000000000005</v>
      </c>
      <c r="D13" s="2">
        <v>1.5049999999999999</v>
      </c>
      <c r="E13" s="2">
        <f t="shared" si="0"/>
        <v>0.53800000000000003</v>
      </c>
      <c r="F13" s="2">
        <f t="shared" si="0"/>
        <v>0.94399999999999984</v>
      </c>
      <c r="G13" s="2">
        <f t="shared" si="1"/>
        <v>1.482</v>
      </c>
      <c r="H13">
        <v>-0.11</v>
      </c>
      <c r="I13">
        <v>0.14399999999999999</v>
      </c>
    </row>
    <row r="14" spans="1:9" x14ac:dyDescent="0.25">
      <c r="A14" s="9">
        <v>24</v>
      </c>
      <c r="B14" s="2">
        <v>5.0000000000000001E-3</v>
      </c>
      <c r="C14" s="2">
        <v>0.59099999999999997</v>
      </c>
      <c r="D14" s="2">
        <v>2</v>
      </c>
      <c r="E14" s="2">
        <f t="shared" si="0"/>
        <v>0.58599999999999997</v>
      </c>
      <c r="F14" s="2">
        <f t="shared" si="0"/>
        <v>1.409</v>
      </c>
      <c r="G14" s="2">
        <f t="shared" si="1"/>
        <v>1.9950000000000001</v>
      </c>
      <c r="H14">
        <v>-0.13100000000000001</v>
      </c>
      <c r="I14">
        <v>0.254</v>
      </c>
    </row>
    <row r="15" spans="1:9" x14ac:dyDescent="0.25">
      <c r="A15" s="9">
        <v>25</v>
      </c>
      <c r="B15" s="2">
        <v>3.5999999999999997E-2</v>
      </c>
      <c r="C15" s="2">
        <v>0.57999999999999996</v>
      </c>
      <c r="D15" s="2">
        <v>1.863</v>
      </c>
      <c r="E15" s="2">
        <f t="shared" si="0"/>
        <v>0.54399999999999993</v>
      </c>
      <c r="F15" s="2">
        <f t="shared" si="0"/>
        <v>1.2829999999999999</v>
      </c>
      <c r="G15" s="2">
        <f t="shared" si="1"/>
        <v>1.827</v>
      </c>
      <c r="H15">
        <v>5.0000000000000001E-3</v>
      </c>
      <c r="I15">
        <v>9.5000000000000001E-2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56656-5C9E-40D0-A36C-FA4F0E18F92D}">
  <dimension ref="A1:I15"/>
  <sheetViews>
    <sheetView workbookViewId="0">
      <selection activeCell="F29" sqref="F29"/>
    </sheetView>
  </sheetViews>
  <sheetFormatPr defaultRowHeight="15" x14ac:dyDescent="0.25"/>
  <sheetData>
    <row r="1" spans="1:9" x14ac:dyDescent="0.25">
      <c r="A1" s="7"/>
      <c r="B1" s="7"/>
      <c r="C1" s="7"/>
      <c r="D1" s="7"/>
      <c r="E1" s="9"/>
      <c r="F1" s="9"/>
      <c r="G1" s="9"/>
      <c r="H1" s="7"/>
      <c r="I1" s="7"/>
    </row>
    <row r="2" spans="1:9" x14ac:dyDescent="0.25">
      <c r="A2" s="7"/>
      <c r="B2" s="2"/>
      <c r="C2" s="2"/>
      <c r="D2" s="2"/>
      <c r="E2" s="2"/>
      <c r="F2" s="2"/>
      <c r="G2" s="2"/>
    </row>
    <row r="3" spans="1:9" x14ac:dyDescent="0.25">
      <c r="A3" s="9" t="s">
        <v>0</v>
      </c>
      <c r="B3" s="9" t="s">
        <v>4</v>
      </c>
      <c r="C3" s="9" t="s">
        <v>5</v>
      </c>
      <c r="D3" s="9" t="s">
        <v>6</v>
      </c>
      <c r="E3" s="9" t="s">
        <v>24</v>
      </c>
      <c r="F3" s="9" t="s">
        <v>25</v>
      </c>
      <c r="G3" s="9" t="s">
        <v>26</v>
      </c>
      <c r="H3" s="9" t="s">
        <v>10</v>
      </c>
      <c r="I3" s="9" t="s">
        <v>11</v>
      </c>
    </row>
    <row r="4" spans="1:9" x14ac:dyDescent="0.25">
      <c r="A4" s="9">
        <v>1</v>
      </c>
      <c r="B4" s="2">
        <v>7.0000000000000001E-3</v>
      </c>
      <c r="C4" s="2">
        <v>0.38300000000000001</v>
      </c>
      <c r="D4" s="2">
        <v>1.5</v>
      </c>
      <c r="E4" s="2">
        <f>(C4-B4)</f>
        <v>0.376</v>
      </c>
      <c r="F4" s="2">
        <f>(D4-C4)</f>
        <v>1.117</v>
      </c>
      <c r="G4" s="2">
        <f>(D4-B4)</f>
        <v>1.4930000000000001</v>
      </c>
      <c r="H4">
        <v>-1.2999999999999999E-2</v>
      </c>
      <c r="I4">
        <v>-0.13900000000000001</v>
      </c>
    </row>
    <row r="5" spans="1:9" x14ac:dyDescent="0.25">
      <c r="A5" s="9">
        <v>3</v>
      </c>
      <c r="B5" s="2">
        <v>0</v>
      </c>
      <c r="C5" s="2">
        <v>0.25800000000000001</v>
      </c>
      <c r="D5" s="2">
        <v>1.6180000000000001</v>
      </c>
      <c r="E5" s="2">
        <f t="shared" ref="E5:E15" si="0">(C5-B5)</f>
        <v>0.25800000000000001</v>
      </c>
      <c r="F5" s="2">
        <f t="shared" ref="F5:F15" si="1">(D5-C5)</f>
        <v>1.36</v>
      </c>
      <c r="G5" s="2">
        <f t="shared" ref="G5:G15" si="2">(D5-B5)</f>
        <v>1.6180000000000001</v>
      </c>
      <c r="H5">
        <v>0.21099999999999999</v>
      </c>
      <c r="I5">
        <v>-0.16400000000000001</v>
      </c>
    </row>
    <row r="6" spans="1:9" x14ac:dyDescent="0.25">
      <c r="A6" s="9">
        <v>6</v>
      </c>
      <c r="B6" s="2">
        <v>0</v>
      </c>
      <c r="C6" s="2">
        <v>0.504</v>
      </c>
      <c r="D6" s="2">
        <v>1.5660000000000001</v>
      </c>
      <c r="E6" s="2">
        <f t="shared" si="0"/>
        <v>0.504</v>
      </c>
      <c r="F6" s="2">
        <f t="shared" si="1"/>
        <v>1.0620000000000001</v>
      </c>
      <c r="G6" s="2">
        <f t="shared" si="2"/>
        <v>1.5660000000000001</v>
      </c>
      <c r="H6">
        <v>-4.8000000000000001E-2</v>
      </c>
      <c r="I6">
        <v>2.4E-2</v>
      </c>
    </row>
    <row r="7" spans="1:9" x14ac:dyDescent="0.25">
      <c r="A7" s="9">
        <v>7</v>
      </c>
      <c r="B7" s="2">
        <v>0</v>
      </c>
      <c r="C7" s="2">
        <v>0.437</v>
      </c>
      <c r="D7" s="2">
        <v>1.518</v>
      </c>
      <c r="E7" s="2">
        <f t="shared" si="0"/>
        <v>0.437</v>
      </c>
      <c r="F7" s="2">
        <f t="shared" si="1"/>
        <v>1.081</v>
      </c>
      <c r="G7" s="2">
        <f t="shared" si="2"/>
        <v>1.518</v>
      </c>
      <c r="H7">
        <v>6.9000000000000006E-2</v>
      </c>
      <c r="I7">
        <v>-4.5999999999999999E-2</v>
      </c>
    </row>
    <row r="8" spans="1:9" x14ac:dyDescent="0.25">
      <c r="A8" s="9">
        <v>9</v>
      </c>
      <c r="B8" s="2">
        <v>0</v>
      </c>
      <c r="C8" s="2">
        <v>0.52200000000000002</v>
      </c>
      <c r="D8" s="2">
        <v>1.3939999999999999</v>
      </c>
      <c r="E8" s="2">
        <f t="shared" si="0"/>
        <v>0.52200000000000002</v>
      </c>
      <c r="F8" s="2">
        <f t="shared" si="1"/>
        <v>0.87199999999999989</v>
      </c>
      <c r="G8" s="2">
        <f t="shared" si="2"/>
        <v>1.3939999999999999</v>
      </c>
      <c r="H8">
        <v>3.5000000000000003E-2</v>
      </c>
      <c r="I8">
        <v>0.432</v>
      </c>
    </row>
    <row r="9" spans="1:9" x14ac:dyDescent="0.25">
      <c r="A9" s="9">
        <v>11</v>
      </c>
      <c r="B9" s="2">
        <v>2E-3</v>
      </c>
      <c r="C9" s="2">
        <v>0.48599999999999999</v>
      </c>
      <c r="D9" s="2">
        <v>1.391</v>
      </c>
      <c r="E9" s="2">
        <f t="shared" si="0"/>
        <v>0.48399999999999999</v>
      </c>
      <c r="F9" s="2">
        <f t="shared" si="1"/>
        <v>0.90500000000000003</v>
      </c>
      <c r="G9" s="2">
        <f t="shared" si="2"/>
        <v>1.389</v>
      </c>
      <c r="H9">
        <v>0.02</v>
      </c>
      <c r="I9">
        <v>4.7E-2</v>
      </c>
    </row>
    <row r="10" spans="1:9" x14ac:dyDescent="0.25">
      <c r="A10" s="9">
        <v>13</v>
      </c>
      <c r="B10" s="2">
        <v>1.0999999999999999E-2</v>
      </c>
      <c r="C10" s="2">
        <v>0.311</v>
      </c>
      <c r="D10" s="2">
        <v>1.296</v>
      </c>
      <c r="E10" s="2">
        <f t="shared" si="0"/>
        <v>0.3</v>
      </c>
      <c r="F10" s="2">
        <f t="shared" si="1"/>
        <v>0.9850000000000001</v>
      </c>
      <c r="G10" s="2">
        <f t="shared" si="2"/>
        <v>1.2850000000000001</v>
      </c>
      <c r="H10">
        <v>7.0000000000000007E-2</v>
      </c>
      <c r="I10">
        <v>3.6999999999999998E-2</v>
      </c>
    </row>
    <row r="11" spans="1:9" x14ac:dyDescent="0.25">
      <c r="A11" s="9">
        <v>15</v>
      </c>
      <c r="B11" s="2">
        <v>0</v>
      </c>
      <c r="C11" s="2">
        <v>0.432</v>
      </c>
      <c r="D11" s="2">
        <v>1.2150000000000001</v>
      </c>
      <c r="E11" s="2">
        <f t="shared" si="0"/>
        <v>0.432</v>
      </c>
      <c r="F11" s="2">
        <f t="shared" si="1"/>
        <v>0.78300000000000014</v>
      </c>
      <c r="G11" s="2">
        <f t="shared" si="2"/>
        <v>1.2150000000000001</v>
      </c>
      <c r="H11">
        <v>-0.32400000000000001</v>
      </c>
      <c r="I11">
        <v>0.16800000000000001</v>
      </c>
    </row>
    <row r="12" spans="1:9" x14ac:dyDescent="0.25">
      <c r="A12" s="9">
        <v>17</v>
      </c>
      <c r="B12" s="2">
        <v>0</v>
      </c>
      <c r="C12" s="2">
        <v>0.42099999999999999</v>
      </c>
      <c r="D12" s="2">
        <v>1.55</v>
      </c>
      <c r="E12" s="2">
        <f t="shared" si="0"/>
        <v>0.42099999999999999</v>
      </c>
      <c r="F12" s="2">
        <f t="shared" si="1"/>
        <v>1.129</v>
      </c>
      <c r="G12" s="2">
        <f t="shared" si="2"/>
        <v>1.55</v>
      </c>
      <c r="H12">
        <v>0.44600000000000001</v>
      </c>
      <c r="I12">
        <v>5.0999999999999997E-2</v>
      </c>
    </row>
    <row r="13" spans="1:9" x14ac:dyDescent="0.25">
      <c r="A13" s="9">
        <v>22</v>
      </c>
      <c r="B13" s="2">
        <v>6.0000000000000001E-3</v>
      </c>
      <c r="C13" s="2">
        <v>0.47799999999999998</v>
      </c>
      <c r="D13" s="2">
        <v>1.292</v>
      </c>
      <c r="E13" s="2">
        <f t="shared" si="0"/>
        <v>0.47199999999999998</v>
      </c>
      <c r="F13" s="2">
        <f t="shared" si="1"/>
        <v>0.81400000000000006</v>
      </c>
      <c r="G13" s="2">
        <f t="shared" si="2"/>
        <v>1.286</v>
      </c>
      <c r="H13">
        <v>-4.9000000000000002E-2</v>
      </c>
      <c r="I13">
        <v>0.14299999999999999</v>
      </c>
    </row>
    <row r="14" spans="1:9" x14ac:dyDescent="0.25">
      <c r="A14" s="9">
        <v>24</v>
      </c>
      <c r="B14" s="2">
        <v>4.0000000000000001E-3</v>
      </c>
      <c r="C14" s="2">
        <v>0.497</v>
      </c>
      <c r="D14" s="2">
        <v>1.3859999999999999</v>
      </c>
      <c r="E14" s="2">
        <f t="shared" si="0"/>
        <v>0.49299999999999999</v>
      </c>
      <c r="F14" s="2">
        <f t="shared" si="1"/>
        <v>0.8889999999999999</v>
      </c>
      <c r="G14" s="2">
        <f t="shared" si="2"/>
        <v>1.3819999999999999</v>
      </c>
      <c r="H14">
        <v>-0.26700000000000002</v>
      </c>
      <c r="I14">
        <v>0.46600000000000003</v>
      </c>
    </row>
    <row r="15" spans="1:9" x14ac:dyDescent="0.25">
      <c r="A15" s="9">
        <v>25</v>
      </c>
      <c r="B15" s="2">
        <v>0.02</v>
      </c>
      <c r="C15" s="2">
        <v>0.52200000000000002</v>
      </c>
      <c r="D15" s="2">
        <v>1.5049999999999999</v>
      </c>
      <c r="E15" s="2">
        <f t="shared" si="0"/>
        <v>0.502</v>
      </c>
      <c r="F15" s="2">
        <f t="shared" si="1"/>
        <v>0.98299999999999987</v>
      </c>
      <c r="G15" s="2">
        <f t="shared" si="2"/>
        <v>1.4849999999999999</v>
      </c>
      <c r="H15">
        <v>-0.20300000000000001</v>
      </c>
      <c r="I15">
        <v>0.28599999999999998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C1403-F8EA-468F-85FB-419059B06202}">
  <dimension ref="A1:S16"/>
  <sheetViews>
    <sheetView workbookViewId="0">
      <selection activeCell="B4" sqref="B4"/>
    </sheetView>
  </sheetViews>
  <sheetFormatPr defaultRowHeight="15" x14ac:dyDescent="0.25"/>
  <sheetData>
    <row r="1" spans="1:19" x14ac:dyDescent="0.25">
      <c r="A1" s="9"/>
      <c r="B1" s="9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</row>
    <row r="3" spans="1:19" x14ac:dyDescent="0.25">
      <c r="A3" s="9"/>
      <c r="B3" s="10" t="s">
        <v>3</v>
      </c>
      <c r="C3" s="10"/>
      <c r="D3" s="10"/>
      <c r="E3" s="10"/>
      <c r="F3" s="10"/>
      <c r="G3" s="10"/>
      <c r="H3" s="10"/>
      <c r="I3" s="10"/>
      <c r="J3" s="13" t="s">
        <v>17</v>
      </c>
      <c r="K3" s="13"/>
      <c r="L3" s="13"/>
      <c r="M3" s="13" t="s">
        <v>21</v>
      </c>
      <c r="N3" s="13"/>
      <c r="O3" s="13"/>
      <c r="P3" s="13"/>
      <c r="Q3" s="13"/>
      <c r="R3" s="13"/>
      <c r="S3" s="13"/>
    </row>
    <row r="4" spans="1:19" x14ac:dyDescent="0.25">
      <c r="A4" s="9" t="s">
        <v>0</v>
      </c>
      <c r="B4" s="9" t="s">
        <v>14</v>
      </c>
      <c r="C4" s="9" t="s">
        <v>15</v>
      </c>
      <c r="D4" s="9" t="s">
        <v>16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28</v>
      </c>
      <c r="J4" s="10" t="s">
        <v>18</v>
      </c>
      <c r="K4" s="10" t="s">
        <v>19</v>
      </c>
      <c r="L4" s="10" t="s">
        <v>20</v>
      </c>
      <c r="M4" s="10" t="s">
        <v>22</v>
      </c>
      <c r="N4" s="10" t="s">
        <v>23</v>
      </c>
      <c r="O4" s="10" t="s">
        <v>31</v>
      </c>
      <c r="P4" s="10" t="s">
        <v>30</v>
      </c>
      <c r="Q4" s="10" t="s">
        <v>29</v>
      </c>
      <c r="R4" s="10" t="s">
        <v>32</v>
      </c>
      <c r="S4" s="10" t="s">
        <v>33</v>
      </c>
    </row>
    <row r="5" spans="1:19" x14ac:dyDescent="0.25">
      <c r="A5" s="9">
        <v>1</v>
      </c>
      <c r="B5" s="5">
        <v>0.4</v>
      </c>
      <c r="C5" s="5">
        <v>2</v>
      </c>
      <c r="D5" s="5">
        <v>5.2</v>
      </c>
      <c r="E5" s="5"/>
      <c r="F5" s="5"/>
      <c r="G5" s="5"/>
      <c r="H5" s="5"/>
      <c r="I5" s="5"/>
      <c r="J5" s="6">
        <v>1.49</v>
      </c>
      <c r="K5" s="6">
        <v>3.3</v>
      </c>
      <c r="L5" s="6">
        <v>4.24</v>
      </c>
      <c r="M5" s="10">
        <v>0.26</v>
      </c>
      <c r="N5" s="10">
        <v>-1.3440000000000001</v>
      </c>
      <c r="O5" s="6"/>
      <c r="P5" s="6"/>
      <c r="Q5" s="6"/>
      <c r="R5" s="10"/>
      <c r="S5" s="10"/>
    </row>
    <row r="6" spans="1:19" x14ac:dyDescent="0.25">
      <c r="A6" s="9">
        <v>3</v>
      </c>
      <c r="B6" s="5">
        <v>1.8</v>
      </c>
      <c r="C6" s="5">
        <v>3.2</v>
      </c>
      <c r="D6" s="5">
        <v>0.4</v>
      </c>
      <c r="E6" s="5"/>
      <c r="F6" s="5"/>
      <c r="G6" s="5"/>
      <c r="H6" s="5"/>
      <c r="I6" s="5"/>
      <c r="J6" s="6">
        <v>3.54</v>
      </c>
      <c r="K6" s="6">
        <v>4.34</v>
      </c>
      <c r="L6" s="6">
        <v>2.44</v>
      </c>
      <c r="M6" s="10">
        <v>-0.63</v>
      </c>
      <c r="N6" s="10">
        <v>-0.68899999999999995</v>
      </c>
      <c r="O6" s="6"/>
      <c r="P6" s="6"/>
      <c r="Q6" s="6"/>
      <c r="R6" s="10"/>
      <c r="S6" s="10"/>
    </row>
    <row r="7" spans="1:19" x14ac:dyDescent="0.25">
      <c r="A7" s="9">
        <v>6</v>
      </c>
      <c r="B7" s="5">
        <v>2</v>
      </c>
      <c r="C7" s="5">
        <v>1.4</v>
      </c>
      <c r="D7" s="5">
        <v>2</v>
      </c>
      <c r="E7" s="5"/>
      <c r="F7" s="5"/>
      <c r="G7" s="5"/>
      <c r="H7" s="5"/>
      <c r="I7" s="5"/>
      <c r="J7" s="6">
        <v>2.97</v>
      </c>
      <c r="K7" s="6">
        <v>4.0599999999999996</v>
      </c>
      <c r="L7" s="6">
        <v>3.94</v>
      </c>
      <c r="M7" s="10">
        <v>-0.52</v>
      </c>
      <c r="N7" s="10">
        <v>0.42299999999999999</v>
      </c>
      <c r="O7" s="6"/>
      <c r="P7" s="6"/>
      <c r="Q7" s="6"/>
      <c r="R7" s="10"/>
      <c r="S7" s="10"/>
    </row>
    <row r="8" spans="1:19" x14ac:dyDescent="0.25">
      <c r="A8" s="9">
        <v>7</v>
      </c>
      <c r="B8" s="5">
        <v>3.6</v>
      </c>
      <c r="C8" s="5">
        <v>4.4000000000000004</v>
      </c>
      <c r="D8" s="5">
        <v>1.2</v>
      </c>
      <c r="E8" s="5"/>
      <c r="F8" s="5"/>
      <c r="G8" s="5"/>
      <c r="H8" s="5"/>
      <c r="I8" s="5"/>
      <c r="J8" s="6">
        <v>4.68</v>
      </c>
      <c r="K8" s="6">
        <v>5.33</v>
      </c>
      <c r="L8" s="6">
        <v>4.4000000000000004</v>
      </c>
      <c r="M8" s="10">
        <v>-0.99</v>
      </c>
      <c r="N8" s="10">
        <v>-0.245</v>
      </c>
      <c r="O8" s="6"/>
      <c r="P8" s="6"/>
      <c r="Q8" s="6"/>
      <c r="R8" s="10"/>
      <c r="S8" s="10"/>
    </row>
    <row r="9" spans="1:19" x14ac:dyDescent="0.25">
      <c r="A9" s="9">
        <v>9</v>
      </c>
      <c r="B9" s="5">
        <v>1</v>
      </c>
      <c r="C9" s="5">
        <v>0.4</v>
      </c>
      <c r="D9" s="5">
        <v>0.8</v>
      </c>
      <c r="E9" s="5"/>
      <c r="F9" s="5"/>
      <c r="G9" s="5"/>
      <c r="H9" s="5"/>
      <c r="I9" s="5"/>
      <c r="J9" s="6"/>
      <c r="K9" s="6"/>
      <c r="L9" s="6"/>
      <c r="M9" s="10"/>
      <c r="N9" s="10"/>
      <c r="O9" s="6"/>
      <c r="P9" s="6"/>
      <c r="Q9" s="6"/>
      <c r="R9" s="10"/>
      <c r="S9" s="10"/>
    </row>
    <row r="10" spans="1:19" x14ac:dyDescent="0.25">
      <c r="A10" s="9">
        <v>11</v>
      </c>
      <c r="B10" s="5">
        <v>0.8</v>
      </c>
      <c r="C10" s="5">
        <v>1.2</v>
      </c>
      <c r="D10" s="5">
        <v>0.6</v>
      </c>
      <c r="E10" s="5"/>
      <c r="F10" s="5"/>
      <c r="G10" s="5"/>
      <c r="H10" s="5"/>
      <c r="I10" s="5"/>
      <c r="J10" s="6">
        <v>1.1399999999999999</v>
      </c>
      <c r="K10" s="6">
        <v>2.72</v>
      </c>
      <c r="L10" s="6">
        <v>3.68</v>
      </c>
      <c r="M10" s="10">
        <v>2.12</v>
      </c>
      <c r="N10" s="10">
        <v>-0.78900000000000003</v>
      </c>
      <c r="O10" s="6"/>
      <c r="P10" s="6"/>
      <c r="Q10" s="6"/>
      <c r="R10" s="10"/>
      <c r="S10" s="10"/>
    </row>
    <row r="11" spans="1:19" x14ac:dyDescent="0.25">
      <c r="A11" s="9">
        <v>13</v>
      </c>
      <c r="B11" s="5">
        <v>1.4</v>
      </c>
      <c r="C11" s="5">
        <v>3.6</v>
      </c>
      <c r="D11" s="5">
        <v>3.2</v>
      </c>
      <c r="E11" s="5"/>
      <c r="F11" s="5"/>
      <c r="G11" s="5"/>
      <c r="H11" s="5"/>
      <c r="I11" s="5"/>
      <c r="J11" s="6">
        <v>1.99</v>
      </c>
      <c r="K11" s="6">
        <v>5.07</v>
      </c>
      <c r="L11" s="6">
        <v>4.9000000000000004</v>
      </c>
      <c r="M11" s="10">
        <v>-0.22</v>
      </c>
      <c r="N11" s="10">
        <v>0.434</v>
      </c>
      <c r="O11" s="6"/>
      <c r="P11" s="6"/>
      <c r="Q11" s="6"/>
      <c r="R11" s="10"/>
      <c r="S11" s="10"/>
    </row>
    <row r="12" spans="1:19" x14ac:dyDescent="0.25">
      <c r="A12" s="9">
        <v>15</v>
      </c>
      <c r="B12" s="5">
        <v>3.6</v>
      </c>
      <c r="C12" s="5">
        <v>3</v>
      </c>
      <c r="D12" s="5">
        <v>3.6</v>
      </c>
      <c r="E12" s="5"/>
      <c r="F12" s="5"/>
      <c r="G12" s="5"/>
      <c r="H12" s="5"/>
      <c r="I12" s="5"/>
      <c r="J12" s="6">
        <v>4.8899999999999997</v>
      </c>
      <c r="K12" s="6">
        <v>4.91</v>
      </c>
      <c r="L12" s="6">
        <v>4.33</v>
      </c>
      <c r="M12" s="10">
        <v>-0.32</v>
      </c>
      <c r="N12" s="10">
        <v>0.28899999999999998</v>
      </c>
      <c r="O12" s="6"/>
      <c r="P12" s="6"/>
      <c r="Q12" s="6"/>
      <c r="R12" s="10"/>
      <c r="S12" s="10"/>
    </row>
    <row r="13" spans="1:19" x14ac:dyDescent="0.25">
      <c r="A13" s="9">
        <v>17</v>
      </c>
      <c r="B13" s="5">
        <v>4.5999999999999996</v>
      </c>
      <c r="C13" s="5">
        <v>1.2</v>
      </c>
      <c r="D13" s="5">
        <v>2.4</v>
      </c>
      <c r="E13" s="5"/>
      <c r="F13" s="5"/>
      <c r="G13" s="5"/>
      <c r="H13" s="5"/>
      <c r="I13" s="5"/>
      <c r="J13" s="6">
        <v>3.54</v>
      </c>
      <c r="K13" s="6">
        <v>3.62</v>
      </c>
      <c r="L13" s="6">
        <v>3.64</v>
      </c>
      <c r="M13" s="10">
        <v>1.26</v>
      </c>
      <c r="N13" s="10">
        <v>0.53300000000000003</v>
      </c>
      <c r="O13" s="6"/>
      <c r="P13" s="6"/>
      <c r="Q13" s="6"/>
      <c r="R13" s="10"/>
      <c r="S13" s="10"/>
    </row>
    <row r="14" spans="1:19" x14ac:dyDescent="0.25">
      <c r="A14" s="9">
        <v>22</v>
      </c>
      <c r="B14" s="5">
        <v>2.8</v>
      </c>
      <c r="C14" s="5">
        <v>2</v>
      </c>
      <c r="D14" s="5">
        <v>2</v>
      </c>
      <c r="E14" s="5"/>
      <c r="F14" s="5"/>
      <c r="G14" s="5"/>
      <c r="H14" s="5"/>
      <c r="I14" s="5"/>
      <c r="J14" s="6">
        <v>3.78</v>
      </c>
      <c r="K14" s="6">
        <v>4.93</v>
      </c>
      <c r="L14" s="6">
        <v>3.3</v>
      </c>
      <c r="M14" s="10">
        <v>-0.73</v>
      </c>
      <c r="N14" s="10">
        <v>0.48899999999999999</v>
      </c>
      <c r="O14" s="6"/>
      <c r="P14" s="6"/>
      <c r="Q14" s="6"/>
      <c r="R14" s="10"/>
      <c r="S14" s="10"/>
    </row>
    <row r="15" spans="1:19" x14ac:dyDescent="0.25">
      <c r="A15" s="9">
        <v>24</v>
      </c>
      <c r="B15" s="5">
        <v>3</v>
      </c>
      <c r="C15" s="5">
        <v>1.4</v>
      </c>
      <c r="D15" s="5">
        <v>4.5999999999999996</v>
      </c>
      <c r="E15" s="5"/>
      <c r="F15" s="5"/>
      <c r="G15" s="5"/>
      <c r="H15" s="5"/>
      <c r="I15" s="5"/>
      <c r="J15" s="6">
        <v>4.74</v>
      </c>
      <c r="K15" s="6">
        <v>3.47</v>
      </c>
      <c r="L15" s="6">
        <v>5.14</v>
      </c>
      <c r="M15" s="10">
        <v>1.04</v>
      </c>
      <c r="N15" s="10">
        <v>-0.95499999999999996</v>
      </c>
      <c r="O15" s="6"/>
      <c r="P15" s="6"/>
      <c r="Q15" s="6"/>
      <c r="R15" s="10"/>
      <c r="S15" s="10"/>
    </row>
    <row r="16" spans="1:19" x14ac:dyDescent="0.25">
      <c r="A16" s="9">
        <v>25</v>
      </c>
      <c r="B16" s="5">
        <v>3</v>
      </c>
      <c r="C16" s="5">
        <v>4.5999999999999996</v>
      </c>
      <c r="D16" s="5">
        <v>4</v>
      </c>
      <c r="E16" s="5"/>
      <c r="F16" s="5"/>
      <c r="G16" s="5"/>
      <c r="H16" s="5"/>
      <c r="I16" s="5"/>
      <c r="J16" s="6">
        <v>3.09</v>
      </c>
      <c r="K16" s="6">
        <v>4.29</v>
      </c>
      <c r="L16" s="6">
        <v>4.04</v>
      </c>
      <c r="M16" s="10">
        <v>-0.65</v>
      </c>
      <c r="N16" s="10">
        <v>8.8999999999999996E-2</v>
      </c>
      <c r="O16" s="6"/>
      <c r="P16" s="6"/>
      <c r="Q16" s="6"/>
      <c r="R16" s="10"/>
      <c r="S16" s="10"/>
    </row>
  </sheetData>
  <mergeCells count="4">
    <mergeCell ref="O3:Q3"/>
    <mergeCell ref="R3:S3"/>
    <mergeCell ref="J3:L3"/>
    <mergeCell ref="M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EEAAF-4AEC-4738-8170-B9BE4473B83C}">
  <dimension ref="A3:F15"/>
  <sheetViews>
    <sheetView tabSelected="1" workbookViewId="0">
      <selection activeCell="J16" sqref="J16"/>
    </sheetView>
  </sheetViews>
  <sheetFormatPr defaultRowHeight="15" x14ac:dyDescent="0.25"/>
  <sheetData>
    <row r="3" spans="1:6" x14ac:dyDescent="0.25">
      <c r="A3" s="11" t="s">
        <v>34</v>
      </c>
      <c r="B3" s="11" t="s">
        <v>35</v>
      </c>
      <c r="C3" s="11" t="s">
        <v>36</v>
      </c>
      <c r="D3" s="11" t="s">
        <v>37</v>
      </c>
      <c r="E3" s="11" t="s">
        <v>38</v>
      </c>
      <c r="F3" s="11" t="s">
        <v>39</v>
      </c>
    </row>
    <row r="4" spans="1:6" x14ac:dyDescent="0.25">
      <c r="A4" s="11">
        <v>1</v>
      </c>
      <c r="B4">
        <v>16.5</v>
      </c>
      <c r="C4">
        <v>18</v>
      </c>
      <c r="D4">
        <v>18</v>
      </c>
      <c r="E4">
        <v>17.5</v>
      </c>
      <c r="F4">
        <v>17.5</v>
      </c>
    </row>
    <row r="5" spans="1:6" x14ac:dyDescent="0.25">
      <c r="A5" s="11">
        <v>3</v>
      </c>
      <c r="B5">
        <v>18</v>
      </c>
      <c r="C5">
        <v>18.5</v>
      </c>
      <c r="D5">
        <v>17</v>
      </c>
      <c r="E5">
        <v>17.5</v>
      </c>
      <c r="F5">
        <v>18</v>
      </c>
    </row>
    <row r="6" spans="1:6" x14ac:dyDescent="0.25">
      <c r="A6" s="11">
        <v>6</v>
      </c>
      <c r="B6">
        <v>18.5</v>
      </c>
      <c r="C6">
        <v>17</v>
      </c>
      <c r="D6">
        <v>18</v>
      </c>
      <c r="E6">
        <v>17.5</v>
      </c>
      <c r="F6">
        <v>18</v>
      </c>
    </row>
    <row r="7" spans="1:6" x14ac:dyDescent="0.25">
      <c r="A7" s="11">
        <v>7</v>
      </c>
      <c r="B7">
        <v>16.5</v>
      </c>
      <c r="C7">
        <v>18.5</v>
      </c>
      <c r="D7">
        <v>17</v>
      </c>
      <c r="E7">
        <v>17.5</v>
      </c>
      <c r="F7">
        <v>18</v>
      </c>
    </row>
    <row r="8" spans="1:6" x14ac:dyDescent="0.25">
      <c r="A8" s="11">
        <v>11</v>
      </c>
      <c r="B8">
        <v>18</v>
      </c>
      <c r="C8">
        <v>18</v>
      </c>
      <c r="D8">
        <v>18</v>
      </c>
      <c r="E8">
        <v>18</v>
      </c>
      <c r="F8">
        <v>18</v>
      </c>
    </row>
    <row r="9" spans="1:6" x14ac:dyDescent="0.25">
      <c r="A9" s="11">
        <v>13</v>
      </c>
      <c r="B9">
        <v>15.5</v>
      </c>
      <c r="C9">
        <v>25</v>
      </c>
      <c r="D9">
        <v>30</v>
      </c>
      <c r="E9">
        <v>25</v>
      </c>
      <c r="F9">
        <v>25</v>
      </c>
    </row>
    <row r="10" spans="1:6" x14ac:dyDescent="0.25">
      <c r="A10" s="11">
        <v>15</v>
      </c>
      <c r="B10">
        <v>25</v>
      </c>
      <c r="C10">
        <v>15.5</v>
      </c>
      <c r="D10">
        <v>25</v>
      </c>
      <c r="E10">
        <v>25</v>
      </c>
      <c r="F10">
        <v>25</v>
      </c>
    </row>
    <row r="11" spans="1:6" x14ac:dyDescent="0.25">
      <c r="A11" s="11">
        <v>17</v>
      </c>
      <c r="B11">
        <v>21</v>
      </c>
      <c r="C11">
        <v>20</v>
      </c>
      <c r="D11">
        <v>22.5</v>
      </c>
      <c r="E11">
        <v>16.5</v>
      </c>
      <c r="F11">
        <v>25</v>
      </c>
    </row>
    <row r="12" spans="1:6" x14ac:dyDescent="0.25">
      <c r="A12" s="11">
        <v>22</v>
      </c>
      <c r="B12">
        <v>25</v>
      </c>
      <c r="C12">
        <v>25</v>
      </c>
      <c r="D12">
        <v>25</v>
      </c>
      <c r="E12">
        <v>25</v>
      </c>
      <c r="F12">
        <v>25</v>
      </c>
    </row>
    <row r="13" spans="1:6" x14ac:dyDescent="0.25">
      <c r="A13" s="11">
        <v>24</v>
      </c>
      <c r="B13">
        <v>25</v>
      </c>
      <c r="C13">
        <v>25</v>
      </c>
      <c r="D13">
        <v>25</v>
      </c>
      <c r="E13">
        <v>25</v>
      </c>
      <c r="F13">
        <v>25</v>
      </c>
    </row>
    <row r="14" spans="1:6" x14ac:dyDescent="0.25">
      <c r="A14" s="11">
        <v>25</v>
      </c>
      <c r="B14">
        <v>24.5</v>
      </c>
      <c r="C14">
        <v>25</v>
      </c>
      <c r="D14">
        <v>25</v>
      </c>
      <c r="E14">
        <v>25</v>
      </c>
      <c r="F14">
        <v>25</v>
      </c>
    </row>
    <row r="15" spans="1:6" x14ac:dyDescent="0.25">
      <c r="B15">
        <f>AVERAGE(B4:B14)</f>
        <v>20.318181818181817</v>
      </c>
      <c r="C15">
        <f>AVERAGE(C4:C14)</f>
        <v>20.5</v>
      </c>
      <c r="D15">
        <f>AVERAGE(D4:D14)</f>
        <v>21.863636363636363</v>
      </c>
      <c r="E15">
        <f t="shared" ref="E15:F15" si="0">AVERAGE(E4:E14)</f>
        <v>20.863636363636363</v>
      </c>
      <c r="F15">
        <f t="shared" si="0"/>
        <v>21.772727272727273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 Lib and Restricted</vt:lpstr>
      <vt:lpstr>Restricted only</vt:lpstr>
      <vt:lpstr>Home Cage Restricted</vt:lpstr>
      <vt:lpstr>Home Cage Ad Lib</vt:lpstr>
      <vt:lpstr>Operant Restricted</vt:lpstr>
      <vt:lpstr>Trial Numbers for females OP</vt:lpstr>
    </vt:vector>
  </TitlesOfParts>
  <Company>Bowling Green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Marie Thompson</dc:creator>
  <cp:lastModifiedBy>Howard Casey Cromwell</cp:lastModifiedBy>
  <dcterms:created xsi:type="dcterms:W3CDTF">2022-06-20T17:50:58Z</dcterms:created>
  <dcterms:modified xsi:type="dcterms:W3CDTF">2025-10-22T20:41:37Z</dcterms:modified>
</cp:coreProperties>
</file>