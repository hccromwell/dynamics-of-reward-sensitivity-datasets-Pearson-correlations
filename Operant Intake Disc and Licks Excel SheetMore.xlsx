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c\Desktop\"/>
    </mc:Choice>
  </mc:AlternateContent>
  <xr:revisionPtr revIDLastSave="0" documentId="13_ncr:1_{7966598A-8A09-4628-AAF7-2654A8855850}" xr6:coauthVersionLast="47" xr6:coauthVersionMax="47" xr10:uidLastSave="{00000000-0000-0000-0000-000000000000}"/>
  <bookViews>
    <workbookView xWindow="-120" yWindow="-120" windowWidth="29040" windowHeight="15720" tabRatio="719" firstSheet="11" activeTab="17" xr2:uid="{00000000-000D-0000-FFFF-FFFF00000000}"/>
  </bookViews>
  <sheets>
    <sheet name="10 &amp; 30" sheetId="1" r:id="rId1"/>
    <sheet name="10 &amp; 1" sheetId="2" r:id="rId2"/>
    <sheet name="1%" sheetId="3" r:id="rId3"/>
    <sheet name="10%" sheetId="4" r:id="rId4"/>
    <sheet name="30%" sheetId="5" r:id="rId5"/>
    <sheet name="Discrimination Week 1" sheetId="11" r:id="rId6"/>
    <sheet name="Discrimination Week 2" sheetId="6" r:id="rId7"/>
    <sheet name="LIcks by sex by conditions" sheetId="18" r:id="rId8"/>
    <sheet name="IC 1st Trial Week 1" sheetId="15" r:id="rId9"/>
    <sheet name="IC 1st Trial Week 2" sheetId="7" r:id="rId10"/>
    <sheet name="IC 9 trials Week 1" sheetId="16" r:id="rId11"/>
    <sheet name="IC 9 trials Week 2" sheetId="8" r:id="rId12"/>
    <sheet name="IC All Trials Week 1" sheetId="17" r:id="rId13"/>
    <sheet name="IC All Trials Week 2" sheetId="9" r:id="rId14"/>
    <sheet name="IC trials Licks by sex" sheetId="19" r:id="rId15"/>
    <sheet name="Consumption All" sheetId="10" r:id="rId16"/>
    <sheet name="Consumption males  only" sheetId="20" r:id="rId17"/>
    <sheet name="Intake males only rearranged" sheetId="21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1" l="1"/>
  <c r="G11" i="21"/>
  <c r="G10" i="21"/>
  <c r="G9" i="21"/>
  <c r="G8" i="21"/>
  <c r="G7" i="21"/>
  <c r="G6" i="21"/>
  <c r="G5" i="21"/>
  <c r="G4" i="21"/>
  <c r="G3" i="21"/>
  <c r="G2" i="21"/>
  <c r="F12" i="21"/>
  <c r="F11" i="21"/>
  <c r="F10" i="21"/>
  <c r="F9" i="21"/>
  <c r="F8" i="21"/>
  <c r="F7" i="21"/>
  <c r="F6" i="21"/>
  <c r="F5" i="21"/>
  <c r="F4" i="21"/>
  <c r="F3" i="21"/>
  <c r="F2" i="21"/>
  <c r="E12" i="21"/>
  <c r="E11" i="21"/>
  <c r="E10" i="21"/>
  <c r="E9" i="21"/>
  <c r="E8" i="21"/>
  <c r="E7" i="21"/>
  <c r="E6" i="21"/>
  <c r="E5" i="21"/>
  <c r="E4" i="21"/>
  <c r="E3" i="21"/>
  <c r="E2" i="21"/>
  <c r="N12" i="19"/>
  <c r="N11" i="19"/>
  <c r="N10" i="19"/>
  <c r="N9" i="19"/>
  <c r="N8" i="19"/>
  <c r="N7" i="19"/>
  <c r="N6" i="19"/>
  <c r="N5" i="19"/>
  <c r="N4" i="19"/>
  <c r="N3" i="19"/>
  <c r="N2" i="19"/>
  <c r="M12" i="19"/>
  <c r="M11" i="19"/>
  <c r="M10" i="19"/>
  <c r="M9" i="19"/>
  <c r="M8" i="19"/>
  <c r="M7" i="19"/>
  <c r="M6" i="19"/>
  <c r="M5" i="19"/>
  <c r="M4" i="19"/>
  <c r="M3" i="19"/>
  <c r="M2" i="19"/>
  <c r="H24" i="18"/>
  <c r="H23" i="18"/>
  <c r="H22" i="18"/>
  <c r="H21" i="18"/>
  <c r="H20" i="18"/>
  <c r="H19" i="18"/>
  <c r="H18" i="18"/>
  <c r="H17" i="18"/>
  <c r="H16" i="18"/>
  <c r="H15" i="18"/>
  <c r="H14" i="18"/>
  <c r="G24" i="18"/>
  <c r="G23" i="18"/>
  <c r="G22" i="18"/>
  <c r="G21" i="18"/>
  <c r="G20" i="18"/>
  <c r="G19" i="18"/>
  <c r="G18" i="18"/>
  <c r="G17" i="18"/>
  <c r="G16" i="18"/>
  <c r="G15" i="18"/>
  <c r="G14" i="18"/>
  <c r="F24" i="18"/>
  <c r="F23" i="18"/>
  <c r="F22" i="18"/>
  <c r="F21" i="18"/>
  <c r="F20" i="18"/>
  <c r="F19" i="18"/>
  <c r="F18" i="18"/>
  <c r="F17" i="18"/>
  <c r="F16" i="18"/>
  <c r="F15" i="18"/>
  <c r="F14" i="18"/>
  <c r="A27" i="18"/>
  <c r="J62" i="1"/>
  <c r="I2" i="1"/>
  <c r="K23" i="6"/>
  <c r="K22" i="6"/>
  <c r="K20" i="6"/>
  <c r="K15" i="6"/>
  <c r="K13" i="6"/>
  <c r="K11" i="6"/>
  <c r="K10" i="6"/>
  <c r="K8" i="6"/>
  <c r="K7" i="6"/>
  <c r="K6" i="6"/>
  <c r="K4" i="6"/>
  <c r="K2" i="6"/>
  <c r="J23" i="6"/>
  <c r="J22" i="6"/>
  <c r="J20" i="6"/>
  <c r="J15" i="6"/>
  <c r="J13" i="6"/>
  <c r="J11" i="6"/>
  <c r="J10" i="6"/>
  <c r="J7" i="6"/>
  <c r="J6" i="6"/>
  <c r="J4" i="6"/>
  <c r="I23" i="6"/>
  <c r="I22" i="6"/>
  <c r="I20" i="6"/>
  <c r="I15" i="6"/>
  <c r="I13" i="6"/>
  <c r="I11" i="6"/>
  <c r="I10" i="6"/>
  <c r="I8" i="6"/>
  <c r="I7" i="6"/>
  <c r="I6" i="6"/>
  <c r="I4" i="6"/>
  <c r="I2" i="6"/>
  <c r="K746" i="4"/>
  <c r="K721" i="4"/>
  <c r="K696" i="4"/>
  <c r="K671" i="4"/>
  <c r="K646" i="4"/>
  <c r="K621" i="4"/>
  <c r="K440" i="4"/>
  <c r="K415" i="4"/>
  <c r="K404" i="4"/>
  <c r="K379" i="4"/>
  <c r="K361" i="4"/>
  <c r="K355" i="4"/>
  <c r="K330" i="4"/>
  <c r="K305" i="4"/>
  <c r="K252" i="4"/>
  <c r="K234" i="4"/>
  <c r="K216" i="4"/>
  <c r="K88" i="4"/>
  <c r="K72" i="4"/>
  <c r="K54" i="4"/>
  <c r="K36" i="4"/>
  <c r="K20" i="4"/>
  <c r="K2" i="4"/>
  <c r="J747" i="1"/>
  <c r="J722" i="1"/>
  <c r="J697" i="1"/>
  <c r="J666" i="1"/>
  <c r="J652" i="1"/>
  <c r="J447" i="1"/>
  <c r="J422" i="1"/>
  <c r="J401" i="1"/>
  <c r="J384" i="1"/>
  <c r="J350" i="1"/>
  <c r="J331" i="1"/>
  <c r="J306" i="1"/>
  <c r="J247" i="1"/>
  <c r="J220" i="1"/>
  <c r="J96" i="1"/>
  <c r="J79" i="1"/>
  <c r="J45" i="1"/>
  <c r="J28" i="1"/>
  <c r="K7" i="1"/>
  <c r="J7" i="1"/>
  <c r="K759" i="2"/>
  <c r="J734" i="2"/>
  <c r="K734" i="2"/>
  <c r="J709" i="2"/>
  <c r="K709" i="2"/>
  <c r="J686" i="2"/>
  <c r="K686" i="2"/>
  <c r="J661" i="2"/>
  <c r="K661" i="2"/>
  <c r="J644" i="2"/>
  <c r="K644" i="2"/>
  <c r="J447" i="2"/>
  <c r="K447" i="2"/>
  <c r="J422" i="2"/>
  <c r="K422" i="2"/>
  <c r="J404" i="2"/>
  <c r="K404" i="2"/>
  <c r="J379" i="2"/>
  <c r="K379" i="2"/>
  <c r="K370" i="2"/>
  <c r="K361" i="2"/>
  <c r="J337" i="2"/>
  <c r="K337" i="2"/>
  <c r="J312" i="2"/>
  <c r="K312" i="2"/>
  <c r="K268" i="2"/>
  <c r="J268" i="2"/>
  <c r="J254" i="2"/>
  <c r="K254" i="2"/>
  <c r="J240" i="2"/>
  <c r="K240" i="2"/>
  <c r="J222" i="2"/>
  <c r="K222" i="2"/>
  <c r="J97" i="2"/>
  <c r="K97" i="2"/>
  <c r="J79" i="2"/>
  <c r="K79" i="2"/>
  <c r="J60" i="2"/>
  <c r="K60" i="2"/>
  <c r="J42" i="2"/>
  <c r="K42" i="2"/>
  <c r="J24" i="2"/>
  <c r="J7" i="2"/>
  <c r="K24" i="2"/>
  <c r="K7" i="2"/>
  <c r="K331" i="1"/>
  <c r="K220" i="1"/>
  <c r="K28" i="1"/>
  <c r="K747" i="1"/>
  <c r="K722" i="1"/>
  <c r="K697" i="1"/>
  <c r="K691" i="1"/>
  <c r="K666" i="1"/>
  <c r="K652" i="1"/>
  <c r="K447" i="1"/>
  <c r="K422" i="1"/>
  <c r="K401" i="1"/>
  <c r="K384" i="1"/>
  <c r="K375" i="1"/>
  <c r="K350" i="1"/>
  <c r="K306" i="1"/>
  <c r="K238" i="1"/>
  <c r="K108" i="1"/>
  <c r="J108" i="1"/>
  <c r="K96" i="1"/>
  <c r="K79" i="1"/>
  <c r="K62" i="1"/>
  <c r="K45" i="1"/>
  <c r="I325" i="4"/>
  <c r="I284" i="4"/>
  <c r="I165" i="4"/>
  <c r="I147" i="4"/>
  <c r="I314" i="4"/>
  <c r="I57" i="4"/>
  <c r="I729" i="2"/>
  <c r="I304" i="2"/>
  <c r="I71" i="2"/>
  <c r="I21" i="2"/>
  <c r="I687" i="1"/>
  <c r="I391" i="1"/>
  <c r="I384" i="1"/>
  <c r="I376" i="1"/>
  <c r="I237" i="1"/>
  <c r="I212" i="1"/>
  <c r="I65" i="1"/>
  <c r="J784" i="5"/>
  <c r="J759" i="5"/>
  <c r="J734" i="5"/>
  <c r="J709" i="5"/>
  <c r="J684" i="5"/>
  <c r="J659" i="5"/>
  <c r="J455" i="5"/>
  <c r="J430" i="5"/>
  <c r="J405" i="5"/>
  <c r="J385" i="5"/>
  <c r="J373" i="5"/>
  <c r="J353" i="5"/>
  <c r="J328" i="5"/>
  <c r="J247" i="5"/>
  <c r="J232" i="5"/>
  <c r="J214" i="5"/>
  <c r="J90" i="5"/>
  <c r="J72" i="5"/>
  <c r="J54" i="5"/>
  <c r="J38" i="5"/>
  <c r="J20" i="5"/>
  <c r="J2" i="5"/>
  <c r="J746" i="4"/>
  <c r="J721" i="4"/>
  <c r="J696" i="4"/>
  <c r="J671" i="4"/>
  <c r="J646" i="4"/>
  <c r="J440" i="4"/>
  <c r="J415" i="4"/>
  <c r="J404" i="4"/>
  <c r="J379" i="4"/>
  <c r="J361" i="4"/>
  <c r="J305" i="4"/>
  <c r="J252" i="4"/>
  <c r="J234" i="4" l="1"/>
  <c r="J216" i="4"/>
  <c r="J88" i="4"/>
  <c r="J72" i="4"/>
  <c r="J54" i="4"/>
  <c r="J36" i="4"/>
  <c r="J20" i="4"/>
  <c r="J2" i="4"/>
  <c r="J668" i="3"/>
  <c r="J644" i="3"/>
  <c r="J619" i="3"/>
  <c r="J609" i="3"/>
  <c r="J584" i="3"/>
  <c r="J575" i="3"/>
  <c r="J412" i="3"/>
  <c r="J390" i="3"/>
  <c r="J376" i="3"/>
  <c r="J359" i="3"/>
  <c r="J348" i="3"/>
  <c r="J323" i="3"/>
  <c r="J301" i="3"/>
  <c r="J289" i="3"/>
  <c r="J228" i="3"/>
  <c r="J218" i="3"/>
  <c r="J200" i="3"/>
  <c r="J89" i="3"/>
  <c r="J71" i="3"/>
  <c r="J54" i="3"/>
  <c r="J36" i="3"/>
  <c r="J24" i="3"/>
  <c r="J2" i="3"/>
  <c r="J103" i="3"/>
  <c r="K888" i="1" l="1"/>
  <c r="K863" i="1"/>
  <c r="K838" i="1"/>
  <c r="K813" i="1"/>
  <c r="K788" i="1"/>
  <c r="K763" i="1"/>
  <c r="K623" i="1"/>
  <c r="K598" i="1"/>
  <c r="K573" i="1"/>
  <c r="K557" i="1"/>
  <c r="K543" i="1"/>
  <c r="K518" i="1"/>
  <c r="K468" i="1"/>
  <c r="K284" i="1"/>
  <c r="K261" i="1"/>
  <c r="K198" i="1"/>
  <c r="K180" i="1"/>
  <c r="K162" i="1"/>
  <c r="K144" i="1"/>
  <c r="K126" i="1"/>
  <c r="K888" i="2"/>
  <c r="K863" i="2"/>
  <c r="K838" i="2"/>
  <c r="K813" i="2"/>
  <c r="K788" i="2"/>
  <c r="K763" i="2"/>
  <c r="K615" i="2"/>
  <c r="K590" i="2"/>
  <c r="K565" i="2"/>
  <c r="K540" i="2"/>
  <c r="K509" i="2"/>
  <c r="K484" i="2"/>
  <c r="K459" i="2"/>
  <c r="K290" i="2"/>
  <c r="K200" i="2"/>
  <c r="K182" i="2"/>
  <c r="K164" i="2"/>
  <c r="K146" i="2"/>
  <c r="K128" i="2"/>
  <c r="K110" i="2"/>
  <c r="K886" i="4"/>
  <c r="K861" i="4"/>
  <c r="K836" i="4"/>
  <c r="K811" i="4"/>
  <c r="K786" i="4"/>
  <c r="K761" i="4"/>
  <c r="K596" i="4"/>
  <c r="K571" i="4"/>
  <c r="K546" i="4"/>
  <c r="K531" i="4"/>
  <c r="K521" i="4"/>
  <c r="K496" i="4"/>
  <c r="K482" i="4"/>
  <c r="K457" i="4"/>
  <c r="K287" i="4"/>
  <c r="K278" i="4"/>
  <c r="K197" i="4"/>
  <c r="K179" i="4"/>
  <c r="K161" i="4"/>
  <c r="K142" i="4"/>
  <c r="K124" i="4"/>
  <c r="K106" i="4"/>
  <c r="J106" i="4"/>
  <c r="J888" i="2" l="1"/>
  <c r="J863" i="2"/>
  <c r="J838" i="2"/>
  <c r="J813" i="2"/>
  <c r="J788" i="2"/>
  <c r="J763" i="2"/>
  <c r="J615" i="2"/>
  <c r="J590" i="2"/>
  <c r="J565" i="2"/>
  <c r="J540" i="2"/>
  <c r="J509" i="2"/>
  <c r="J484" i="2"/>
  <c r="J459" i="2"/>
  <c r="J290" i="2"/>
  <c r="J200" i="2"/>
  <c r="J182" i="2"/>
  <c r="J164" i="2"/>
  <c r="J146" i="2"/>
  <c r="J128" i="2"/>
  <c r="J110" i="2"/>
  <c r="J886" i="4"/>
  <c r="J861" i="4"/>
  <c r="J836" i="4"/>
  <c r="J811" i="4"/>
  <c r="J786" i="4"/>
  <c r="J761" i="4"/>
  <c r="J621" i="4"/>
  <c r="J596" i="4"/>
  <c r="J571" i="4"/>
  <c r="J546" i="4"/>
  <c r="J531" i="4"/>
  <c r="J521" i="4"/>
  <c r="J496" i="4"/>
  <c r="J482" i="4"/>
  <c r="J457" i="4"/>
  <c r="J330" i="4"/>
  <c r="J287" i="4"/>
  <c r="J278" i="4"/>
  <c r="J197" i="4"/>
  <c r="J179" i="4"/>
  <c r="J161" i="4"/>
  <c r="J142" i="4"/>
  <c r="J124" i="4"/>
  <c r="J801" i="3"/>
  <c r="J776" i="3"/>
  <c r="J751" i="3"/>
  <c r="J731" i="3"/>
  <c r="J706" i="3"/>
  <c r="J681" i="3"/>
  <c r="J554" i="3"/>
  <c r="J538" i="3"/>
  <c r="J517" i="3"/>
  <c r="J492" i="3"/>
  <c r="J481" i="3"/>
  <c r="J456" i="3"/>
  <c r="J440" i="3"/>
  <c r="J421" i="3"/>
  <c r="J271" i="3"/>
  <c r="J246" i="3"/>
  <c r="J181" i="3"/>
  <c r="J162" i="3"/>
  <c r="J150" i="3"/>
  <c r="J132" i="3"/>
  <c r="J114" i="3"/>
  <c r="J930" i="5"/>
  <c r="J905" i="5"/>
  <c r="J880" i="5"/>
  <c r="J855" i="5"/>
  <c r="J830" i="5"/>
  <c r="J805" i="5"/>
  <c r="J634" i="5"/>
  <c r="J609" i="5"/>
  <c r="J586" i="5"/>
  <c r="J561" i="5"/>
  <c r="J530" i="5"/>
  <c r="J505" i="5"/>
  <c r="J480" i="5"/>
  <c r="J302" i="5"/>
  <c r="J284" i="5"/>
  <c r="J265" i="5"/>
  <c r="J196" i="5"/>
  <c r="J178" i="5"/>
  <c r="J160" i="5"/>
  <c r="J142" i="5"/>
  <c r="J124" i="5"/>
  <c r="J106" i="5"/>
  <c r="I954" i="5" l="1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11" i="3"/>
  <c r="I810" i="3"/>
  <c r="I809" i="3"/>
  <c r="I808" i="3"/>
  <c r="I807" i="3"/>
  <c r="I806" i="3"/>
  <c r="I805" i="3"/>
  <c r="I804" i="3"/>
  <c r="I803" i="3"/>
  <c r="I802" i="3"/>
  <c r="I801" i="3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798" i="1"/>
  <c r="I797" i="1"/>
  <c r="I796" i="1"/>
  <c r="I795" i="1"/>
  <c r="I794" i="1"/>
  <c r="I793" i="1"/>
  <c r="I792" i="1"/>
  <c r="I791" i="1"/>
  <c r="I790" i="1"/>
  <c r="I789" i="1"/>
  <c r="I788" i="1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62" i="2"/>
  <c r="I761" i="2"/>
  <c r="I760" i="2"/>
  <c r="I759" i="2"/>
  <c r="I758" i="2"/>
  <c r="I757" i="2"/>
  <c r="I756" i="2"/>
  <c r="I755" i="2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703" i="2"/>
  <c r="I704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18" i="3"/>
  <c r="I617" i="3"/>
  <c r="I616" i="3"/>
  <c r="I615" i="3"/>
  <c r="I614" i="3"/>
  <c r="I613" i="3"/>
  <c r="I612" i="3"/>
  <c r="I611" i="3"/>
  <c r="I610" i="3"/>
  <c r="I609" i="3"/>
  <c r="I692" i="1"/>
  <c r="I691" i="1"/>
  <c r="I690" i="1"/>
  <c r="I689" i="1"/>
  <c r="I688" i="1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J763" i="1" l="1"/>
  <c r="J788" i="1"/>
  <c r="J863" i="1"/>
  <c r="J813" i="1"/>
  <c r="J888" i="1"/>
  <c r="J838" i="1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52" i="4"/>
  <c r="I651" i="4"/>
  <c r="I650" i="4"/>
  <c r="I649" i="4"/>
  <c r="I648" i="4"/>
  <c r="I647" i="4"/>
  <c r="I646" i="4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583" i="3"/>
  <c r="I582" i="3"/>
  <c r="I581" i="3"/>
  <c r="I580" i="3"/>
  <c r="I579" i="3"/>
  <c r="I578" i="3"/>
  <c r="I577" i="3"/>
  <c r="I576" i="3"/>
  <c r="I575" i="3"/>
  <c r="I639" i="2" l="1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1" i="2"/>
  <c r="I582" i="2"/>
  <c r="I583" i="2"/>
  <c r="I584" i="2"/>
  <c r="I585" i="2"/>
  <c r="I586" i="2"/>
  <c r="I587" i="2"/>
  <c r="I588" i="2"/>
  <c r="I58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J557" i="1" s="1"/>
  <c r="I560" i="1"/>
  <c r="I559" i="1"/>
  <c r="I558" i="1"/>
  <c r="I557" i="1"/>
  <c r="I554" i="1"/>
  <c r="I555" i="1"/>
  <c r="I556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K493" i="1" s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60" i="5"/>
  <c r="I559" i="5"/>
  <c r="I558" i="5"/>
  <c r="I557" i="5"/>
  <c r="I556" i="5"/>
  <c r="I555" i="5"/>
  <c r="I530" i="4"/>
  <c r="I529" i="4"/>
  <c r="I528" i="4"/>
  <c r="I527" i="4"/>
  <c r="I526" i="4"/>
  <c r="I525" i="4"/>
  <c r="I524" i="4"/>
  <c r="I523" i="4"/>
  <c r="I522" i="4"/>
  <c r="I521" i="4"/>
  <c r="I491" i="3"/>
  <c r="I490" i="3"/>
  <c r="I489" i="3"/>
  <c r="I488" i="3"/>
  <c r="I487" i="3"/>
  <c r="I486" i="3"/>
  <c r="I485" i="3"/>
  <c r="I484" i="3"/>
  <c r="I483" i="3"/>
  <c r="I482" i="3"/>
  <c r="I481" i="3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68" i="4"/>
  <c r="I469" i="4"/>
  <c r="I470" i="4"/>
  <c r="I471" i="4"/>
  <c r="I472" i="4"/>
  <c r="I473" i="4"/>
  <c r="I474" i="4"/>
  <c r="I475" i="4"/>
  <c r="I476" i="4"/>
  <c r="I477" i="4"/>
  <c r="I478" i="4"/>
  <c r="I481" i="4"/>
  <c r="I465" i="4"/>
  <c r="I464" i="4"/>
  <c r="I463" i="4"/>
  <c r="I462" i="4"/>
  <c r="I461" i="4"/>
  <c r="I460" i="4"/>
  <c r="I459" i="4"/>
  <c r="I458" i="4"/>
  <c r="I457" i="4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62" i="5"/>
  <c r="I461" i="5"/>
  <c r="I460" i="5"/>
  <c r="I459" i="5"/>
  <c r="I458" i="5"/>
  <c r="I457" i="5"/>
  <c r="I456" i="5"/>
  <c r="I455" i="5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20" i="3"/>
  <c r="I419" i="3"/>
  <c r="I418" i="3"/>
  <c r="I417" i="3"/>
  <c r="I416" i="3"/>
  <c r="I415" i="3"/>
  <c r="I414" i="3"/>
  <c r="I413" i="3"/>
  <c r="I412" i="3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14" i="4"/>
  <c r="I413" i="4"/>
  <c r="I412" i="4"/>
  <c r="I411" i="4"/>
  <c r="I410" i="4"/>
  <c r="I409" i="4"/>
  <c r="I408" i="4"/>
  <c r="I407" i="4"/>
  <c r="I406" i="4"/>
  <c r="I405" i="4"/>
  <c r="I404" i="4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58" i="3"/>
  <c r="I357" i="3"/>
  <c r="I356" i="3"/>
  <c r="I355" i="3"/>
  <c r="I354" i="3"/>
  <c r="I353" i="3"/>
  <c r="I352" i="3"/>
  <c r="I351" i="3"/>
  <c r="I350" i="3"/>
  <c r="I349" i="3"/>
  <c r="I348" i="3"/>
  <c r="I384" i="5"/>
  <c r="I383" i="5"/>
  <c r="I382" i="5"/>
  <c r="I381" i="5"/>
  <c r="I380" i="5"/>
  <c r="I379" i="5"/>
  <c r="I378" i="5"/>
  <c r="I377" i="5"/>
  <c r="I376" i="5"/>
  <c r="I375" i="5"/>
  <c r="I374" i="5"/>
  <c r="I373" i="5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60" i="4"/>
  <c r="I359" i="4"/>
  <c r="I358" i="4"/>
  <c r="I357" i="4"/>
  <c r="I356" i="4"/>
  <c r="I355" i="4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29" i="4"/>
  <c r="I328" i="4"/>
  <c r="I327" i="4"/>
  <c r="I326" i="4"/>
  <c r="I324" i="4"/>
  <c r="I323" i="4"/>
  <c r="I322" i="4"/>
  <c r="I321" i="4"/>
  <c r="I320" i="4"/>
  <c r="I319" i="4"/>
  <c r="I318" i="4"/>
  <c r="I317" i="4"/>
  <c r="I316" i="4"/>
  <c r="I315" i="4"/>
  <c r="I313" i="4"/>
  <c r="I312" i="4"/>
  <c r="I311" i="4"/>
  <c r="I310" i="4"/>
  <c r="I309" i="4"/>
  <c r="I308" i="4"/>
  <c r="I307" i="4"/>
  <c r="I306" i="4"/>
  <c r="I305" i="4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0" i="1"/>
  <c r="I389" i="1"/>
  <c r="I388" i="1"/>
  <c r="I387" i="1"/>
  <c r="I386" i="1"/>
  <c r="I385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70" i="1"/>
  <c r="I369" i="1"/>
  <c r="I368" i="1"/>
  <c r="I367" i="1"/>
  <c r="I366" i="1"/>
  <c r="I365" i="1"/>
  <c r="I364" i="1"/>
  <c r="I362" i="1"/>
  <c r="I363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0" i="3"/>
  <c r="I299" i="3"/>
  <c r="I298" i="3"/>
  <c r="I297" i="3"/>
  <c r="I296" i="3"/>
  <c r="I295" i="3"/>
  <c r="I294" i="3"/>
  <c r="I293" i="3"/>
  <c r="I292" i="3"/>
  <c r="I291" i="3"/>
  <c r="I290" i="3"/>
  <c r="I289" i="3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27" i="5"/>
  <c r="I326" i="5"/>
  <c r="I325" i="5"/>
  <c r="I324" i="5"/>
  <c r="I323" i="5"/>
  <c r="I322" i="5"/>
  <c r="I321" i="5"/>
  <c r="I320" i="5"/>
  <c r="J573" i="1" l="1"/>
  <c r="J598" i="1"/>
  <c r="J623" i="1"/>
  <c r="J468" i="1"/>
  <c r="J493" i="1"/>
  <c r="J518" i="1"/>
  <c r="J543" i="1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1"/>
  <c r="I282" i="1"/>
  <c r="I281" i="1"/>
  <c r="I280" i="1"/>
  <c r="I279" i="1"/>
  <c r="I278" i="1"/>
  <c r="I277" i="1"/>
  <c r="I276" i="1"/>
  <c r="I286" i="4"/>
  <c r="I285" i="4"/>
  <c r="I283" i="4"/>
  <c r="I282" i="4"/>
  <c r="I281" i="4"/>
  <c r="I280" i="4"/>
  <c r="I279" i="4"/>
  <c r="I278" i="4"/>
  <c r="I307" i="2"/>
  <c r="I306" i="2"/>
  <c r="I305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8" i="2"/>
  <c r="I289" i="2"/>
  <c r="I287" i="2"/>
  <c r="I286" i="2"/>
  <c r="I270" i="3"/>
  <c r="I269" i="3"/>
  <c r="I268" i="3"/>
  <c r="I267" i="3"/>
  <c r="I266" i="3"/>
  <c r="I265" i="3"/>
  <c r="I264" i="3"/>
  <c r="I277" i="4"/>
  <c r="I276" i="4"/>
  <c r="I275" i="4"/>
  <c r="I274" i="4"/>
  <c r="I273" i="4"/>
  <c r="I272" i="4"/>
  <c r="I271" i="4"/>
  <c r="I270" i="4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27" i="3"/>
  <c r="I226" i="3"/>
  <c r="I225" i="3"/>
  <c r="I224" i="3"/>
  <c r="I223" i="3"/>
  <c r="I222" i="3"/>
  <c r="I221" i="3"/>
  <c r="I220" i="3"/>
  <c r="I219" i="3"/>
  <c r="I218" i="3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60" i="1"/>
  <c r="I259" i="1"/>
  <c r="I258" i="1"/>
  <c r="I257" i="1"/>
  <c r="I256" i="1"/>
  <c r="I255" i="1"/>
  <c r="I254" i="1"/>
  <c r="I253" i="1"/>
  <c r="I252" i="1"/>
  <c r="I251" i="1"/>
  <c r="K247" i="1" s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6" i="1"/>
  <c r="I235" i="1"/>
  <c r="I234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19" i="1"/>
  <c r="I220" i="1"/>
  <c r="I221" i="1"/>
  <c r="I216" i="1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J284" i="1" l="1"/>
  <c r="J261" i="1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4" i="4"/>
  <c r="I163" i="4"/>
  <c r="I162" i="4"/>
  <c r="I161" i="4"/>
  <c r="I161" i="3"/>
  <c r="I160" i="3"/>
  <c r="I159" i="3"/>
  <c r="I158" i="3"/>
  <c r="I157" i="3"/>
  <c r="I156" i="3"/>
  <c r="I155" i="3"/>
  <c r="I154" i="3"/>
  <c r="I153" i="3"/>
  <c r="I152" i="3"/>
  <c r="I151" i="3"/>
  <c r="I150" i="3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6" i="4"/>
  <c r="I145" i="4"/>
  <c r="I144" i="4"/>
  <c r="I143" i="4"/>
  <c r="I142" i="4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7" i="3"/>
  <c r="I118" i="3"/>
  <c r="I115" i="3"/>
  <c r="I114" i="3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5" l="1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13" i="3"/>
  <c r="I112" i="3"/>
  <c r="I111" i="3"/>
  <c r="I110" i="3"/>
  <c r="I109" i="3"/>
  <c r="I108" i="3"/>
  <c r="I107" i="3"/>
  <c r="I106" i="3"/>
  <c r="I105" i="3"/>
  <c r="I104" i="3"/>
  <c r="I103" i="3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4" i="5"/>
  <c r="I75" i="5"/>
  <c r="I76" i="5"/>
  <c r="I73" i="5"/>
  <c r="I72" i="5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6" i="4"/>
  <c r="I55" i="4"/>
  <c r="I54" i="4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5" i="3"/>
  <c r="I34" i="3"/>
  <c r="I33" i="3"/>
  <c r="I32" i="3"/>
  <c r="I31" i="3"/>
  <c r="I30" i="3"/>
  <c r="I29" i="3"/>
  <c r="I28" i="3"/>
  <c r="I27" i="3"/>
  <c r="I26" i="3"/>
  <c r="I25" i="3"/>
  <c r="I24" i="3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" i="3"/>
  <c r="I215" i="1" l="1"/>
  <c r="I214" i="1"/>
  <c r="I213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J126" i="1" l="1"/>
  <c r="J162" i="1"/>
  <c r="J198" i="1"/>
  <c r="J144" i="1"/>
  <c r="J180" i="1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0" i="2"/>
  <c r="I1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" i="2"/>
  <c r="I107" i="1" l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3" i="1"/>
  <c r="I4" i="1"/>
  <c r="I5" i="1"/>
  <c r="I6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</calcChain>
</file>

<file path=xl/sharedStrings.xml><?xml version="1.0" encoding="utf-8"?>
<sst xmlns="http://schemas.openxmlformats.org/spreadsheetml/2006/main" count="117" uniqueCount="29">
  <si>
    <t>Week</t>
  </si>
  <si>
    <t>Date</t>
  </si>
  <si>
    <t>Rat</t>
  </si>
  <si>
    <t>Sex</t>
  </si>
  <si>
    <t>Sucrose</t>
  </si>
  <si>
    <t>Trial</t>
  </si>
  <si>
    <t>Begin</t>
  </si>
  <si>
    <t>End</t>
  </si>
  <si>
    <t>Total Licks</t>
  </si>
  <si>
    <t>Average 9</t>
  </si>
  <si>
    <t>Average All</t>
  </si>
  <si>
    <t>1212/19</t>
  </si>
  <si>
    <t>Average</t>
  </si>
  <si>
    <t>PC</t>
  </si>
  <si>
    <t>NC</t>
  </si>
  <si>
    <t>1st 10%</t>
  </si>
  <si>
    <t xml:space="preserve"> </t>
  </si>
  <si>
    <t>Taken</t>
  </si>
  <si>
    <t>sex</t>
  </si>
  <si>
    <t>DSPC</t>
  </si>
  <si>
    <t>DSNC</t>
  </si>
  <si>
    <t>Oone</t>
  </si>
  <si>
    <t>Oten</t>
  </si>
  <si>
    <t>Othirty</t>
  </si>
  <si>
    <t>intake Operant Chamber DISC</t>
  </si>
  <si>
    <t>g/kg sucrose</t>
  </si>
  <si>
    <t>DS10-1</t>
  </si>
  <si>
    <t>DS30-10</t>
  </si>
  <si>
    <t>DS30-1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</si>
</sst>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 vertical="center"/>
    </xf>
    <xf numFmtId="0" fontId="1" fillId="2" borderId="0" xfId="1" applyFill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2" fontId="1" fillId="2" borderId="0" xfId="1" applyNumberFormat="1" applyFill="1" applyAlignment="1">
      <alignment horizontal="center" vertical="center"/>
    </xf>
    <xf numFmtId="1" fontId="1" fillId="2" borderId="0" xfId="1" applyNumberFormat="1" applyFill="1" applyAlignment="1">
      <alignment horizontal="center" vertical="center"/>
    </xf>
    <xf numFmtId="1" fontId="1" fillId="0" borderId="0" xfId="1" applyNumberForma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8"/>
  <sheetViews>
    <sheetView topLeftCell="D1" zoomScaleNormal="100" workbookViewId="0">
      <pane ySplit="1" topLeftCell="A2" activePane="bottomLeft" state="frozen"/>
      <selection pane="bottomLeft" activeCell="J63" sqref="J63"/>
    </sheetView>
  </sheetViews>
  <sheetFormatPr defaultRowHeight="15" x14ac:dyDescent="0.25"/>
  <cols>
    <col min="1" max="1" width="8.85546875" style="1"/>
    <col min="2" max="2" width="11" style="1" customWidth="1"/>
    <col min="3" max="8" width="8.85546875" style="1"/>
    <col min="9" max="9" width="10.28515625" style="1" customWidth="1"/>
    <col min="10" max="10" width="8.85546875" style="7"/>
    <col min="11" max="11" width="10.28515625" style="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6" t="s">
        <v>10</v>
      </c>
    </row>
    <row r="2" spans="1:11" x14ac:dyDescent="0.25">
      <c r="A2" s="1">
        <v>1</v>
      </c>
      <c r="B2" s="2">
        <v>43781</v>
      </c>
      <c r="C2" s="1">
        <v>1</v>
      </c>
      <c r="D2" s="1">
        <v>1</v>
      </c>
      <c r="E2" s="1">
        <v>30</v>
      </c>
      <c r="F2" s="1">
        <v>1</v>
      </c>
      <c r="G2" s="1">
        <v>2</v>
      </c>
      <c r="H2" s="1">
        <v>22</v>
      </c>
      <c r="I2" s="1">
        <f>H2-G2</f>
        <v>20</v>
      </c>
    </row>
    <row r="3" spans="1:11" x14ac:dyDescent="0.25">
      <c r="C3" s="1">
        <v>1</v>
      </c>
      <c r="D3" s="1">
        <v>1</v>
      </c>
      <c r="E3" s="1">
        <v>30</v>
      </c>
      <c r="F3" s="1">
        <v>2</v>
      </c>
      <c r="G3" s="1">
        <v>22</v>
      </c>
      <c r="H3" s="1">
        <v>69</v>
      </c>
      <c r="I3" s="1">
        <f t="shared" ref="I3:I216" si="0">H3-G3</f>
        <v>47</v>
      </c>
    </row>
    <row r="4" spans="1:11" x14ac:dyDescent="0.25">
      <c r="C4" s="1">
        <v>1</v>
      </c>
      <c r="D4" s="1">
        <v>1</v>
      </c>
      <c r="E4" s="1">
        <v>30</v>
      </c>
      <c r="F4" s="1">
        <v>3</v>
      </c>
      <c r="G4" s="1">
        <v>69</v>
      </c>
      <c r="H4" s="1">
        <v>87</v>
      </c>
      <c r="I4" s="1">
        <f t="shared" si="0"/>
        <v>18</v>
      </c>
    </row>
    <row r="5" spans="1:11" x14ac:dyDescent="0.25">
      <c r="C5" s="1">
        <v>1</v>
      </c>
      <c r="D5" s="1">
        <v>1</v>
      </c>
      <c r="E5" s="1">
        <v>30</v>
      </c>
      <c r="F5" s="1">
        <v>4</v>
      </c>
      <c r="G5" s="1">
        <v>87</v>
      </c>
      <c r="H5" s="1">
        <v>129</v>
      </c>
      <c r="I5" s="1">
        <f t="shared" si="0"/>
        <v>42</v>
      </c>
    </row>
    <row r="6" spans="1:11" x14ac:dyDescent="0.25">
      <c r="C6" s="1">
        <v>1</v>
      </c>
      <c r="D6" s="1">
        <v>1</v>
      </c>
      <c r="E6" s="1">
        <v>30</v>
      </c>
      <c r="F6" s="1">
        <v>5</v>
      </c>
      <c r="G6" s="1">
        <v>129</v>
      </c>
      <c r="H6" s="1">
        <v>221</v>
      </c>
      <c r="I6" s="1">
        <f t="shared" si="0"/>
        <v>92</v>
      </c>
    </row>
    <row r="7" spans="1:11" x14ac:dyDescent="0.25">
      <c r="C7" s="1">
        <v>1</v>
      </c>
      <c r="D7" s="1">
        <v>1</v>
      </c>
      <c r="E7" s="1">
        <v>10</v>
      </c>
      <c r="F7" s="1">
        <v>6</v>
      </c>
      <c r="G7" s="1">
        <v>223</v>
      </c>
      <c r="J7" s="7">
        <f>(I9+I10+I11+I22+I21+I20+I15+I16+I14)/9</f>
        <v>11.888888888888889</v>
      </c>
      <c r="K7" s="6">
        <f>AVERAGE(I7:I22)</f>
        <v>10.571428571428571</v>
      </c>
    </row>
    <row r="8" spans="1:11" x14ac:dyDescent="0.25">
      <c r="C8" s="1">
        <v>1</v>
      </c>
      <c r="D8" s="1">
        <v>1</v>
      </c>
      <c r="E8" s="1">
        <v>10</v>
      </c>
      <c r="F8" s="1">
        <v>7</v>
      </c>
      <c r="H8" s="1">
        <v>354</v>
      </c>
    </row>
    <row r="9" spans="1:11" x14ac:dyDescent="0.25">
      <c r="C9" s="1">
        <v>1</v>
      </c>
      <c r="D9" s="1">
        <v>1</v>
      </c>
      <c r="E9" s="1">
        <v>10</v>
      </c>
      <c r="F9" s="1">
        <v>8</v>
      </c>
      <c r="G9" s="1">
        <v>345</v>
      </c>
      <c r="H9" s="1">
        <v>380</v>
      </c>
      <c r="I9" s="1">
        <f t="shared" si="0"/>
        <v>35</v>
      </c>
    </row>
    <row r="10" spans="1:11" x14ac:dyDescent="0.25">
      <c r="C10" s="1">
        <v>1</v>
      </c>
      <c r="D10" s="1">
        <v>1</v>
      </c>
      <c r="E10" s="1">
        <v>10</v>
      </c>
      <c r="F10" s="1">
        <v>9</v>
      </c>
      <c r="G10" s="1">
        <v>380</v>
      </c>
      <c r="H10" s="1">
        <v>399</v>
      </c>
      <c r="I10" s="1">
        <f t="shared" si="0"/>
        <v>19</v>
      </c>
    </row>
    <row r="11" spans="1:11" x14ac:dyDescent="0.25">
      <c r="C11" s="1">
        <v>1</v>
      </c>
      <c r="D11" s="1">
        <v>1</v>
      </c>
      <c r="E11" s="1">
        <v>10</v>
      </c>
      <c r="F11" s="1">
        <v>10</v>
      </c>
      <c r="G11" s="1">
        <v>399</v>
      </c>
      <c r="H11" s="1">
        <v>399</v>
      </c>
      <c r="I11" s="1">
        <f t="shared" si="0"/>
        <v>0</v>
      </c>
    </row>
    <row r="12" spans="1:11" x14ac:dyDescent="0.25">
      <c r="C12" s="1">
        <v>1</v>
      </c>
      <c r="D12" s="1">
        <v>1</v>
      </c>
      <c r="E12" s="1">
        <v>10</v>
      </c>
      <c r="F12" s="1">
        <v>11</v>
      </c>
      <c r="G12" s="1">
        <v>401</v>
      </c>
      <c r="H12" s="1">
        <v>401</v>
      </c>
      <c r="I12" s="1">
        <f t="shared" si="0"/>
        <v>0</v>
      </c>
    </row>
    <row r="13" spans="1:11" x14ac:dyDescent="0.25">
      <c r="C13" s="1">
        <v>1</v>
      </c>
      <c r="D13" s="1">
        <v>1</v>
      </c>
      <c r="E13" s="1">
        <v>10</v>
      </c>
      <c r="F13" s="1">
        <v>12</v>
      </c>
      <c r="G13" s="1">
        <v>401</v>
      </c>
      <c r="H13" s="1">
        <v>418</v>
      </c>
      <c r="I13" s="1">
        <f t="shared" si="0"/>
        <v>17</v>
      </c>
    </row>
    <row r="14" spans="1:11" x14ac:dyDescent="0.25">
      <c r="C14" s="1">
        <v>1</v>
      </c>
      <c r="D14" s="1">
        <v>1</v>
      </c>
      <c r="E14" s="1">
        <v>10</v>
      </c>
      <c r="F14" s="1">
        <v>13</v>
      </c>
      <c r="G14" s="1">
        <v>418</v>
      </c>
      <c r="H14" s="1">
        <v>442</v>
      </c>
      <c r="I14" s="1">
        <f t="shared" si="0"/>
        <v>24</v>
      </c>
    </row>
    <row r="15" spans="1:11" x14ac:dyDescent="0.25">
      <c r="C15" s="1">
        <v>1</v>
      </c>
      <c r="D15" s="1">
        <v>1</v>
      </c>
      <c r="E15" s="1">
        <v>10</v>
      </c>
      <c r="F15" s="1">
        <v>14</v>
      </c>
      <c r="G15" s="1">
        <v>442</v>
      </c>
      <c r="H15" s="1">
        <v>444</v>
      </c>
      <c r="I15" s="1">
        <f t="shared" si="0"/>
        <v>2</v>
      </c>
    </row>
    <row r="16" spans="1:11" x14ac:dyDescent="0.25">
      <c r="C16" s="1">
        <v>1</v>
      </c>
      <c r="D16" s="1">
        <v>1</v>
      </c>
      <c r="E16" s="1">
        <v>10</v>
      </c>
      <c r="F16" s="1">
        <v>15</v>
      </c>
      <c r="G16" s="1">
        <v>449</v>
      </c>
      <c r="H16" s="1">
        <v>456</v>
      </c>
      <c r="I16" s="1">
        <f t="shared" si="0"/>
        <v>7</v>
      </c>
    </row>
    <row r="17" spans="1:11" x14ac:dyDescent="0.25">
      <c r="C17" s="1">
        <v>1</v>
      </c>
      <c r="D17" s="1">
        <v>1</v>
      </c>
      <c r="E17" s="1">
        <v>10</v>
      </c>
      <c r="F17" s="1">
        <v>16</v>
      </c>
      <c r="G17" s="1">
        <v>456</v>
      </c>
      <c r="H17" s="1">
        <v>460</v>
      </c>
      <c r="I17" s="1">
        <f t="shared" si="0"/>
        <v>4</v>
      </c>
    </row>
    <row r="18" spans="1:11" x14ac:dyDescent="0.25">
      <c r="C18" s="1">
        <v>1</v>
      </c>
      <c r="D18" s="1">
        <v>1</v>
      </c>
      <c r="E18" s="1">
        <v>10</v>
      </c>
      <c r="F18" s="1">
        <v>17</v>
      </c>
      <c r="G18" s="1">
        <v>460</v>
      </c>
      <c r="H18" s="1">
        <v>471</v>
      </c>
      <c r="I18" s="1">
        <f t="shared" si="0"/>
        <v>11</v>
      </c>
    </row>
    <row r="19" spans="1:11" x14ac:dyDescent="0.25">
      <c r="C19" s="1">
        <v>1</v>
      </c>
      <c r="D19" s="1">
        <v>1</v>
      </c>
      <c r="E19" s="1">
        <v>10</v>
      </c>
      <c r="F19" s="1">
        <v>18</v>
      </c>
      <c r="G19" s="1">
        <v>471</v>
      </c>
      <c r="H19" s="1">
        <v>480</v>
      </c>
      <c r="I19" s="1">
        <f t="shared" si="0"/>
        <v>9</v>
      </c>
    </row>
    <row r="20" spans="1:11" x14ac:dyDescent="0.25">
      <c r="C20" s="1">
        <v>1</v>
      </c>
      <c r="D20" s="1">
        <v>1</v>
      </c>
      <c r="E20" s="1">
        <v>10</v>
      </c>
      <c r="F20" s="1">
        <v>19</v>
      </c>
      <c r="G20" s="1">
        <v>480</v>
      </c>
      <c r="H20" s="1">
        <v>490</v>
      </c>
      <c r="I20" s="1">
        <f t="shared" si="0"/>
        <v>10</v>
      </c>
    </row>
    <row r="21" spans="1:11" x14ac:dyDescent="0.25">
      <c r="C21" s="1">
        <v>1</v>
      </c>
      <c r="D21" s="1">
        <v>1</v>
      </c>
      <c r="E21" s="1">
        <v>10</v>
      </c>
      <c r="F21" s="1">
        <v>20</v>
      </c>
      <c r="G21" s="1">
        <v>490</v>
      </c>
      <c r="H21" s="1">
        <v>497</v>
      </c>
      <c r="I21" s="1">
        <f t="shared" si="0"/>
        <v>7</v>
      </c>
    </row>
    <row r="22" spans="1:11" x14ac:dyDescent="0.25">
      <c r="C22" s="1">
        <v>1</v>
      </c>
      <c r="D22" s="1">
        <v>1</v>
      </c>
      <c r="E22" s="1">
        <v>10</v>
      </c>
      <c r="F22" s="1">
        <v>21</v>
      </c>
      <c r="G22" s="1">
        <v>498</v>
      </c>
      <c r="H22" s="1">
        <v>501</v>
      </c>
      <c r="I22" s="1">
        <f t="shared" si="0"/>
        <v>3</v>
      </c>
    </row>
    <row r="23" spans="1:11" x14ac:dyDescent="0.25">
      <c r="A23" s="1">
        <v>1</v>
      </c>
      <c r="B23" s="2">
        <v>43781</v>
      </c>
      <c r="C23" s="1">
        <v>2</v>
      </c>
      <c r="D23" s="1">
        <v>2</v>
      </c>
      <c r="E23" s="1">
        <v>30</v>
      </c>
      <c r="F23" s="1">
        <v>1</v>
      </c>
      <c r="G23" s="1">
        <v>18</v>
      </c>
      <c r="H23" s="1">
        <v>20</v>
      </c>
      <c r="I23" s="1">
        <f t="shared" si="0"/>
        <v>2</v>
      </c>
    </row>
    <row r="24" spans="1:11" x14ac:dyDescent="0.25">
      <c r="C24" s="1">
        <v>2</v>
      </c>
      <c r="D24" s="1">
        <v>2</v>
      </c>
      <c r="E24" s="1">
        <v>30</v>
      </c>
      <c r="F24" s="1">
        <v>2</v>
      </c>
      <c r="G24" s="1">
        <v>20</v>
      </c>
      <c r="H24" s="1">
        <v>23</v>
      </c>
      <c r="I24" s="1">
        <f t="shared" si="0"/>
        <v>3</v>
      </c>
    </row>
    <row r="25" spans="1:11" x14ac:dyDescent="0.25">
      <c r="C25" s="1">
        <v>2</v>
      </c>
      <c r="D25" s="1">
        <v>2</v>
      </c>
      <c r="E25" s="1">
        <v>30</v>
      </c>
      <c r="F25" s="1">
        <v>3</v>
      </c>
      <c r="G25" s="1">
        <v>23</v>
      </c>
      <c r="H25" s="1">
        <v>29</v>
      </c>
      <c r="I25" s="1">
        <f t="shared" si="0"/>
        <v>6</v>
      </c>
    </row>
    <row r="26" spans="1:11" x14ac:dyDescent="0.25">
      <c r="C26" s="1">
        <v>2</v>
      </c>
      <c r="D26" s="1">
        <v>2</v>
      </c>
      <c r="E26" s="1">
        <v>30</v>
      </c>
      <c r="F26" s="1">
        <v>4</v>
      </c>
      <c r="G26" s="1">
        <v>29</v>
      </c>
      <c r="H26" s="1">
        <v>33</v>
      </c>
      <c r="I26" s="1">
        <f t="shared" si="0"/>
        <v>4</v>
      </c>
    </row>
    <row r="27" spans="1:11" x14ac:dyDescent="0.25">
      <c r="C27" s="1">
        <v>2</v>
      </c>
      <c r="D27" s="1">
        <v>2</v>
      </c>
      <c r="E27" s="1">
        <v>30</v>
      </c>
      <c r="F27" s="1">
        <v>5</v>
      </c>
      <c r="G27" s="1">
        <v>33</v>
      </c>
      <c r="H27" s="1">
        <v>33</v>
      </c>
      <c r="I27" s="1">
        <f t="shared" si="0"/>
        <v>0</v>
      </c>
    </row>
    <row r="28" spans="1:11" x14ac:dyDescent="0.25">
      <c r="C28" s="1">
        <v>2</v>
      </c>
      <c r="D28" s="1">
        <v>2</v>
      </c>
      <c r="E28" s="1">
        <v>10</v>
      </c>
      <c r="F28" s="1">
        <v>6</v>
      </c>
      <c r="G28" s="1">
        <v>33</v>
      </c>
      <c r="H28" s="1">
        <v>35</v>
      </c>
      <c r="I28" s="1">
        <f t="shared" si="0"/>
        <v>2</v>
      </c>
      <c r="J28" s="7">
        <f>(I28+I29+I30+I39+I38+I37+I34+I33+I32)/9</f>
        <v>1</v>
      </c>
      <c r="K28" s="6">
        <f>AVERAGE(I28:I40)</f>
        <v>2.4615384615384617</v>
      </c>
    </row>
    <row r="29" spans="1:11" x14ac:dyDescent="0.25">
      <c r="C29" s="1">
        <v>2</v>
      </c>
      <c r="D29" s="1">
        <v>2</v>
      </c>
      <c r="E29" s="1">
        <v>10</v>
      </c>
      <c r="F29" s="1">
        <v>7</v>
      </c>
      <c r="G29" s="1">
        <v>35</v>
      </c>
      <c r="H29" s="1">
        <v>35</v>
      </c>
      <c r="I29" s="1">
        <f t="shared" si="0"/>
        <v>0</v>
      </c>
    </row>
    <row r="30" spans="1:11" x14ac:dyDescent="0.25">
      <c r="C30" s="1">
        <v>2</v>
      </c>
      <c r="D30" s="1">
        <v>2</v>
      </c>
      <c r="E30" s="1">
        <v>10</v>
      </c>
      <c r="F30" s="1">
        <v>8</v>
      </c>
      <c r="G30" s="1">
        <v>35</v>
      </c>
      <c r="H30" s="1">
        <v>38</v>
      </c>
      <c r="I30" s="1">
        <f t="shared" si="0"/>
        <v>3</v>
      </c>
    </row>
    <row r="31" spans="1:11" x14ac:dyDescent="0.25">
      <c r="C31" s="1">
        <v>2</v>
      </c>
      <c r="D31" s="1">
        <v>2</v>
      </c>
      <c r="E31" s="1">
        <v>10</v>
      </c>
      <c r="F31" s="1">
        <v>9</v>
      </c>
      <c r="G31" s="1">
        <v>38</v>
      </c>
      <c r="H31" s="1">
        <v>38</v>
      </c>
      <c r="I31" s="1">
        <f t="shared" si="0"/>
        <v>0</v>
      </c>
    </row>
    <row r="32" spans="1:11" x14ac:dyDescent="0.25">
      <c r="C32" s="1">
        <v>2</v>
      </c>
      <c r="D32" s="1">
        <v>2</v>
      </c>
      <c r="E32" s="1">
        <v>10</v>
      </c>
      <c r="F32" s="1">
        <v>10</v>
      </c>
      <c r="G32" s="1">
        <v>38</v>
      </c>
      <c r="H32" s="1">
        <v>39</v>
      </c>
      <c r="I32" s="1">
        <f t="shared" si="0"/>
        <v>1</v>
      </c>
    </row>
    <row r="33" spans="1:11" x14ac:dyDescent="0.25">
      <c r="C33" s="1">
        <v>2</v>
      </c>
      <c r="D33" s="1">
        <v>2</v>
      </c>
      <c r="E33" s="1">
        <v>10</v>
      </c>
      <c r="F33" s="1">
        <v>11</v>
      </c>
      <c r="G33" s="1">
        <v>39</v>
      </c>
      <c r="H33" s="1">
        <v>39</v>
      </c>
      <c r="I33" s="1">
        <f t="shared" si="0"/>
        <v>0</v>
      </c>
    </row>
    <row r="34" spans="1:11" x14ac:dyDescent="0.25">
      <c r="C34" s="1">
        <v>2</v>
      </c>
      <c r="D34" s="1">
        <v>2</v>
      </c>
      <c r="E34" s="1">
        <v>10</v>
      </c>
      <c r="F34" s="1">
        <v>12</v>
      </c>
      <c r="G34" s="1">
        <v>39</v>
      </c>
      <c r="H34" s="1">
        <v>39</v>
      </c>
      <c r="I34" s="1">
        <f t="shared" si="0"/>
        <v>0</v>
      </c>
    </row>
    <row r="35" spans="1:11" x14ac:dyDescent="0.25">
      <c r="C35" s="1">
        <v>2</v>
      </c>
      <c r="D35" s="1">
        <v>2</v>
      </c>
      <c r="E35" s="1">
        <v>10</v>
      </c>
      <c r="F35" s="1">
        <v>13</v>
      </c>
      <c r="G35" s="1">
        <v>39</v>
      </c>
      <c r="H35" s="1">
        <v>39</v>
      </c>
      <c r="I35" s="1">
        <f t="shared" si="0"/>
        <v>0</v>
      </c>
    </row>
    <row r="36" spans="1:11" x14ac:dyDescent="0.25">
      <c r="C36" s="1">
        <v>2</v>
      </c>
      <c r="D36" s="1">
        <v>2</v>
      </c>
      <c r="E36" s="1">
        <v>10</v>
      </c>
      <c r="F36" s="1">
        <v>14</v>
      </c>
      <c r="G36" s="1">
        <v>39</v>
      </c>
      <c r="H36" s="1">
        <v>39</v>
      </c>
      <c r="I36" s="1">
        <f t="shared" si="0"/>
        <v>0</v>
      </c>
    </row>
    <row r="37" spans="1:11" x14ac:dyDescent="0.25">
      <c r="C37" s="1">
        <v>2</v>
      </c>
      <c r="D37" s="1">
        <v>2</v>
      </c>
      <c r="E37" s="1">
        <v>10</v>
      </c>
      <c r="F37" s="1">
        <v>15</v>
      </c>
      <c r="G37" s="1">
        <v>41</v>
      </c>
      <c r="H37" s="1">
        <v>44</v>
      </c>
      <c r="I37" s="1">
        <f t="shared" si="0"/>
        <v>3</v>
      </c>
    </row>
    <row r="38" spans="1:11" x14ac:dyDescent="0.25">
      <c r="C38" s="1">
        <v>2</v>
      </c>
      <c r="D38" s="1">
        <v>2</v>
      </c>
      <c r="E38" s="1">
        <v>10</v>
      </c>
      <c r="F38" s="1">
        <v>16</v>
      </c>
      <c r="G38" s="1">
        <v>44</v>
      </c>
      <c r="H38" s="1">
        <v>44</v>
      </c>
      <c r="I38" s="1">
        <f t="shared" si="0"/>
        <v>0</v>
      </c>
    </row>
    <row r="39" spans="1:11" x14ac:dyDescent="0.25">
      <c r="C39" s="1">
        <v>2</v>
      </c>
      <c r="D39" s="1">
        <v>2</v>
      </c>
      <c r="E39" s="1">
        <v>10</v>
      </c>
      <c r="F39" s="1">
        <v>17</v>
      </c>
      <c r="G39" s="1">
        <v>44</v>
      </c>
      <c r="H39" s="1">
        <v>44</v>
      </c>
      <c r="I39" s="1">
        <f t="shared" si="0"/>
        <v>0</v>
      </c>
    </row>
    <row r="40" spans="1:11" x14ac:dyDescent="0.25">
      <c r="A40" s="1">
        <v>1</v>
      </c>
      <c r="B40" s="2">
        <v>43781</v>
      </c>
      <c r="C40" s="1">
        <v>3</v>
      </c>
      <c r="D40" s="1">
        <v>1</v>
      </c>
      <c r="E40" s="1">
        <v>30</v>
      </c>
      <c r="F40" s="1">
        <v>1</v>
      </c>
      <c r="G40" s="1">
        <v>6</v>
      </c>
      <c r="H40" s="1">
        <v>29</v>
      </c>
      <c r="I40" s="1">
        <f t="shared" si="0"/>
        <v>23</v>
      </c>
    </row>
    <row r="41" spans="1:11" x14ac:dyDescent="0.25">
      <c r="C41" s="1">
        <v>3</v>
      </c>
      <c r="D41" s="1">
        <v>1</v>
      </c>
      <c r="E41" s="1">
        <v>30</v>
      </c>
      <c r="F41" s="1">
        <v>2</v>
      </c>
      <c r="G41" s="1">
        <v>31</v>
      </c>
      <c r="H41" s="1">
        <v>75</v>
      </c>
      <c r="I41" s="1">
        <f t="shared" si="0"/>
        <v>44</v>
      </c>
    </row>
    <row r="42" spans="1:11" x14ac:dyDescent="0.25">
      <c r="C42" s="1">
        <v>3</v>
      </c>
      <c r="D42" s="1">
        <v>1</v>
      </c>
      <c r="E42" s="1">
        <v>30</v>
      </c>
      <c r="F42" s="1">
        <v>3</v>
      </c>
      <c r="G42" s="1">
        <v>81</v>
      </c>
      <c r="H42" s="1">
        <v>131</v>
      </c>
      <c r="I42" s="1">
        <f t="shared" si="0"/>
        <v>50</v>
      </c>
    </row>
    <row r="43" spans="1:11" x14ac:dyDescent="0.25">
      <c r="C43" s="1">
        <v>3</v>
      </c>
      <c r="D43" s="1">
        <v>1</v>
      </c>
      <c r="E43" s="1">
        <v>30</v>
      </c>
      <c r="F43" s="1">
        <v>4</v>
      </c>
      <c r="G43" s="1">
        <v>131</v>
      </c>
      <c r="H43" s="1">
        <v>179</v>
      </c>
      <c r="I43" s="1">
        <f t="shared" si="0"/>
        <v>48</v>
      </c>
    </row>
    <row r="44" spans="1:11" x14ac:dyDescent="0.25">
      <c r="C44" s="1">
        <v>3</v>
      </c>
      <c r="D44" s="1">
        <v>1</v>
      </c>
      <c r="E44" s="1">
        <v>30</v>
      </c>
      <c r="F44" s="1">
        <v>5</v>
      </c>
      <c r="G44" s="1">
        <v>179</v>
      </c>
      <c r="H44" s="1">
        <v>228</v>
      </c>
      <c r="I44" s="1">
        <f t="shared" si="0"/>
        <v>49</v>
      </c>
    </row>
    <row r="45" spans="1:11" x14ac:dyDescent="0.25">
      <c r="C45" s="1">
        <v>3</v>
      </c>
      <c r="D45" s="1">
        <v>1</v>
      </c>
      <c r="E45" s="1">
        <v>10</v>
      </c>
      <c r="F45" s="1">
        <v>6</v>
      </c>
      <c r="G45" s="1">
        <v>229</v>
      </c>
      <c r="H45" s="1">
        <v>274</v>
      </c>
      <c r="I45" s="1">
        <f t="shared" si="0"/>
        <v>45</v>
      </c>
      <c r="J45" s="7">
        <f>(I45+I46+I47+I56+I55+I54+I50+I51+I49)/9</f>
        <v>32.888888888888886</v>
      </c>
      <c r="K45" s="6">
        <f>AVERAGE(I45:I56)</f>
        <v>34.666666666666664</v>
      </c>
    </row>
    <row r="46" spans="1:11" x14ac:dyDescent="0.25">
      <c r="C46" s="1">
        <v>3</v>
      </c>
      <c r="D46" s="1">
        <v>1</v>
      </c>
      <c r="E46" s="1">
        <v>10</v>
      </c>
      <c r="F46" s="1">
        <v>7</v>
      </c>
      <c r="G46" s="1">
        <v>277</v>
      </c>
      <c r="H46" s="1">
        <v>330</v>
      </c>
      <c r="I46" s="1">
        <f t="shared" si="0"/>
        <v>53</v>
      </c>
    </row>
    <row r="47" spans="1:11" x14ac:dyDescent="0.25">
      <c r="C47" s="1">
        <v>3</v>
      </c>
      <c r="D47" s="1">
        <v>1</v>
      </c>
      <c r="E47" s="1">
        <v>10</v>
      </c>
      <c r="F47" s="1">
        <v>8</v>
      </c>
      <c r="G47" s="1">
        <v>330</v>
      </c>
      <c r="H47" s="1">
        <v>372</v>
      </c>
      <c r="I47" s="1">
        <f t="shared" si="0"/>
        <v>42</v>
      </c>
    </row>
    <row r="48" spans="1:11" x14ac:dyDescent="0.25">
      <c r="C48" s="1">
        <v>3</v>
      </c>
      <c r="D48" s="1">
        <v>1</v>
      </c>
      <c r="E48" s="1">
        <v>10</v>
      </c>
      <c r="F48" s="1">
        <v>9</v>
      </c>
      <c r="G48" s="1">
        <v>376</v>
      </c>
      <c r="H48" s="1">
        <v>412</v>
      </c>
      <c r="I48" s="1">
        <f t="shared" si="0"/>
        <v>36</v>
      </c>
    </row>
    <row r="49" spans="1:11" x14ac:dyDescent="0.25">
      <c r="C49" s="1">
        <v>3</v>
      </c>
      <c r="D49" s="1">
        <v>1</v>
      </c>
      <c r="E49" s="1">
        <v>10</v>
      </c>
      <c r="F49" s="1">
        <v>10</v>
      </c>
      <c r="G49" s="1">
        <v>414</v>
      </c>
      <c r="H49" s="1">
        <v>419</v>
      </c>
      <c r="I49" s="1">
        <f t="shared" si="0"/>
        <v>5</v>
      </c>
    </row>
    <row r="50" spans="1:11" x14ac:dyDescent="0.25">
      <c r="C50" s="1">
        <v>3</v>
      </c>
      <c r="D50" s="1">
        <v>1</v>
      </c>
      <c r="E50" s="1">
        <v>10</v>
      </c>
      <c r="F50" s="1">
        <v>11</v>
      </c>
      <c r="G50" s="1">
        <v>421</v>
      </c>
      <c r="H50" s="1">
        <v>430</v>
      </c>
      <c r="I50" s="1">
        <f t="shared" si="0"/>
        <v>9</v>
      </c>
    </row>
    <row r="51" spans="1:11" x14ac:dyDescent="0.25">
      <c r="C51" s="1">
        <v>3</v>
      </c>
      <c r="D51" s="1">
        <v>1</v>
      </c>
      <c r="E51" s="1">
        <v>10</v>
      </c>
      <c r="F51" s="1">
        <v>12</v>
      </c>
      <c r="G51" s="1">
        <v>430</v>
      </c>
      <c r="H51" s="1">
        <v>434</v>
      </c>
      <c r="I51" s="1">
        <f t="shared" si="0"/>
        <v>4</v>
      </c>
    </row>
    <row r="52" spans="1:11" x14ac:dyDescent="0.25">
      <c r="C52" s="1">
        <v>3</v>
      </c>
      <c r="D52" s="1">
        <v>1</v>
      </c>
      <c r="E52" s="1">
        <v>10</v>
      </c>
      <c r="F52" s="1">
        <v>13</v>
      </c>
      <c r="G52" s="1">
        <v>437</v>
      </c>
      <c r="H52" s="1">
        <v>486</v>
      </c>
      <c r="I52" s="1">
        <f t="shared" si="0"/>
        <v>49</v>
      </c>
    </row>
    <row r="53" spans="1:11" x14ac:dyDescent="0.25">
      <c r="C53" s="1">
        <v>3</v>
      </c>
      <c r="D53" s="1">
        <v>1</v>
      </c>
      <c r="E53" s="1">
        <v>10</v>
      </c>
      <c r="F53" s="1">
        <v>14</v>
      </c>
      <c r="G53" s="1">
        <v>490</v>
      </c>
      <c r="H53" s="1">
        <v>525</v>
      </c>
      <c r="I53" s="1">
        <f t="shared" si="0"/>
        <v>35</v>
      </c>
    </row>
    <row r="54" spans="1:11" x14ac:dyDescent="0.25">
      <c r="C54" s="1">
        <v>3</v>
      </c>
      <c r="D54" s="1">
        <v>1</v>
      </c>
      <c r="E54" s="1">
        <v>10</v>
      </c>
      <c r="F54" s="1">
        <v>15</v>
      </c>
      <c r="G54" s="1">
        <v>525</v>
      </c>
      <c r="H54" s="1">
        <v>575</v>
      </c>
      <c r="I54" s="1">
        <f t="shared" si="0"/>
        <v>50</v>
      </c>
    </row>
    <row r="55" spans="1:11" x14ac:dyDescent="0.25">
      <c r="C55" s="1">
        <v>3</v>
      </c>
      <c r="D55" s="1">
        <v>1</v>
      </c>
      <c r="E55" s="1">
        <v>10</v>
      </c>
      <c r="F55" s="1">
        <v>16</v>
      </c>
      <c r="G55" s="1">
        <v>575</v>
      </c>
      <c r="H55" s="1">
        <v>621</v>
      </c>
      <c r="I55" s="1">
        <f t="shared" si="0"/>
        <v>46</v>
      </c>
    </row>
    <row r="56" spans="1:11" x14ac:dyDescent="0.25">
      <c r="C56" s="1">
        <v>3</v>
      </c>
      <c r="D56" s="1">
        <v>1</v>
      </c>
      <c r="E56" s="1">
        <v>10</v>
      </c>
      <c r="F56" s="1">
        <v>17</v>
      </c>
      <c r="G56" s="1">
        <v>621</v>
      </c>
      <c r="H56" s="1">
        <v>663</v>
      </c>
      <c r="I56" s="1">
        <f t="shared" si="0"/>
        <v>42</v>
      </c>
    </row>
    <row r="57" spans="1:11" x14ac:dyDescent="0.25">
      <c r="A57" s="1">
        <v>1</v>
      </c>
      <c r="B57" s="2">
        <v>43781</v>
      </c>
      <c r="C57" s="1">
        <v>4</v>
      </c>
      <c r="D57" s="1">
        <v>2</v>
      </c>
      <c r="E57" s="1">
        <v>30</v>
      </c>
      <c r="F57" s="1">
        <v>1</v>
      </c>
      <c r="G57" s="1">
        <v>0</v>
      </c>
      <c r="H57" s="1">
        <v>1</v>
      </c>
      <c r="I57" s="1">
        <f t="shared" si="0"/>
        <v>1</v>
      </c>
    </row>
    <row r="58" spans="1:11" x14ac:dyDescent="0.25">
      <c r="C58" s="1">
        <v>4</v>
      </c>
      <c r="D58" s="1">
        <v>2</v>
      </c>
      <c r="E58" s="1">
        <v>30</v>
      </c>
      <c r="F58" s="1">
        <v>2</v>
      </c>
      <c r="G58" s="1">
        <v>1</v>
      </c>
      <c r="H58" s="1">
        <v>1</v>
      </c>
      <c r="I58" s="1">
        <f t="shared" si="0"/>
        <v>0</v>
      </c>
    </row>
    <row r="59" spans="1:11" x14ac:dyDescent="0.25">
      <c r="C59" s="1">
        <v>4</v>
      </c>
      <c r="D59" s="1">
        <v>2</v>
      </c>
      <c r="E59" s="1">
        <v>30</v>
      </c>
      <c r="F59" s="1">
        <v>3</v>
      </c>
      <c r="G59" s="1">
        <v>1</v>
      </c>
      <c r="H59" s="1">
        <v>1</v>
      </c>
      <c r="I59" s="1">
        <f t="shared" si="0"/>
        <v>0</v>
      </c>
    </row>
    <row r="60" spans="1:11" x14ac:dyDescent="0.25">
      <c r="C60" s="1">
        <v>4</v>
      </c>
      <c r="D60" s="1">
        <v>2</v>
      </c>
      <c r="E60" s="1">
        <v>30</v>
      </c>
      <c r="F60" s="1">
        <v>4</v>
      </c>
      <c r="G60" s="1">
        <v>1</v>
      </c>
      <c r="H60" s="1">
        <v>1</v>
      </c>
      <c r="I60" s="1">
        <f t="shared" si="0"/>
        <v>0</v>
      </c>
    </row>
    <row r="61" spans="1:11" x14ac:dyDescent="0.25">
      <c r="C61" s="1">
        <v>4</v>
      </c>
      <c r="D61" s="1">
        <v>2</v>
      </c>
      <c r="E61" s="1">
        <v>30</v>
      </c>
      <c r="F61" s="1">
        <v>5</v>
      </c>
      <c r="G61" s="1">
        <v>1</v>
      </c>
      <c r="H61" s="1">
        <v>2</v>
      </c>
      <c r="I61" s="1">
        <f t="shared" si="0"/>
        <v>1</v>
      </c>
    </row>
    <row r="62" spans="1:11" x14ac:dyDescent="0.25">
      <c r="C62" s="1">
        <v>4</v>
      </c>
      <c r="D62" s="1">
        <v>2</v>
      </c>
      <c r="E62" s="1">
        <v>10</v>
      </c>
      <c r="F62" s="1">
        <v>6</v>
      </c>
      <c r="G62" s="1">
        <v>2</v>
      </c>
      <c r="H62" s="1">
        <v>15</v>
      </c>
      <c r="I62" s="1">
        <f t="shared" si="0"/>
        <v>13</v>
      </c>
      <c r="J62" s="7">
        <f>(I62+I63+I64+I73+I72+I71+I68+I67+I66)/9</f>
        <v>36.333333333333336</v>
      </c>
      <c r="K62" s="6">
        <f>AVERAGE(I62:I73)</f>
        <v>37.333333333333336</v>
      </c>
    </row>
    <row r="63" spans="1:11" x14ac:dyDescent="0.25">
      <c r="C63" s="1">
        <v>4</v>
      </c>
      <c r="D63" s="1">
        <v>2</v>
      </c>
      <c r="E63" s="1">
        <v>10</v>
      </c>
      <c r="F63" s="1">
        <v>7</v>
      </c>
      <c r="G63" s="1">
        <v>15</v>
      </c>
      <c r="H63" s="1">
        <v>15</v>
      </c>
      <c r="I63" s="1">
        <f t="shared" si="0"/>
        <v>0</v>
      </c>
    </row>
    <row r="64" spans="1:11" x14ac:dyDescent="0.25">
      <c r="C64" s="1">
        <v>4</v>
      </c>
      <c r="D64" s="1">
        <v>2</v>
      </c>
      <c r="E64" s="1">
        <v>10</v>
      </c>
      <c r="F64" s="1">
        <v>8</v>
      </c>
      <c r="G64" s="1">
        <v>15</v>
      </c>
      <c r="H64" s="1">
        <v>60</v>
      </c>
      <c r="I64" s="1">
        <f t="shared" si="0"/>
        <v>45</v>
      </c>
    </row>
    <row r="65" spans="1:11" x14ac:dyDescent="0.25">
      <c r="C65" s="1">
        <v>4</v>
      </c>
      <c r="D65" s="1">
        <v>2</v>
      </c>
      <c r="E65" s="1">
        <v>10</v>
      </c>
      <c r="F65" s="1">
        <v>9</v>
      </c>
      <c r="G65" s="1">
        <v>61</v>
      </c>
      <c r="H65" s="1">
        <v>102</v>
      </c>
      <c r="I65" s="1">
        <f>H65-G65</f>
        <v>41</v>
      </c>
    </row>
    <row r="66" spans="1:11" x14ac:dyDescent="0.25">
      <c r="C66" s="1">
        <v>4</v>
      </c>
      <c r="D66" s="1">
        <v>2</v>
      </c>
      <c r="E66" s="1">
        <v>10</v>
      </c>
      <c r="F66" s="1">
        <v>10</v>
      </c>
      <c r="G66" s="1">
        <v>102</v>
      </c>
      <c r="H66" s="1">
        <v>148</v>
      </c>
      <c r="I66" s="1">
        <f t="shared" si="0"/>
        <v>46</v>
      </c>
    </row>
    <row r="67" spans="1:11" x14ac:dyDescent="0.25">
      <c r="C67" s="1">
        <v>4</v>
      </c>
      <c r="D67" s="1">
        <v>2</v>
      </c>
      <c r="E67" s="1">
        <v>10</v>
      </c>
      <c r="F67" s="1">
        <v>11</v>
      </c>
      <c r="G67" s="1">
        <v>149</v>
      </c>
      <c r="H67" s="1">
        <v>201</v>
      </c>
      <c r="I67" s="1">
        <f t="shared" si="0"/>
        <v>52</v>
      </c>
    </row>
    <row r="68" spans="1:11" x14ac:dyDescent="0.25">
      <c r="C68" s="1">
        <v>4</v>
      </c>
      <c r="D68" s="1">
        <v>2</v>
      </c>
      <c r="E68" s="1">
        <v>10</v>
      </c>
      <c r="F68" s="1">
        <v>12</v>
      </c>
      <c r="G68" s="1">
        <v>201</v>
      </c>
      <c r="H68" s="1">
        <v>240</v>
      </c>
      <c r="I68" s="1">
        <f t="shared" si="0"/>
        <v>39</v>
      </c>
    </row>
    <row r="69" spans="1:11" x14ac:dyDescent="0.25">
      <c r="C69" s="1">
        <v>4</v>
      </c>
      <c r="D69" s="1">
        <v>2</v>
      </c>
      <c r="E69" s="1">
        <v>10</v>
      </c>
      <c r="F69" s="1">
        <v>13</v>
      </c>
      <c r="G69" s="1">
        <v>240</v>
      </c>
      <c r="H69" s="1">
        <v>282</v>
      </c>
      <c r="I69" s="1">
        <f t="shared" si="0"/>
        <v>42</v>
      </c>
    </row>
    <row r="70" spans="1:11" x14ac:dyDescent="0.25">
      <c r="C70" s="1">
        <v>4</v>
      </c>
      <c r="D70" s="1">
        <v>2</v>
      </c>
      <c r="E70" s="1">
        <v>10</v>
      </c>
      <c r="F70" s="1">
        <v>14</v>
      </c>
      <c r="G70" s="1">
        <v>283</v>
      </c>
      <c r="H70" s="1">
        <v>321</v>
      </c>
      <c r="I70" s="1">
        <f t="shared" si="0"/>
        <v>38</v>
      </c>
    </row>
    <row r="71" spans="1:11" x14ac:dyDescent="0.25">
      <c r="C71" s="1">
        <v>4</v>
      </c>
      <c r="D71" s="1">
        <v>2</v>
      </c>
      <c r="E71" s="1">
        <v>10</v>
      </c>
      <c r="F71" s="1">
        <v>15</v>
      </c>
      <c r="G71" s="1">
        <v>324</v>
      </c>
      <c r="H71" s="1">
        <v>370</v>
      </c>
      <c r="I71" s="1">
        <f t="shared" si="0"/>
        <v>46</v>
      </c>
    </row>
    <row r="72" spans="1:11" x14ac:dyDescent="0.25">
      <c r="C72" s="1">
        <v>4</v>
      </c>
      <c r="D72" s="1">
        <v>2</v>
      </c>
      <c r="E72" s="1">
        <v>10</v>
      </c>
      <c r="F72" s="1">
        <v>16</v>
      </c>
      <c r="G72" s="1">
        <v>370</v>
      </c>
      <c r="H72" s="1">
        <v>411</v>
      </c>
      <c r="I72" s="1">
        <f t="shared" si="0"/>
        <v>41</v>
      </c>
    </row>
    <row r="73" spans="1:11" x14ac:dyDescent="0.25">
      <c r="C73" s="1">
        <v>4</v>
      </c>
      <c r="D73" s="1">
        <v>2</v>
      </c>
      <c r="E73" s="1">
        <v>10</v>
      </c>
      <c r="F73" s="1">
        <v>17</v>
      </c>
      <c r="G73" s="1">
        <v>411</v>
      </c>
      <c r="H73" s="1">
        <v>456</v>
      </c>
      <c r="I73" s="1">
        <f t="shared" si="0"/>
        <v>45</v>
      </c>
    </row>
    <row r="74" spans="1:11" x14ac:dyDescent="0.25">
      <c r="A74" s="1">
        <v>1</v>
      </c>
      <c r="B74" s="2">
        <v>43781</v>
      </c>
      <c r="C74" s="1">
        <v>6</v>
      </c>
      <c r="D74" s="1">
        <v>1</v>
      </c>
      <c r="E74" s="1">
        <v>30</v>
      </c>
      <c r="F74" s="1">
        <v>1</v>
      </c>
      <c r="G74" s="1">
        <v>0</v>
      </c>
      <c r="H74" s="1">
        <v>32</v>
      </c>
      <c r="I74" s="1">
        <f t="shared" si="0"/>
        <v>32</v>
      </c>
    </row>
    <row r="75" spans="1:11" x14ac:dyDescent="0.25">
      <c r="C75" s="1">
        <v>6</v>
      </c>
      <c r="D75" s="1">
        <v>1</v>
      </c>
      <c r="E75" s="1">
        <v>30</v>
      </c>
      <c r="F75" s="1">
        <v>2</v>
      </c>
      <c r="G75" s="1">
        <v>32</v>
      </c>
      <c r="H75" s="1">
        <v>87</v>
      </c>
      <c r="I75" s="1">
        <f t="shared" si="0"/>
        <v>55</v>
      </c>
    </row>
    <row r="76" spans="1:11" x14ac:dyDescent="0.25">
      <c r="C76" s="1">
        <v>6</v>
      </c>
      <c r="D76" s="1">
        <v>1</v>
      </c>
      <c r="E76" s="1">
        <v>30</v>
      </c>
      <c r="F76" s="1">
        <v>3</v>
      </c>
      <c r="G76" s="1">
        <v>87</v>
      </c>
      <c r="H76" s="1">
        <v>135</v>
      </c>
      <c r="I76" s="1">
        <f t="shared" si="0"/>
        <v>48</v>
      </c>
    </row>
    <row r="77" spans="1:11" x14ac:dyDescent="0.25">
      <c r="C77" s="1">
        <v>6</v>
      </c>
      <c r="D77" s="1">
        <v>1</v>
      </c>
      <c r="E77" s="1">
        <v>30</v>
      </c>
      <c r="F77" s="1">
        <v>4</v>
      </c>
      <c r="G77" s="1">
        <v>135</v>
      </c>
      <c r="H77" s="1">
        <v>188</v>
      </c>
      <c r="I77" s="1">
        <f t="shared" si="0"/>
        <v>53</v>
      </c>
    </row>
    <row r="78" spans="1:11" x14ac:dyDescent="0.25">
      <c r="C78" s="1">
        <v>6</v>
      </c>
      <c r="D78" s="1">
        <v>1</v>
      </c>
      <c r="E78" s="1">
        <v>30</v>
      </c>
      <c r="F78" s="1">
        <v>5</v>
      </c>
      <c r="G78" s="1">
        <v>188</v>
      </c>
      <c r="H78" s="1">
        <v>188</v>
      </c>
      <c r="I78" s="1">
        <f t="shared" si="0"/>
        <v>0</v>
      </c>
    </row>
    <row r="79" spans="1:11" x14ac:dyDescent="0.25">
      <c r="C79" s="1">
        <v>6</v>
      </c>
      <c r="D79" s="1">
        <v>1</v>
      </c>
      <c r="E79" s="1">
        <v>10</v>
      </c>
      <c r="F79" s="1">
        <v>6</v>
      </c>
      <c r="G79" s="1">
        <v>195</v>
      </c>
      <c r="H79" s="1">
        <v>234</v>
      </c>
      <c r="I79" s="1">
        <f t="shared" si="0"/>
        <v>39</v>
      </c>
      <c r="J79" s="7">
        <f>(I79+I80+I81+I90+I89+I88+I84+I85+I83)/9</f>
        <v>23.555555555555557</v>
      </c>
      <c r="K79" s="6">
        <f>AVERAGE(I79:I90)</f>
        <v>22.916666666666668</v>
      </c>
    </row>
    <row r="80" spans="1:11" x14ac:dyDescent="0.25">
      <c r="C80" s="1">
        <v>6</v>
      </c>
      <c r="D80" s="1">
        <v>1</v>
      </c>
      <c r="E80" s="1">
        <v>10</v>
      </c>
      <c r="F80" s="1">
        <v>7</v>
      </c>
      <c r="G80" s="1">
        <v>234</v>
      </c>
      <c r="H80" s="1">
        <v>272</v>
      </c>
      <c r="I80" s="1">
        <f t="shared" si="0"/>
        <v>38</v>
      </c>
    </row>
    <row r="81" spans="1:11" x14ac:dyDescent="0.25">
      <c r="C81" s="1">
        <v>6</v>
      </c>
      <c r="D81" s="1">
        <v>1</v>
      </c>
      <c r="E81" s="1">
        <v>10</v>
      </c>
      <c r="F81" s="1">
        <v>8</v>
      </c>
      <c r="G81" s="1">
        <v>272</v>
      </c>
      <c r="H81" s="1">
        <v>302</v>
      </c>
      <c r="I81" s="1">
        <f t="shared" si="0"/>
        <v>30</v>
      </c>
    </row>
    <row r="82" spans="1:11" x14ac:dyDescent="0.25">
      <c r="C82" s="1">
        <v>6</v>
      </c>
      <c r="D82" s="1">
        <v>1</v>
      </c>
      <c r="E82" s="1">
        <v>10</v>
      </c>
      <c r="F82" s="1">
        <v>9</v>
      </c>
      <c r="G82" s="1">
        <v>302</v>
      </c>
      <c r="H82" s="1">
        <v>330</v>
      </c>
      <c r="I82" s="1">
        <f t="shared" si="0"/>
        <v>28</v>
      </c>
    </row>
    <row r="83" spans="1:11" x14ac:dyDescent="0.25">
      <c r="C83" s="1">
        <v>6</v>
      </c>
      <c r="D83" s="1">
        <v>1</v>
      </c>
      <c r="E83" s="1">
        <v>10</v>
      </c>
      <c r="F83" s="1">
        <v>10</v>
      </c>
      <c r="G83" s="1">
        <v>330</v>
      </c>
      <c r="H83" s="1">
        <v>338</v>
      </c>
      <c r="I83" s="1">
        <f t="shared" si="0"/>
        <v>8</v>
      </c>
    </row>
    <row r="84" spans="1:11" x14ac:dyDescent="0.25">
      <c r="C84" s="1">
        <v>6</v>
      </c>
      <c r="D84" s="1">
        <v>1</v>
      </c>
      <c r="E84" s="1">
        <v>10</v>
      </c>
      <c r="F84" s="1">
        <v>11</v>
      </c>
      <c r="G84" s="1">
        <v>338</v>
      </c>
      <c r="H84" s="1">
        <v>368</v>
      </c>
      <c r="I84" s="1">
        <f t="shared" si="0"/>
        <v>30</v>
      </c>
    </row>
    <row r="85" spans="1:11" x14ac:dyDescent="0.25">
      <c r="C85" s="1">
        <v>6</v>
      </c>
      <c r="D85" s="1">
        <v>1</v>
      </c>
      <c r="E85" s="1">
        <v>10</v>
      </c>
      <c r="F85" s="1">
        <v>12</v>
      </c>
      <c r="G85" s="1">
        <v>370</v>
      </c>
      <c r="H85" s="1">
        <v>378</v>
      </c>
      <c r="I85" s="1">
        <f t="shared" si="0"/>
        <v>8</v>
      </c>
    </row>
    <row r="86" spans="1:11" x14ac:dyDescent="0.25">
      <c r="C86" s="1">
        <v>6</v>
      </c>
      <c r="D86" s="1">
        <v>1</v>
      </c>
      <c r="E86" s="1">
        <v>10</v>
      </c>
      <c r="F86" s="1">
        <v>13</v>
      </c>
      <c r="G86" s="1">
        <v>380</v>
      </c>
      <c r="H86" s="1">
        <v>415</v>
      </c>
      <c r="I86" s="1">
        <f t="shared" si="0"/>
        <v>35</v>
      </c>
    </row>
    <row r="87" spans="1:11" x14ac:dyDescent="0.25">
      <c r="C87" s="1">
        <v>6</v>
      </c>
      <c r="D87" s="1">
        <v>1</v>
      </c>
      <c r="E87" s="1">
        <v>10</v>
      </c>
      <c r="F87" s="1">
        <v>14</v>
      </c>
      <c r="G87" s="1">
        <v>415</v>
      </c>
      <c r="H87" s="1">
        <v>415</v>
      </c>
      <c r="I87" s="1">
        <f t="shared" si="0"/>
        <v>0</v>
      </c>
    </row>
    <row r="88" spans="1:11" x14ac:dyDescent="0.25">
      <c r="C88" s="1">
        <v>6</v>
      </c>
      <c r="D88" s="1">
        <v>1</v>
      </c>
      <c r="E88" s="1">
        <v>10</v>
      </c>
      <c r="F88" s="1">
        <v>15</v>
      </c>
      <c r="G88" s="1">
        <v>417</v>
      </c>
      <c r="H88" s="1">
        <v>417</v>
      </c>
      <c r="I88" s="1">
        <f t="shared" si="0"/>
        <v>0</v>
      </c>
    </row>
    <row r="89" spans="1:11" x14ac:dyDescent="0.25">
      <c r="C89" s="1">
        <v>6</v>
      </c>
      <c r="D89" s="1">
        <v>1</v>
      </c>
      <c r="E89" s="1">
        <v>10</v>
      </c>
      <c r="F89" s="1">
        <v>16</v>
      </c>
      <c r="G89" s="1">
        <v>417</v>
      </c>
      <c r="H89" s="1">
        <v>458</v>
      </c>
      <c r="I89" s="1">
        <f t="shared" si="0"/>
        <v>41</v>
      </c>
    </row>
    <row r="90" spans="1:11" x14ac:dyDescent="0.25">
      <c r="C90" s="1">
        <v>6</v>
      </c>
      <c r="D90" s="1">
        <v>1</v>
      </c>
      <c r="E90" s="1">
        <v>10</v>
      </c>
      <c r="F90" s="1">
        <v>17</v>
      </c>
      <c r="G90" s="1">
        <v>458</v>
      </c>
      <c r="H90" s="1">
        <v>476</v>
      </c>
      <c r="I90" s="1">
        <f t="shared" si="0"/>
        <v>18</v>
      </c>
    </row>
    <row r="91" spans="1:11" x14ac:dyDescent="0.25">
      <c r="A91" s="1">
        <v>1</v>
      </c>
      <c r="B91" s="2">
        <v>43781</v>
      </c>
      <c r="C91" s="1">
        <v>7</v>
      </c>
      <c r="D91" s="1">
        <v>1</v>
      </c>
      <c r="E91" s="1">
        <v>30</v>
      </c>
      <c r="F91" s="1">
        <v>1</v>
      </c>
      <c r="G91" s="1">
        <v>1</v>
      </c>
      <c r="H91" s="1">
        <v>53</v>
      </c>
      <c r="I91" s="1">
        <f t="shared" si="0"/>
        <v>52</v>
      </c>
    </row>
    <row r="92" spans="1:11" x14ac:dyDescent="0.25">
      <c r="C92" s="1">
        <v>7</v>
      </c>
      <c r="D92" s="1">
        <v>1</v>
      </c>
      <c r="E92" s="1">
        <v>30</v>
      </c>
      <c r="F92" s="1">
        <v>2</v>
      </c>
      <c r="G92" s="1">
        <v>53</v>
      </c>
      <c r="H92" s="1">
        <v>60</v>
      </c>
      <c r="I92" s="1">
        <f t="shared" si="0"/>
        <v>7</v>
      </c>
    </row>
    <row r="93" spans="1:11" x14ac:dyDescent="0.25">
      <c r="C93" s="1">
        <v>7</v>
      </c>
      <c r="D93" s="1">
        <v>1</v>
      </c>
      <c r="E93" s="1">
        <v>30</v>
      </c>
      <c r="F93" s="1">
        <v>3</v>
      </c>
      <c r="G93" s="1">
        <v>62</v>
      </c>
      <c r="H93" s="1">
        <v>121</v>
      </c>
      <c r="I93" s="1">
        <f t="shared" si="0"/>
        <v>59</v>
      </c>
    </row>
    <row r="94" spans="1:11" x14ac:dyDescent="0.25">
      <c r="C94" s="1">
        <v>7</v>
      </c>
      <c r="D94" s="1">
        <v>1</v>
      </c>
      <c r="E94" s="1">
        <v>30</v>
      </c>
      <c r="F94" s="1">
        <v>4</v>
      </c>
      <c r="G94" s="1">
        <v>122</v>
      </c>
      <c r="H94" s="1">
        <v>174</v>
      </c>
      <c r="I94" s="1">
        <f t="shared" si="0"/>
        <v>52</v>
      </c>
    </row>
    <row r="95" spans="1:11" x14ac:dyDescent="0.25">
      <c r="C95" s="1">
        <v>7</v>
      </c>
      <c r="D95" s="1">
        <v>1</v>
      </c>
      <c r="E95" s="1">
        <v>30</v>
      </c>
      <c r="F95" s="1">
        <v>5</v>
      </c>
      <c r="G95" s="1">
        <v>174</v>
      </c>
      <c r="H95" s="1">
        <v>174</v>
      </c>
      <c r="I95" s="1">
        <f t="shared" si="0"/>
        <v>0</v>
      </c>
    </row>
    <row r="96" spans="1:11" x14ac:dyDescent="0.25">
      <c r="C96" s="1">
        <v>7</v>
      </c>
      <c r="D96" s="1">
        <v>1</v>
      </c>
      <c r="E96" s="1">
        <v>10</v>
      </c>
      <c r="F96" s="1">
        <v>6</v>
      </c>
      <c r="G96" s="1">
        <v>180</v>
      </c>
      <c r="H96" s="1">
        <v>189</v>
      </c>
      <c r="I96" s="1">
        <f t="shared" si="0"/>
        <v>9</v>
      </c>
      <c r="J96" s="7">
        <f>(I96+I97+I98+I107+I106+I105+I102+I101+I103)/9</f>
        <v>34.888888888888886</v>
      </c>
      <c r="K96" s="6">
        <f>AVERAGE(I96:I107)</f>
        <v>36.5</v>
      </c>
    </row>
    <row r="97" spans="1:11" x14ac:dyDescent="0.25">
      <c r="C97" s="1">
        <v>7</v>
      </c>
      <c r="D97" s="1">
        <v>1</v>
      </c>
      <c r="E97" s="1">
        <v>10</v>
      </c>
      <c r="F97" s="1">
        <v>7</v>
      </c>
      <c r="G97" s="1">
        <v>189</v>
      </c>
      <c r="H97" s="1">
        <v>242</v>
      </c>
      <c r="I97" s="1">
        <f t="shared" si="0"/>
        <v>53</v>
      </c>
    </row>
    <row r="98" spans="1:11" x14ac:dyDescent="0.25">
      <c r="C98" s="1">
        <v>7</v>
      </c>
      <c r="D98" s="1">
        <v>1</v>
      </c>
      <c r="E98" s="1">
        <v>10</v>
      </c>
      <c r="F98" s="1">
        <v>8</v>
      </c>
      <c r="G98" s="1">
        <v>244</v>
      </c>
      <c r="H98" s="1">
        <v>290</v>
      </c>
      <c r="I98" s="1">
        <f t="shared" si="0"/>
        <v>46</v>
      </c>
    </row>
    <row r="99" spans="1:11" x14ac:dyDescent="0.25">
      <c r="C99" s="1">
        <v>7</v>
      </c>
      <c r="D99" s="1">
        <v>1</v>
      </c>
      <c r="E99" s="1">
        <v>10</v>
      </c>
      <c r="F99" s="1">
        <v>9</v>
      </c>
      <c r="G99" s="1">
        <v>290</v>
      </c>
      <c r="H99" s="1">
        <v>341</v>
      </c>
      <c r="I99" s="1">
        <f t="shared" si="0"/>
        <v>51</v>
      </c>
    </row>
    <row r="100" spans="1:11" x14ac:dyDescent="0.25">
      <c r="C100" s="1">
        <v>7</v>
      </c>
      <c r="D100" s="1">
        <v>1</v>
      </c>
      <c r="E100" s="1">
        <v>10</v>
      </c>
      <c r="F100" s="1">
        <v>10</v>
      </c>
      <c r="G100" s="1">
        <v>341</v>
      </c>
      <c r="H100" s="1">
        <v>378</v>
      </c>
      <c r="I100" s="1">
        <f t="shared" si="0"/>
        <v>37</v>
      </c>
    </row>
    <row r="101" spans="1:11" x14ac:dyDescent="0.25">
      <c r="C101" s="1">
        <v>7</v>
      </c>
      <c r="D101" s="1">
        <v>1</v>
      </c>
      <c r="E101" s="1">
        <v>10</v>
      </c>
      <c r="F101" s="1">
        <v>11</v>
      </c>
      <c r="G101" s="1">
        <v>378</v>
      </c>
      <c r="H101" s="1">
        <v>422</v>
      </c>
      <c r="I101" s="1">
        <f t="shared" si="0"/>
        <v>44</v>
      </c>
    </row>
    <row r="102" spans="1:11" x14ac:dyDescent="0.25">
      <c r="C102" s="1">
        <v>7</v>
      </c>
      <c r="D102" s="1">
        <v>1</v>
      </c>
      <c r="E102" s="1">
        <v>10</v>
      </c>
      <c r="F102" s="1">
        <v>12</v>
      </c>
      <c r="G102" s="1">
        <v>422</v>
      </c>
      <c r="H102" s="1">
        <v>466</v>
      </c>
      <c r="I102" s="1">
        <f t="shared" si="0"/>
        <v>44</v>
      </c>
    </row>
    <row r="103" spans="1:11" x14ac:dyDescent="0.25">
      <c r="C103" s="1">
        <v>7</v>
      </c>
      <c r="D103" s="1">
        <v>1</v>
      </c>
      <c r="E103" s="1">
        <v>10</v>
      </c>
      <c r="F103" s="1">
        <v>13</v>
      </c>
      <c r="G103" s="1">
        <v>468</v>
      </c>
      <c r="H103" s="1">
        <v>522</v>
      </c>
      <c r="I103" s="1">
        <f t="shared" si="0"/>
        <v>54</v>
      </c>
    </row>
    <row r="104" spans="1:11" x14ac:dyDescent="0.25">
      <c r="C104" s="1">
        <v>7</v>
      </c>
      <c r="D104" s="1">
        <v>1</v>
      </c>
      <c r="E104" s="1">
        <v>10</v>
      </c>
      <c r="F104" s="1">
        <v>14</v>
      </c>
      <c r="G104" s="1">
        <v>522</v>
      </c>
      <c r="H104" s="1">
        <v>558</v>
      </c>
      <c r="I104" s="1">
        <f t="shared" si="0"/>
        <v>36</v>
      </c>
    </row>
    <row r="105" spans="1:11" x14ac:dyDescent="0.25">
      <c r="C105" s="1">
        <v>7</v>
      </c>
      <c r="D105" s="1">
        <v>1</v>
      </c>
      <c r="E105" s="1">
        <v>10</v>
      </c>
      <c r="F105" s="1">
        <v>15</v>
      </c>
      <c r="G105" s="1">
        <v>558</v>
      </c>
      <c r="H105" s="1">
        <v>611</v>
      </c>
      <c r="I105" s="1">
        <f t="shared" si="0"/>
        <v>53</v>
      </c>
    </row>
    <row r="106" spans="1:11" x14ac:dyDescent="0.25">
      <c r="C106" s="1">
        <v>7</v>
      </c>
      <c r="D106" s="1">
        <v>1</v>
      </c>
      <c r="E106" s="1">
        <v>10</v>
      </c>
      <c r="F106" s="1">
        <v>16</v>
      </c>
      <c r="G106" s="1">
        <v>611</v>
      </c>
      <c r="H106" s="1">
        <v>617</v>
      </c>
      <c r="I106" s="1">
        <f t="shared" si="0"/>
        <v>6</v>
      </c>
    </row>
    <row r="107" spans="1:11" x14ac:dyDescent="0.25">
      <c r="C107" s="1">
        <v>7</v>
      </c>
      <c r="D107" s="1">
        <v>1</v>
      </c>
      <c r="E107" s="1">
        <v>10</v>
      </c>
      <c r="F107" s="1">
        <v>17</v>
      </c>
      <c r="G107" s="1">
        <v>617</v>
      </c>
      <c r="H107" s="1">
        <v>622</v>
      </c>
      <c r="I107" s="1">
        <f t="shared" si="0"/>
        <v>5</v>
      </c>
    </row>
    <row r="108" spans="1:11" x14ac:dyDescent="0.25">
      <c r="A108" s="1">
        <v>2</v>
      </c>
      <c r="B108" s="2">
        <v>43790</v>
      </c>
      <c r="C108" s="1">
        <v>1</v>
      </c>
      <c r="D108" s="1">
        <v>1</v>
      </c>
      <c r="E108" s="1">
        <v>30</v>
      </c>
      <c r="F108" s="1">
        <v>1</v>
      </c>
      <c r="G108" s="1">
        <v>1</v>
      </c>
      <c r="H108" s="1">
        <v>9</v>
      </c>
      <c r="I108" s="1">
        <f t="shared" si="0"/>
        <v>8</v>
      </c>
      <c r="J108" s="7">
        <f>(I112+I113+I114+I125+I124+I123+I118+I119+I120)/9</f>
        <v>46.444444444444443</v>
      </c>
      <c r="K108" s="6">
        <f>AVERAGE(I112:I125)</f>
        <v>46</v>
      </c>
    </row>
    <row r="109" spans="1:11" x14ac:dyDescent="0.25">
      <c r="C109" s="1">
        <v>1</v>
      </c>
      <c r="D109" s="1">
        <v>1</v>
      </c>
      <c r="E109" s="1">
        <v>30</v>
      </c>
      <c r="F109" s="1">
        <v>2</v>
      </c>
      <c r="G109" s="1">
        <v>9</v>
      </c>
      <c r="H109" s="1">
        <v>48</v>
      </c>
      <c r="I109" s="1">
        <f t="shared" si="0"/>
        <v>39</v>
      </c>
    </row>
    <row r="110" spans="1:11" x14ac:dyDescent="0.25">
      <c r="C110" s="1">
        <v>1</v>
      </c>
      <c r="D110" s="1">
        <v>1</v>
      </c>
      <c r="E110" s="1">
        <v>30</v>
      </c>
      <c r="F110" s="1">
        <v>3</v>
      </c>
      <c r="G110" s="1">
        <v>48</v>
      </c>
      <c r="H110" s="1">
        <v>111</v>
      </c>
      <c r="I110" s="1">
        <f t="shared" si="0"/>
        <v>63</v>
      </c>
    </row>
    <row r="111" spans="1:11" x14ac:dyDescent="0.25">
      <c r="C111" s="1">
        <v>1</v>
      </c>
      <c r="D111" s="1">
        <v>1</v>
      </c>
      <c r="E111" s="1">
        <v>30</v>
      </c>
      <c r="F111" s="1">
        <v>4</v>
      </c>
      <c r="G111" s="1">
        <v>111</v>
      </c>
      <c r="H111" s="1">
        <v>130</v>
      </c>
      <c r="I111" s="1">
        <f t="shared" si="0"/>
        <v>19</v>
      </c>
    </row>
    <row r="112" spans="1:11" x14ac:dyDescent="0.25">
      <c r="C112" s="1">
        <v>1</v>
      </c>
      <c r="D112" s="1">
        <v>1</v>
      </c>
      <c r="E112" s="1">
        <v>10</v>
      </c>
      <c r="F112" s="1">
        <v>5</v>
      </c>
      <c r="G112" s="1">
        <v>130</v>
      </c>
      <c r="H112" s="1">
        <v>183</v>
      </c>
      <c r="I112" s="11">
        <f t="shared" si="0"/>
        <v>53</v>
      </c>
    </row>
    <row r="113" spans="1:11" x14ac:dyDescent="0.25">
      <c r="C113" s="1">
        <v>1</v>
      </c>
      <c r="D113" s="1">
        <v>1</v>
      </c>
      <c r="E113" s="1">
        <v>10</v>
      </c>
      <c r="F113" s="1">
        <v>6</v>
      </c>
      <c r="G113" s="1">
        <v>184</v>
      </c>
      <c r="H113" s="1">
        <v>229</v>
      </c>
      <c r="I113" s="1">
        <f t="shared" si="0"/>
        <v>45</v>
      </c>
    </row>
    <row r="114" spans="1:11" x14ac:dyDescent="0.25">
      <c r="C114" s="1">
        <v>1</v>
      </c>
      <c r="D114" s="1">
        <v>1</v>
      </c>
      <c r="E114" s="1">
        <v>10</v>
      </c>
      <c r="F114" s="1">
        <v>7</v>
      </c>
      <c r="G114" s="1">
        <v>229</v>
      </c>
      <c r="H114" s="1">
        <v>276</v>
      </c>
      <c r="I114" s="1">
        <f t="shared" si="0"/>
        <v>47</v>
      </c>
    </row>
    <row r="115" spans="1:11" x14ac:dyDescent="0.25">
      <c r="C115" s="1">
        <v>1</v>
      </c>
      <c r="D115" s="1">
        <v>1</v>
      </c>
      <c r="E115" s="1">
        <v>10</v>
      </c>
      <c r="F115" s="1">
        <v>8</v>
      </c>
      <c r="G115" s="1">
        <v>276</v>
      </c>
      <c r="H115" s="1">
        <v>314</v>
      </c>
      <c r="I115" s="1">
        <f t="shared" si="0"/>
        <v>38</v>
      </c>
    </row>
    <row r="116" spans="1:11" x14ac:dyDescent="0.25">
      <c r="C116" s="1">
        <v>1</v>
      </c>
      <c r="D116" s="1">
        <v>1</v>
      </c>
      <c r="E116" s="1">
        <v>10</v>
      </c>
      <c r="F116" s="1">
        <v>9</v>
      </c>
      <c r="G116" s="1">
        <v>314</v>
      </c>
      <c r="H116" s="1">
        <v>365</v>
      </c>
      <c r="I116" s="1">
        <f t="shared" si="0"/>
        <v>51</v>
      </c>
    </row>
    <row r="117" spans="1:11" x14ac:dyDescent="0.25">
      <c r="C117" s="1">
        <v>1</v>
      </c>
      <c r="D117" s="1">
        <v>1</v>
      </c>
      <c r="E117" s="1">
        <v>10</v>
      </c>
      <c r="F117" s="1">
        <v>10</v>
      </c>
      <c r="G117" s="1">
        <v>365</v>
      </c>
      <c r="H117" s="1">
        <v>409</v>
      </c>
      <c r="I117" s="1">
        <f t="shared" si="0"/>
        <v>44</v>
      </c>
    </row>
    <row r="118" spans="1:11" x14ac:dyDescent="0.25">
      <c r="C118" s="1">
        <v>1</v>
      </c>
      <c r="D118" s="1">
        <v>1</v>
      </c>
      <c r="E118" s="1">
        <v>10</v>
      </c>
      <c r="F118" s="1">
        <v>11</v>
      </c>
      <c r="G118" s="1">
        <v>409</v>
      </c>
      <c r="H118" s="1">
        <v>462</v>
      </c>
      <c r="I118" s="1">
        <f t="shared" si="0"/>
        <v>53</v>
      </c>
    </row>
    <row r="119" spans="1:11" x14ac:dyDescent="0.25">
      <c r="C119" s="1">
        <v>1</v>
      </c>
      <c r="D119" s="1">
        <v>1</v>
      </c>
      <c r="E119" s="1">
        <v>10</v>
      </c>
      <c r="F119" s="1">
        <v>12</v>
      </c>
      <c r="G119" s="1">
        <v>462</v>
      </c>
      <c r="H119" s="1">
        <v>488</v>
      </c>
      <c r="I119" s="1">
        <f t="shared" si="0"/>
        <v>26</v>
      </c>
    </row>
    <row r="120" spans="1:11" x14ac:dyDescent="0.25">
      <c r="C120" s="1">
        <v>1</v>
      </c>
      <c r="D120" s="1">
        <v>1</v>
      </c>
      <c r="E120" s="1">
        <v>10</v>
      </c>
      <c r="F120" s="1">
        <v>13</v>
      </c>
      <c r="G120" s="1">
        <v>488</v>
      </c>
      <c r="H120" s="1">
        <v>536</v>
      </c>
      <c r="I120" s="1">
        <f t="shared" si="0"/>
        <v>48</v>
      </c>
    </row>
    <row r="121" spans="1:11" x14ac:dyDescent="0.25">
      <c r="C121" s="1">
        <v>1</v>
      </c>
      <c r="D121" s="1">
        <v>1</v>
      </c>
      <c r="E121" s="1">
        <v>10</v>
      </c>
      <c r="F121" s="1">
        <v>14</v>
      </c>
      <c r="G121" s="1">
        <v>536</v>
      </c>
      <c r="H121" s="1">
        <v>586</v>
      </c>
      <c r="I121" s="1">
        <f t="shared" si="0"/>
        <v>50</v>
      </c>
    </row>
    <row r="122" spans="1:11" x14ac:dyDescent="0.25">
      <c r="C122" s="1">
        <v>1</v>
      </c>
      <c r="D122" s="1">
        <v>1</v>
      </c>
      <c r="E122" s="1">
        <v>10</v>
      </c>
      <c r="F122" s="1">
        <v>15</v>
      </c>
      <c r="G122" s="1">
        <v>586</v>
      </c>
      <c r="H122" s="1">
        <v>629</v>
      </c>
      <c r="I122" s="1">
        <f t="shared" si="0"/>
        <v>43</v>
      </c>
    </row>
    <row r="123" spans="1:11" x14ac:dyDescent="0.25">
      <c r="C123" s="1">
        <v>1</v>
      </c>
      <c r="D123" s="1">
        <v>1</v>
      </c>
      <c r="E123" s="1">
        <v>10</v>
      </c>
      <c r="F123" s="1">
        <v>16</v>
      </c>
      <c r="G123" s="1">
        <v>629</v>
      </c>
      <c r="H123" s="1">
        <v>678</v>
      </c>
      <c r="I123" s="1">
        <f t="shared" si="0"/>
        <v>49</v>
      </c>
    </row>
    <row r="124" spans="1:11" x14ac:dyDescent="0.25">
      <c r="C124" s="1">
        <v>1</v>
      </c>
      <c r="D124" s="1">
        <v>1</v>
      </c>
      <c r="E124" s="1">
        <v>10</v>
      </c>
      <c r="F124" s="1">
        <v>17</v>
      </c>
      <c r="G124" s="1">
        <v>678</v>
      </c>
      <c r="H124" s="1">
        <v>716</v>
      </c>
      <c r="I124" s="1">
        <f t="shared" si="0"/>
        <v>38</v>
      </c>
    </row>
    <row r="125" spans="1:11" x14ac:dyDescent="0.25">
      <c r="C125" s="1">
        <v>1</v>
      </c>
      <c r="D125" s="1">
        <v>1</v>
      </c>
      <c r="E125" s="1">
        <v>10</v>
      </c>
      <c r="F125" s="1">
        <v>18</v>
      </c>
      <c r="G125" s="1">
        <v>716</v>
      </c>
      <c r="H125" s="1">
        <v>775</v>
      </c>
      <c r="I125" s="1">
        <f t="shared" si="0"/>
        <v>59</v>
      </c>
    </row>
    <row r="126" spans="1:11" x14ac:dyDescent="0.25">
      <c r="A126" s="1">
        <v>2</v>
      </c>
      <c r="B126" s="2">
        <v>43790</v>
      </c>
      <c r="C126" s="1">
        <v>2</v>
      </c>
      <c r="D126" s="1">
        <v>2</v>
      </c>
      <c r="E126" s="1">
        <v>30</v>
      </c>
      <c r="F126" s="1">
        <v>1</v>
      </c>
      <c r="G126" s="1">
        <v>0</v>
      </c>
      <c r="H126" s="1">
        <v>25</v>
      </c>
      <c r="I126" s="1">
        <f t="shared" si="0"/>
        <v>25</v>
      </c>
      <c r="J126" s="7">
        <f>(I130+I131+I132+I143+I142+I141+I136+I137+I138)/9</f>
        <v>39.555555555555557</v>
      </c>
      <c r="K126" s="6">
        <f>AVERAGE(I130:I143)</f>
        <v>36.5</v>
      </c>
    </row>
    <row r="127" spans="1:11" x14ac:dyDescent="0.25">
      <c r="C127" s="1">
        <v>2</v>
      </c>
      <c r="D127" s="1">
        <v>2</v>
      </c>
      <c r="E127" s="1">
        <v>30</v>
      </c>
      <c r="F127" s="1">
        <v>2</v>
      </c>
      <c r="G127" s="1">
        <v>26</v>
      </c>
      <c r="H127" s="1">
        <v>50</v>
      </c>
      <c r="I127" s="1">
        <f t="shared" si="0"/>
        <v>24</v>
      </c>
    </row>
    <row r="128" spans="1:11" x14ac:dyDescent="0.25">
      <c r="C128" s="1">
        <v>2</v>
      </c>
      <c r="D128" s="1">
        <v>2</v>
      </c>
      <c r="E128" s="1">
        <v>30</v>
      </c>
      <c r="F128" s="1">
        <v>3</v>
      </c>
      <c r="G128" s="1">
        <v>52</v>
      </c>
      <c r="H128" s="1">
        <v>88</v>
      </c>
      <c r="I128" s="1">
        <f t="shared" si="0"/>
        <v>36</v>
      </c>
    </row>
    <row r="129" spans="1:11" x14ac:dyDescent="0.25">
      <c r="C129" s="1">
        <v>2</v>
      </c>
      <c r="D129" s="1">
        <v>2</v>
      </c>
      <c r="E129" s="1">
        <v>30</v>
      </c>
      <c r="F129" s="1">
        <v>4</v>
      </c>
      <c r="G129" s="1">
        <v>91</v>
      </c>
      <c r="H129" s="1">
        <v>133</v>
      </c>
      <c r="I129" s="1">
        <f t="shared" si="0"/>
        <v>42</v>
      </c>
    </row>
    <row r="130" spans="1:11" x14ac:dyDescent="0.25">
      <c r="C130" s="1">
        <v>2</v>
      </c>
      <c r="D130" s="1">
        <v>2</v>
      </c>
      <c r="E130" s="1">
        <v>10</v>
      </c>
      <c r="F130" s="1">
        <v>5</v>
      </c>
      <c r="G130" s="1">
        <v>133</v>
      </c>
      <c r="H130" s="1">
        <v>182</v>
      </c>
      <c r="I130" s="11">
        <f t="shared" si="0"/>
        <v>49</v>
      </c>
    </row>
    <row r="131" spans="1:11" x14ac:dyDescent="0.25">
      <c r="C131" s="1">
        <v>2</v>
      </c>
      <c r="D131" s="1">
        <v>2</v>
      </c>
      <c r="E131" s="1">
        <v>10</v>
      </c>
      <c r="F131" s="1">
        <v>6</v>
      </c>
      <c r="G131" s="1">
        <v>182</v>
      </c>
      <c r="H131" s="1">
        <v>221</v>
      </c>
      <c r="I131" s="1">
        <f t="shared" si="0"/>
        <v>39</v>
      </c>
    </row>
    <row r="132" spans="1:11" x14ac:dyDescent="0.25">
      <c r="C132" s="1">
        <v>2</v>
      </c>
      <c r="D132" s="1">
        <v>2</v>
      </c>
      <c r="E132" s="1">
        <v>10</v>
      </c>
      <c r="F132" s="1">
        <v>7</v>
      </c>
      <c r="G132" s="1">
        <v>223</v>
      </c>
      <c r="H132" s="1">
        <v>259</v>
      </c>
      <c r="I132" s="1">
        <f t="shared" si="0"/>
        <v>36</v>
      </c>
    </row>
    <row r="133" spans="1:11" x14ac:dyDescent="0.25">
      <c r="C133" s="1">
        <v>2</v>
      </c>
      <c r="D133" s="1">
        <v>2</v>
      </c>
      <c r="E133" s="1">
        <v>10</v>
      </c>
      <c r="F133" s="1">
        <v>8</v>
      </c>
      <c r="G133" s="1">
        <v>259</v>
      </c>
      <c r="H133" s="1">
        <v>264</v>
      </c>
      <c r="I133" s="1">
        <f t="shared" si="0"/>
        <v>5</v>
      </c>
    </row>
    <row r="134" spans="1:11" x14ac:dyDescent="0.25">
      <c r="C134" s="1">
        <v>2</v>
      </c>
      <c r="D134" s="1">
        <v>2</v>
      </c>
      <c r="E134" s="1">
        <v>10</v>
      </c>
      <c r="F134" s="1">
        <v>9</v>
      </c>
      <c r="G134" s="1">
        <v>264</v>
      </c>
      <c r="H134" s="1">
        <v>300</v>
      </c>
      <c r="I134" s="1">
        <f t="shared" si="0"/>
        <v>36</v>
      </c>
    </row>
    <row r="135" spans="1:11" x14ac:dyDescent="0.25">
      <c r="C135" s="1">
        <v>2</v>
      </c>
      <c r="D135" s="1">
        <v>2</v>
      </c>
      <c r="E135" s="1">
        <v>10</v>
      </c>
      <c r="F135" s="1">
        <v>10</v>
      </c>
      <c r="G135" s="1">
        <v>300</v>
      </c>
      <c r="H135" s="1">
        <v>343</v>
      </c>
      <c r="I135" s="1">
        <f t="shared" si="0"/>
        <v>43</v>
      </c>
    </row>
    <row r="136" spans="1:11" x14ac:dyDescent="0.25">
      <c r="C136" s="1">
        <v>2</v>
      </c>
      <c r="D136" s="1">
        <v>2</v>
      </c>
      <c r="E136" s="1">
        <v>10</v>
      </c>
      <c r="F136" s="1">
        <v>11</v>
      </c>
      <c r="G136" s="1">
        <v>343</v>
      </c>
      <c r="H136" s="1">
        <v>382</v>
      </c>
      <c r="I136" s="1">
        <f t="shared" si="0"/>
        <v>39</v>
      </c>
    </row>
    <row r="137" spans="1:11" x14ac:dyDescent="0.25">
      <c r="C137" s="1">
        <v>2</v>
      </c>
      <c r="D137" s="1">
        <v>2</v>
      </c>
      <c r="E137" s="1">
        <v>10</v>
      </c>
      <c r="F137" s="1">
        <v>12</v>
      </c>
      <c r="G137" s="1">
        <v>382</v>
      </c>
      <c r="H137" s="1">
        <v>419</v>
      </c>
      <c r="I137" s="1">
        <f t="shared" si="0"/>
        <v>37</v>
      </c>
    </row>
    <row r="138" spans="1:11" x14ac:dyDescent="0.25">
      <c r="C138" s="1">
        <v>2</v>
      </c>
      <c r="D138" s="1">
        <v>2</v>
      </c>
      <c r="E138" s="1">
        <v>10</v>
      </c>
      <c r="F138" s="1">
        <v>13</v>
      </c>
      <c r="G138" s="1">
        <v>422</v>
      </c>
      <c r="H138" s="1">
        <v>468</v>
      </c>
      <c r="I138" s="1">
        <f t="shared" si="0"/>
        <v>46</v>
      </c>
    </row>
    <row r="139" spans="1:11" x14ac:dyDescent="0.25">
      <c r="C139" s="1">
        <v>2</v>
      </c>
      <c r="D139" s="1">
        <v>2</v>
      </c>
      <c r="E139" s="1">
        <v>10</v>
      </c>
      <c r="F139" s="1">
        <v>14</v>
      </c>
      <c r="G139" s="1">
        <v>468</v>
      </c>
      <c r="H139" s="1">
        <v>500</v>
      </c>
      <c r="I139" s="1">
        <f t="shared" si="0"/>
        <v>32</v>
      </c>
    </row>
    <row r="140" spans="1:11" x14ac:dyDescent="0.25">
      <c r="C140" s="1">
        <v>2</v>
      </c>
      <c r="D140" s="1">
        <v>2</v>
      </c>
      <c r="E140" s="1">
        <v>10</v>
      </c>
      <c r="F140" s="1">
        <v>15</v>
      </c>
      <c r="G140" s="1">
        <v>500</v>
      </c>
      <c r="H140" s="1">
        <v>539</v>
      </c>
      <c r="I140" s="1">
        <f t="shared" si="0"/>
        <v>39</v>
      </c>
    </row>
    <row r="141" spans="1:11" x14ac:dyDescent="0.25">
      <c r="C141" s="1">
        <v>2</v>
      </c>
      <c r="D141" s="1">
        <v>2</v>
      </c>
      <c r="E141" s="1">
        <v>10</v>
      </c>
      <c r="F141" s="1">
        <v>16</v>
      </c>
      <c r="G141" s="1">
        <v>544</v>
      </c>
      <c r="H141" s="1">
        <v>575</v>
      </c>
      <c r="I141" s="1">
        <f t="shared" si="0"/>
        <v>31</v>
      </c>
    </row>
    <row r="142" spans="1:11" x14ac:dyDescent="0.25">
      <c r="C142" s="1">
        <v>2</v>
      </c>
      <c r="D142" s="1">
        <v>2</v>
      </c>
      <c r="E142" s="1">
        <v>10</v>
      </c>
      <c r="F142" s="1">
        <v>17</v>
      </c>
      <c r="G142" s="1">
        <v>575</v>
      </c>
      <c r="H142" s="1">
        <v>609</v>
      </c>
      <c r="I142" s="1">
        <f t="shared" si="0"/>
        <v>34</v>
      </c>
    </row>
    <row r="143" spans="1:11" x14ac:dyDescent="0.25">
      <c r="C143" s="1">
        <v>2</v>
      </c>
      <c r="D143" s="1">
        <v>2</v>
      </c>
      <c r="E143" s="1">
        <v>10</v>
      </c>
      <c r="F143" s="1">
        <v>18</v>
      </c>
      <c r="G143" s="1">
        <v>609</v>
      </c>
      <c r="H143" s="1">
        <v>654</v>
      </c>
      <c r="I143" s="1">
        <f t="shared" si="0"/>
        <v>45</v>
      </c>
    </row>
    <row r="144" spans="1:11" x14ac:dyDescent="0.25">
      <c r="A144" s="1">
        <v>2</v>
      </c>
      <c r="B144" s="2">
        <v>43790</v>
      </c>
      <c r="C144" s="1">
        <v>3</v>
      </c>
      <c r="D144" s="1">
        <v>1</v>
      </c>
      <c r="E144" s="1">
        <v>30</v>
      </c>
      <c r="F144" s="1">
        <v>1</v>
      </c>
      <c r="G144" s="1">
        <v>0</v>
      </c>
      <c r="H144" s="1">
        <v>45</v>
      </c>
      <c r="I144" s="1">
        <f t="shared" si="0"/>
        <v>45</v>
      </c>
      <c r="J144" s="7">
        <f>(I148+I149+I150+I161+I160+I159+I154+I155+I156)/9</f>
        <v>50.333333333333336</v>
      </c>
      <c r="K144" s="6">
        <f>AVERAGE(I148:I161)</f>
        <v>50.5</v>
      </c>
    </row>
    <row r="145" spans="3:9" x14ac:dyDescent="0.25">
      <c r="C145" s="1">
        <v>3</v>
      </c>
      <c r="D145" s="1">
        <v>1</v>
      </c>
      <c r="E145" s="1">
        <v>30</v>
      </c>
      <c r="F145" s="1">
        <v>2</v>
      </c>
      <c r="G145" s="1">
        <v>47</v>
      </c>
      <c r="H145" s="1">
        <v>98</v>
      </c>
      <c r="I145" s="1">
        <f t="shared" si="0"/>
        <v>51</v>
      </c>
    </row>
    <row r="146" spans="3:9" x14ac:dyDescent="0.25">
      <c r="C146" s="1">
        <v>3</v>
      </c>
      <c r="D146" s="1">
        <v>1</v>
      </c>
      <c r="E146" s="1">
        <v>30</v>
      </c>
      <c r="F146" s="1">
        <v>3</v>
      </c>
      <c r="G146" s="1">
        <v>104</v>
      </c>
      <c r="H146" s="1">
        <v>155</v>
      </c>
      <c r="I146" s="1">
        <f t="shared" si="0"/>
        <v>51</v>
      </c>
    </row>
    <row r="147" spans="3:9" x14ac:dyDescent="0.25">
      <c r="C147" s="1">
        <v>3</v>
      </c>
      <c r="D147" s="1">
        <v>1</v>
      </c>
      <c r="E147" s="1">
        <v>30</v>
      </c>
      <c r="F147" s="1">
        <v>4</v>
      </c>
      <c r="G147" s="1">
        <v>155</v>
      </c>
      <c r="H147" s="1">
        <v>173</v>
      </c>
      <c r="I147" s="1">
        <f t="shared" si="0"/>
        <v>18</v>
      </c>
    </row>
    <row r="148" spans="3:9" x14ac:dyDescent="0.25">
      <c r="C148" s="1">
        <v>3</v>
      </c>
      <c r="D148" s="1">
        <v>1</v>
      </c>
      <c r="E148" s="1">
        <v>10</v>
      </c>
      <c r="F148" s="1">
        <v>5</v>
      </c>
      <c r="G148" s="1">
        <v>173</v>
      </c>
      <c r="H148" s="1">
        <v>218</v>
      </c>
      <c r="I148" s="11">
        <f t="shared" si="0"/>
        <v>45</v>
      </c>
    </row>
    <row r="149" spans="3:9" x14ac:dyDescent="0.25">
      <c r="C149" s="1">
        <v>3</v>
      </c>
      <c r="D149" s="1">
        <v>1</v>
      </c>
      <c r="E149" s="1">
        <v>10</v>
      </c>
      <c r="F149" s="1">
        <v>6</v>
      </c>
      <c r="G149" s="1">
        <v>243</v>
      </c>
      <c r="H149" s="1">
        <v>292</v>
      </c>
      <c r="I149" s="1">
        <f t="shared" si="0"/>
        <v>49</v>
      </c>
    </row>
    <row r="150" spans="3:9" x14ac:dyDescent="0.25">
      <c r="C150" s="1">
        <v>3</v>
      </c>
      <c r="D150" s="1">
        <v>1</v>
      </c>
      <c r="E150" s="1">
        <v>10</v>
      </c>
      <c r="F150" s="1">
        <v>7</v>
      </c>
      <c r="G150" s="1">
        <v>300</v>
      </c>
      <c r="H150" s="1">
        <v>353</v>
      </c>
      <c r="I150" s="1">
        <f t="shared" si="0"/>
        <v>53</v>
      </c>
    </row>
    <row r="151" spans="3:9" x14ac:dyDescent="0.25">
      <c r="C151" s="1">
        <v>3</v>
      </c>
      <c r="D151" s="1">
        <v>1</v>
      </c>
      <c r="E151" s="1">
        <v>10</v>
      </c>
      <c r="F151" s="1">
        <v>8</v>
      </c>
      <c r="G151" s="1">
        <v>358</v>
      </c>
      <c r="H151" s="1">
        <v>413</v>
      </c>
      <c r="I151" s="1">
        <f t="shared" si="0"/>
        <v>55</v>
      </c>
    </row>
    <row r="152" spans="3:9" x14ac:dyDescent="0.25">
      <c r="C152" s="1">
        <v>3</v>
      </c>
      <c r="D152" s="1">
        <v>1</v>
      </c>
      <c r="E152" s="1">
        <v>10</v>
      </c>
      <c r="F152" s="1">
        <v>9</v>
      </c>
      <c r="G152" s="1">
        <v>418</v>
      </c>
      <c r="H152" s="1">
        <v>464</v>
      </c>
      <c r="I152" s="1">
        <f t="shared" si="0"/>
        <v>46</v>
      </c>
    </row>
    <row r="153" spans="3:9" x14ac:dyDescent="0.25">
      <c r="C153" s="1">
        <v>3</v>
      </c>
      <c r="D153" s="1">
        <v>1</v>
      </c>
      <c r="E153" s="1">
        <v>10</v>
      </c>
      <c r="F153" s="1">
        <v>10</v>
      </c>
      <c r="G153" s="1">
        <v>474</v>
      </c>
      <c r="H153" s="1">
        <v>523</v>
      </c>
      <c r="I153" s="1">
        <f t="shared" si="0"/>
        <v>49</v>
      </c>
    </row>
    <row r="154" spans="3:9" x14ac:dyDescent="0.25">
      <c r="C154" s="1">
        <v>3</v>
      </c>
      <c r="D154" s="1">
        <v>1</v>
      </c>
      <c r="E154" s="1">
        <v>10</v>
      </c>
      <c r="F154" s="1">
        <v>11</v>
      </c>
      <c r="G154" s="1">
        <v>531</v>
      </c>
      <c r="H154" s="1">
        <v>584</v>
      </c>
      <c r="I154" s="1">
        <f t="shared" si="0"/>
        <v>53</v>
      </c>
    </row>
    <row r="155" spans="3:9" x14ac:dyDescent="0.25">
      <c r="C155" s="1">
        <v>3</v>
      </c>
      <c r="D155" s="1">
        <v>1</v>
      </c>
      <c r="E155" s="1">
        <v>10</v>
      </c>
      <c r="F155" s="1">
        <v>12</v>
      </c>
      <c r="G155" s="1">
        <v>593</v>
      </c>
      <c r="H155" s="1">
        <v>645</v>
      </c>
      <c r="I155" s="1">
        <f t="shared" si="0"/>
        <v>52</v>
      </c>
    </row>
    <row r="156" spans="3:9" x14ac:dyDescent="0.25">
      <c r="C156" s="1">
        <v>3</v>
      </c>
      <c r="D156" s="1">
        <v>1</v>
      </c>
      <c r="E156" s="1">
        <v>10</v>
      </c>
      <c r="F156" s="1">
        <v>13</v>
      </c>
      <c r="G156" s="1">
        <v>649</v>
      </c>
      <c r="H156" s="1">
        <v>695</v>
      </c>
      <c r="I156" s="1">
        <f t="shared" si="0"/>
        <v>46</v>
      </c>
    </row>
    <row r="157" spans="3:9" x14ac:dyDescent="0.25">
      <c r="C157" s="1">
        <v>3</v>
      </c>
      <c r="D157" s="1">
        <v>1</v>
      </c>
      <c r="E157" s="1">
        <v>10</v>
      </c>
      <c r="F157" s="1">
        <v>14</v>
      </c>
      <c r="G157" s="1">
        <v>700</v>
      </c>
      <c r="H157" s="1">
        <v>745</v>
      </c>
      <c r="I157" s="1">
        <f t="shared" si="0"/>
        <v>45</v>
      </c>
    </row>
    <row r="158" spans="3:9" x14ac:dyDescent="0.25">
      <c r="C158" s="1">
        <v>3</v>
      </c>
      <c r="D158" s="1">
        <v>1</v>
      </c>
      <c r="E158" s="1">
        <v>10</v>
      </c>
      <c r="F158" s="1">
        <v>15</v>
      </c>
      <c r="G158" s="1">
        <v>756</v>
      </c>
      <c r="H158" s="1">
        <v>815</v>
      </c>
      <c r="I158" s="1">
        <f t="shared" si="0"/>
        <v>59</v>
      </c>
    </row>
    <row r="159" spans="3:9" x14ac:dyDescent="0.25">
      <c r="C159" s="1">
        <v>3</v>
      </c>
      <c r="D159" s="1">
        <v>1</v>
      </c>
      <c r="E159" s="1">
        <v>10</v>
      </c>
      <c r="F159" s="1">
        <v>16</v>
      </c>
      <c r="G159" s="1">
        <v>826</v>
      </c>
      <c r="H159" s="1">
        <v>875</v>
      </c>
      <c r="I159" s="1">
        <f t="shared" si="0"/>
        <v>49</v>
      </c>
    </row>
    <row r="160" spans="3:9" x14ac:dyDescent="0.25">
      <c r="C160" s="1">
        <v>3</v>
      </c>
      <c r="D160" s="1">
        <v>1</v>
      </c>
      <c r="E160" s="1">
        <v>10</v>
      </c>
      <c r="F160" s="1">
        <v>17</v>
      </c>
      <c r="G160" s="1">
        <v>881</v>
      </c>
      <c r="H160" s="1">
        <v>937</v>
      </c>
      <c r="I160" s="1">
        <f t="shared" si="0"/>
        <v>56</v>
      </c>
    </row>
    <row r="161" spans="1:11" x14ac:dyDescent="0.25">
      <c r="C161" s="1">
        <v>3</v>
      </c>
      <c r="D161" s="1">
        <v>1</v>
      </c>
      <c r="E161" s="1">
        <v>10</v>
      </c>
      <c r="F161" s="1">
        <v>18</v>
      </c>
      <c r="G161" s="1">
        <v>951</v>
      </c>
      <c r="H161" s="1">
        <v>1001</v>
      </c>
      <c r="I161" s="1">
        <f t="shared" si="0"/>
        <v>50</v>
      </c>
    </row>
    <row r="162" spans="1:11" x14ac:dyDescent="0.25">
      <c r="A162" s="1">
        <v>2</v>
      </c>
      <c r="B162" s="2">
        <v>43790</v>
      </c>
      <c r="C162" s="1">
        <v>4</v>
      </c>
      <c r="D162" s="1">
        <v>2</v>
      </c>
      <c r="E162" s="1">
        <v>30</v>
      </c>
      <c r="F162" s="1">
        <v>1</v>
      </c>
      <c r="G162" s="1">
        <v>0</v>
      </c>
      <c r="H162" s="1">
        <v>42</v>
      </c>
      <c r="I162" s="1">
        <f t="shared" si="0"/>
        <v>42</v>
      </c>
      <c r="J162" s="7">
        <f>(I166+I167+I168+I179+I178+I177+I172+I173+I174)/9</f>
        <v>39.555555555555557</v>
      </c>
      <c r="K162" s="6">
        <f>AVERAGE(I166:I179)</f>
        <v>40.357142857142854</v>
      </c>
    </row>
    <row r="163" spans="1:11" x14ac:dyDescent="0.25">
      <c r="C163" s="1">
        <v>4</v>
      </c>
      <c r="D163" s="1">
        <v>2</v>
      </c>
      <c r="E163" s="1">
        <v>30</v>
      </c>
      <c r="F163" s="1">
        <v>2</v>
      </c>
      <c r="G163" s="1">
        <v>42</v>
      </c>
      <c r="H163" s="1">
        <v>85</v>
      </c>
      <c r="I163" s="1">
        <f t="shared" si="0"/>
        <v>43</v>
      </c>
    </row>
    <row r="164" spans="1:11" x14ac:dyDescent="0.25">
      <c r="C164" s="1">
        <v>4</v>
      </c>
      <c r="D164" s="1">
        <v>2</v>
      </c>
      <c r="E164" s="1">
        <v>30</v>
      </c>
      <c r="F164" s="1">
        <v>3</v>
      </c>
      <c r="G164" s="1">
        <v>85</v>
      </c>
      <c r="H164" s="1">
        <v>134</v>
      </c>
      <c r="I164" s="1">
        <f t="shared" si="0"/>
        <v>49</v>
      </c>
    </row>
    <row r="165" spans="1:11" x14ac:dyDescent="0.25">
      <c r="C165" s="1">
        <v>4</v>
      </c>
      <c r="D165" s="1">
        <v>2</v>
      </c>
      <c r="E165" s="1">
        <v>30</v>
      </c>
      <c r="F165" s="1">
        <v>4</v>
      </c>
      <c r="G165" s="1">
        <v>134</v>
      </c>
      <c r="H165" s="1">
        <v>174</v>
      </c>
      <c r="I165" s="1">
        <f t="shared" si="0"/>
        <v>40</v>
      </c>
    </row>
    <row r="166" spans="1:11" x14ac:dyDescent="0.25">
      <c r="C166" s="1">
        <v>4</v>
      </c>
      <c r="D166" s="1">
        <v>2</v>
      </c>
      <c r="E166" s="1">
        <v>10</v>
      </c>
      <c r="F166" s="1">
        <v>5</v>
      </c>
      <c r="G166" s="1">
        <v>174</v>
      </c>
      <c r="H166" s="1">
        <v>213</v>
      </c>
      <c r="I166" s="11">
        <f t="shared" si="0"/>
        <v>39</v>
      </c>
    </row>
    <row r="167" spans="1:11" x14ac:dyDescent="0.25">
      <c r="C167" s="1">
        <v>4</v>
      </c>
      <c r="D167" s="1">
        <v>2</v>
      </c>
      <c r="E167" s="1">
        <v>10</v>
      </c>
      <c r="F167" s="1">
        <v>6</v>
      </c>
      <c r="G167" s="1">
        <v>216</v>
      </c>
      <c r="H167" s="1">
        <v>259</v>
      </c>
      <c r="I167" s="1">
        <f t="shared" si="0"/>
        <v>43</v>
      </c>
    </row>
    <row r="168" spans="1:11" x14ac:dyDescent="0.25">
      <c r="C168" s="1">
        <v>4</v>
      </c>
      <c r="D168" s="1">
        <v>2</v>
      </c>
      <c r="E168" s="1">
        <v>10</v>
      </c>
      <c r="F168" s="1">
        <v>7</v>
      </c>
      <c r="G168" s="1">
        <v>260</v>
      </c>
      <c r="H168" s="1">
        <v>293</v>
      </c>
      <c r="I168" s="1">
        <f t="shared" si="0"/>
        <v>33</v>
      </c>
    </row>
    <row r="169" spans="1:11" x14ac:dyDescent="0.25">
      <c r="C169" s="1">
        <v>4</v>
      </c>
      <c r="D169" s="1">
        <v>2</v>
      </c>
      <c r="E169" s="1">
        <v>10</v>
      </c>
      <c r="F169" s="1">
        <v>8</v>
      </c>
      <c r="G169" s="1">
        <v>293</v>
      </c>
      <c r="H169" s="1">
        <v>339</v>
      </c>
      <c r="I169" s="1">
        <f t="shared" si="0"/>
        <v>46</v>
      </c>
    </row>
    <row r="170" spans="1:11" x14ac:dyDescent="0.25">
      <c r="C170" s="1">
        <v>4</v>
      </c>
      <c r="D170" s="1">
        <v>2</v>
      </c>
      <c r="E170" s="1">
        <v>10</v>
      </c>
      <c r="F170" s="1">
        <v>9</v>
      </c>
      <c r="G170" s="1">
        <v>339</v>
      </c>
      <c r="H170" s="1">
        <v>396</v>
      </c>
      <c r="I170" s="1">
        <f t="shared" si="0"/>
        <v>57</v>
      </c>
    </row>
    <row r="171" spans="1:11" x14ac:dyDescent="0.25">
      <c r="C171" s="1">
        <v>4</v>
      </c>
      <c r="D171" s="1">
        <v>2</v>
      </c>
      <c r="E171" s="1">
        <v>10</v>
      </c>
      <c r="F171" s="1">
        <v>10</v>
      </c>
      <c r="G171" s="1">
        <v>396</v>
      </c>
      <c r="H171" s="1">
        <v>420</v>
      </c>
      <c r="I171" s="1">
        <f t="shared" si="0"/>
        <v>24</v>
      </c>
    </row>
    <row r="172" spans="1:11" x14ac:dyDescent="0.25">
      <c r="C172" s="1">
        <v>4</v>
      </c>
      <c r="D172" s="1">
        <v>2</v>
      </c>
      <c r="E172" s="1">
        <v>10</v>
      </c>
      <c r="F172" s="1">
        <v>11</v>
      </c>
      <c r="G172" s="1">
        <v>450</v>
      </c>
      <c r="H172" s="1">
        <v>465</v>
      </c>
      <c r="I172" s="1">
        <f t="shared" si="0"/>
        <v>15</v>
      </c>
    </row>
    <row r="173" spans="1:11" x14ac:dyDescent="0.25">
      <c r="C173" s="1">
        <v>4</v>
      </c>
      <c r="D173" s="1">
        <v>2</v>
      </c>
      <c r="E173" s="1">
        <v>10</v>
      </c>
      <c r="F173" s="1">
        <v>12</v>
      </c>
      <c r="G173" s="1">
        <v>468</v>
      </c>
      <c r="H173" s="1">
        <v>514</v>
      </c>
      <c r="I173" s="1">
        <f t="shared" si="0"/>
        <v>46</v>
      </c>
    </row>
    <row r="174" spans="1:11" x14ac:dyDescent="0.25">
      <c r="C174" s="1">
        <v>4</v>
      </c>
      <c r="D174" s="1">
        <v>2</v>
      </c>
      <c r="E174" s="1">
        <v>10</v>
      </c>
      <c r="F174" s="1">
        <v>13</v>
      </c>
      <c r="G174" s="1">
        <v>516</v>
      </c>
      <c r="H174" s="1">
        <v>563</v>
      </c>
      <c r="I174" s="1">
        <f t="shared" si="0"/>
        <v>47</v>
      </c>
    </row>
    <row r="175" spans="1:11" x14ac:dyDescent="0.25">
      <c r="C175" s="1">
        <v>4</v>
      </c>
      <c r="D175" s="1">
        <v>2</v>
      </c>
      <c r="E175" s="1">
        <v>10</v>
      </c>
      <c r="F175" s="1">
        <v>14</v>
      </c>
      <c r="G175" s="1">
        <v>565</v>
      </c>
      <c r="H175" s="1">
        <v>600</v>
      </c>
      <c r="I175" s="1">
        <f t="shared" si="0"/>
        <v>35</v>
      </c>
    </row>
    <row r="176" spans="1:11" x14ac:dyDescent="0.25">
      <c r="C176" s="1">
        <v>4</v>
      </c>
      <c r="D176" s="1">
        <v>2</v>
      </c>
      <c r="E176" s="1">
        <v>10</v>
      </c>
      <c r="F176" s="1">
        <v>15</v>
      </c>
      <c r="G176" s="1">
        <v>600</v>
      </c>
      <c r="H176" s="1">
        <v>647</v>
      </c>
      <c r="I176" s="1">
        <f t="shared" si="0"/>
        <v>47</v>
      </c>
    </row>
    <row r="177" spans="1:11" x14ac:dyDescent="0.25">
      <c r="C177" s="1">
        <v>4</v>
      </c>
      <c r="D177" s="1">
        <v>2</v>
      </c>
      <c r="E177" s="1">
        <v>10</v>
      </c>
      <c r="F177" s="1">
        <v>16</v>
      </c>
      <c r="G177" s="1">
        <v>647</v>
      </c>
      <c r="H177" s="1">
        <v>687</v>
      </c>
      <c r="I177" s="1">
        <f t="shared" si="0"/>
        <v>40</v>
      </c>
    </row>
    <row r="178" spans="1:11" x14ac:dyDescent="0.25">
      <c r="C178" s="1">
        <v>4</v>
      </c>
      <c r="D178" s="1">
        <v>2</v>
      </c>
      <c r="E178" s="1">
        <v>10</v>
      </c>
      <c r="F178" s="1">
        <v>17</v>
      </c>
      <c r="G178" s="1">
        <v>687</v>
      </c>
      <c r="H178" s="1">
        <v>743</v>
      </c>
      <c r="I178" s="1">
        <f t="shared" si="0"/>
        <v>56</v>
      </c>
    </row>
    <row r="179" spans="1:11" x14ac:dyDescent="0.25">
      <c r="C179" s="1">
        <v>4</v>
      </c>
      <c r="D179" s="1">
        <v>2</v>
      </c>
      <c r="E179" s="1">
        <v>10</v>
      </c>
      <c r="F179" s="1">
        <v>18</v>
      </c>
      <c r="G179" s="1">
        <v>743</v>
      </c>
      <c r="H179" s="1">
        <v>780</v>
      </c>
      <c r="I179" s="1">
        <f t="shared" si="0"/>
        <v>37</v>
      </c>
    </row>
    <row r="180" spans="1:11" x14ac:dyDescent="0.25">
      <c r="A180" s="1">
        <v>2</v>
      </c>
      <c r="B180" s="2">
        <v>43790</v>
      </c>
      <c r="C180" s="1">
        <v>6</v>
      </c>
      <c r="D180" s="1">
        <v>1</v>
      </c>
      <c r="E180" s="1">
        <v>30</v>
      </c>
      <c r="F180" s="1">
        <v>1</v>
      </c>
      <c r="G180" s="1">
        <v>0</v>
      </c>
      <c r="H180" s="1">
        <v>53</v>
      </c>
      <c r="I180" s="1">
        <f t="shared" si="0"/>
        <v>53</v>
      </c>
      <c r="J180" s="7">
        <f>(I184+I185+I186+I197+I196+I195+I190+I191+I192)/9</f>
        <v>36.333333333333336</v>
      </c>
      <c r="K180" s="6">
        <f>AVERAGE(I184:I197)</f>
        <v>37.928571428571431</v>
      </c>
    </row>
    <row r="181" spans="1:11" x14ac:dyDescent="0.25">
      <c r="C181" s="1">
        <v>6</v>
      </c>
      <c r="D181" s="1">
        <v>1</v>
      </c>
      <c r="E181" s="1">
        <v>30</v>
      </c>
      <c r="F181" s="1">
        <v>2</v>
      </c>
      <c r="G181" s="1">
        <v>53</v>
      </c>
      <c r="H181" s="1">
        <v>102</v>
      </c>
      <c r="I181" s="1">
        <f t="shared" si="0"/>
        <v>49</v>
      </c>
    </row>
    <row r="182" spans="1:11" x14ac:dyDescent="0.25">
      <c r="C182" s="1">
        <v>6</v>
      </c>
      <c r="D182" s="1">
        <v>1</v>
      </c>
      <c r="E182" s="1">
        <v>30</v>
      </c>
      <c r="F182" s="1">
        <v>3</v>
      </c>
      <c r="G182" s="1">
        <v>107</v>
      </c>
      <c r="H182" s="1">
        <v>147</v>
      </c>
      <c r="I182" s="1">
        <f t="shared" si="0"/>
        <v>40</v>
      </c>
    </row>
    <row r="183" spans="1:11" x14ac:dyDescent="0.25">
      <c r="C183" s="1">
        <v>6</v>
      </c>
      <c r="D183" s="1">
        <v>1</v>
      </c>
      <c r="E183" s="1">
        <v>30</v>
      </c>
      <c r="F183" s="1">
        <v>4</v>
      </c>
      <c r="G183" s="1">
        <v>147</v>
      </c>
      <c r="H183" s="1">
        <v>172</v>
      </c>
      <c r="I183" s="1">
        <f t="shared" si="0"/>
        <v>25</v>
      </c>
    </row>
    <row r="184" spans="1:11" x14ac:dyDescent="0.25">
      <c r="C184" s="1">
        <v>6</v>
      </c>
      <c r="D184" s="1">
        <v>1</v>
      </c>
      <c r="E184" s="1">
        <v>10</v>
      </c>
      <c r="F184" s="1">
        <v>5</v>
      </c>
      <c r="G184" s="1">
        <v>172</v>
      </c>
      <c r="H184" s="1">
        <v>226</v>
      </c>
      <c r="I184" s="11">
        <f t="shared" si="0"/>
        <v>54</v>
      </c>
    </row>
    <row r="185" spans="1:11" x14ac:dyDescent="0.25">
      <c r="C185" s="1">
        <v>6</v>
      </c>
      <c r="D185" s="1">
        <v>1</v>
      </c>
      <c r="E185" s="1">
        <v>10</v>
      </c>
      <c r="F185" s="1">
        <v>6</v>
      </c>
      <c r="G185" s="1">
        <v>226</v>
      </c>
      <c r="H185" s="1">
        <v>262</v>
      </c>
      <c r="I185" s="1">
        <f t="shared" si="0"/>
        <v>36</v>
      </c>
    </row>
    <row r="186" spans="1:11" x14ac:dyDescent="0.25">
      <c r="C186" s="1">
        <v>6</v>
      </c>
      <c r="D186" s="1">
        <v>1</v>
      </c>
      <c r="E186" s="1">
        <v>10</v>
      </c>
      <c r="F186" s="1">
        <v>7</v>
      </c>
      <c r="G186" s="1">
        <v>262</v>
      </c>
      <c r="H186" s="1">
        <v>303</v>
      </c>
      <c r="I186" s="1">
        <f t="shared" si="0"/>
        <v>41</v>
      </c>
    </row>
    <row r="187" spans="1:11" x14ac:dyDescent="0.25">
      <c r="C187" s="1">
        <v>6</v>
      </c>
      <c r="D187" s="1">
        <v>1</v>
      </c>
      <c r="E187" s="1">
        <v>10</v>
      </c>
      <c r="F187" s="1">
        <v>8</v>
      </c>
      <c r="G187" s="1">
        <v>343</v>
      </c>
      <c r="H187" s="1">
        <v>386</v>
      </c>
      <c r="I187" s="1">
        <f t="shared" si="0"/>
        <v>43</v>
      </c>
    </row>
    <row r="188" spans="1:11" x14ac:dyDescent="0.25">
      <c r="C188" s="1">
        <v>6</v>
      </c>
      <c r="D188" s="1">
        <v>1</v>
      </c>
      <c r="E188" s="1">
        <v>10</v>
      </c>
      <c r="F188" s="1">
        <v>9</v>
      </c>
      <c r="G188" s="1">
        <v>386</v>
      </c>
      <c r="H188" s="1">
        <v>440</v>
      </c>
      <c r="I188" s="1">
        <f t="shared" si="0"/>
        <v>54</v>
      </c>
    </row>
    <row r="189" spans="1:11" x14ac:dyDescent="0.25">
      <c r="C189" s="1">
        <v>6</v>
      </c>
      <c r="D189" s="1">
        <v>1</v>
      </c>
      <c r="E189" s="1">
        <v>10</v>
      </c>
      <c r="F189" s="1">
        <v>10</v>
      </c>
      <c r="G189" s="1">
        <v>440</v>
      </c>
      <c r="H189" s="1">
        <v>466</v>
      </c>
      <c r="I189" s="1">
        <f t="shared" si="0"/>
        <v>26</v>
      </c>
    </row>
    <row r="190" spans="1:11" x14ac:dyDescent="0.25">
      <c r="C190" s="1">
        <v>6</v>
      </c>
      <c r="D190" s="1">
        <v>1</v>
      </c>
      <c r="E190" s="1">
        <v>10</v>
      </c>
      <c r="F190" s="1">
        <v>11</v>
      </c>
      <c r="G190" s="1">
        <v>466</v>
      </c>
      <c r="H190" s="1">
        <v>517</v>
      </c>
      <c r="I190" s="1">
        <f t="shared" si="0"/>
        <v>51</v>
      </c>
    </row>
    <row r="191" spans="1:11" x14ac:dyDescent="0.25">
      <c r="C191" s="1">
        <v>6</v>
      </c>
      <c r="D191" s="1">
        <v>1</v>
      </c>
      <c r="E191" s="1">
        <v>10</v>
      </c>
      <c r="F191" s="1">
        <v>12</v>
      </c>
      <c r="G191" s="1">
        <v>517</v>
      </c>
      <c r="H191" s="1">
        <v>549</v>
      </c>
      <c r="I191" s="1">
        <f t="shared" si="0"/>
        <v>32</v>
      </c>
    </row>
    <row r="192" spans="1:11" x14ac:dyDescent="0.25">
      <c r="C192" s="1">
        <v>6</v>
      </c>
      <c r="D192" s="1">
        <v>1</v>
      </c>
      <c r="E192" s="1">
        <v>10</v>
      </c>
      <c r="F192" s="1">
        <v>13</v>
      </c>
      <c r="G192" s="1">
        <v>549</v>
      </c>
      <c r="H192" s="1">
        <v>589</v>
      </c>
      <c r="I192" s="1">
        <f t="shared" si="0"/>
        <v>40</v>
      </c>
    </row>
    <row r="193" spans="1:11" x14ac:dyDescent="0.25">
      <c r="C193" s="1">
        <v>6</v>
      </c>
      <c r="D193" s="1">
        <v>1</v>
      </c>
      <c r="E193" s="1">
        <v>10</v>
      </c>
      <c r="F193" s="1">
        <v>14</v>
      </c>
      <c r="G193" s="1">
        <v>589</v>
      </c>
      <c r="H193" s="1">
        <v>632</v>
      </c>
      <c r="I193" s="1">
        <f t="shared" si="0"/>
        <v>43</v>
      </c>
    </row>
    <row r="194" spans="1:11" x14ac:dyDescent="0.25">
      <c r="C194" s="1">
        <v>6</v>
      </c>
      <c r="D194" s="1">
        <v>1</v>
      </c>
      <c r="E194" s="1">
        <v>10</v>
      </c>
      <c r="F194" s="1">
        <v>15</v>
      </c>
      <c r="G194" s="1">
        <v>632</v>
      </c>
      <c r="H194" s="1">
        <v>670</v>
      </c>
      <c r="I194" s="1">
        <f t="shared" si="0"/>
        <v>38</v>
      </c>
    </row>
    <row r="195" spans="1:11" x14ac:dyDescent="0.25">
      <c r="C195" s="1">
        <v>6</v>
      </c>
      <c r="D195" s="1">
        <v>1</v>
      </c>
      <c r="E195" s="1">
        <v>10</v>
      </c>
      <c r="F195" s="1">
        <v>16</v>
      </c>
      <c r="G195" s="1">
        <v>670</v>
      </c>
      <c r="H195" s="1">
        <v>690</v>
      </c>
      <c r="I195" s="1">
        <f t="shared" si="0"/>
        <v>20</v>
      </c>
    </row>
    <row r="196" spans="1:11" x14ac:dyDescent="0.25">
      <c r="C196" s="1">
        <v>6</v>
      </c>
      <c r="D196" s="1">
        <v>1</v>
      </c>
      <c r="E196" s="1">
        <v>10</v>
      </c>
      <c r="F196" s="1">
        <v>17</v>
      </c>
      <c r="G196" s="1">
        <v>691</v>
      </c>
      <c r="H196" s="1">
        <v>730</v>
      </c>
      <c r="I196" s="1">
        <f t="shared" si="0"/>
        <v>39</v>
      </c>
    </row>
    <row r="197" spans="1:11" x14ac:dyDescent="0.25">
      <c r="C197" s="1">
        <v>6</v>
      </c>
      <c r="D197" s="1">
        <v>1</v>
      </c>
      <c r="E197" s="1">
        <v>10</v>
      </c>
      <c r="F197" s="1">
        <v>18</v>
      </c>
      <c r="G197" s="1">
        <v>730</v>
      </c>
      <c r="H197" s="1">
        <v>744</v>
      </c>
      <c r="I197" s="1">
        <f t="shared" si="0"/>
        <v>14</v>
      </c>
    </row>
    <row r="198" spans="1:11" x14ac:dyDescent="0.25">
      <c r="A198" s="1">
        <v>2</v>
      </c>
      <c r="B198" s="2">
        <v>43790</v>
      </c>
      <c r="C198" s="1">
        <v>7</v>
      </c>
      <c r="D198" s="1">
        <v>1</v>
      </c>
      <c r="E198" s="1">
        <v>30</v>
      </c>
      <c r="F198" s="1">
        <v>1</v>
      </c>
      <c r="G198" s="1">
        <v>0</v>
      </c>
      <c r="H198" s="1">
        <v>52</v>
      </c>
      <c r="I198" s="1">
        <f t="shared" si="0"/>
        <v>52</v>
      </c>
      <c r="J198" s="7">
        <f>(I202+I203+I204+I215+I214+I213+I208+I209+I210)/9</f>
        <v>55.777777777777779</v>
      </c>
      <c r="K198" s="6">
        <f>AVERAGE(I202:I215)</f>
        <v>54.642857142857146</v>
      </c>
    </row>
    <row r="199" spans="1:11" x14ac:dyDescent="0.25">
      <c r="C199" s="1">
        <v>7</v>
      </c>
      <c r="D199" s="1">
        <v>1</v>
      </c>
      <c r="E199" s="1">
        <v>30</v>
      </c>
      <c r="F199" s="1">
        <v>2</v>
      </c>
      <c r="G199" s="1">
        <v>52</v>
      </c>
      <c r="H199" s="1">
        <v>95</v>
      </c>
      <c r="I199" s="1">
        <f t="shared" si="0"/>
        <v>43</v>
      </c>
    </row>
    <row r="200" spans="1:11" x14ac:dyDescent="0.25">
      <c r="C200" s="1">
        <v>7</v>
      </c>
      <c r="D200" s="1">
        <v>1</v>
      </c>
      <c r="E200" s="1">
        <v>30</v>
      </c>
      <c r="F200" s="1">
        <v>3</v>
      </c>
      <c r="G200" s="1">
        <v>95</v>
      </c>
      <c r="H200" s="1">
        <v>145</v>
      </c>
      <c r="I200" s="1">
        <f t="shared" si="0"/>
        <v>50</v>
      </c>
    </row>
    <row r="201" spans="1:11" x14ac:dyDescent="0.25">
      <c r="C201" s="1">
        <v>7</v>
      </c>
      <c r="D201" s="1">
        <v>1</v>
      </c>
      <c r="E201" s="1">
        <v>30</v>
      </c>
      <c r="F201" s="1">
        <v>4</v>
      </c>
      <c r="G201" s="1">
        <v>145</v>
      </c>
      <c r="H201" s="1">
        <v>187</v>
      </c>
      <c r="I201" s="1">
        <f t="shared" si="0"/>
        <v>42</v>
      </c>
    </row>
    <row r="202" spans="1:11" x14ac:dyDescent="0.25">
      <c r="C202" s="1">
        <v>7</v>
      </c>
      <c r="D202" s="1">
        <v>1</v>
      </c>
      <c r="E202" s="1">
        <v>10</v>
      </c>
      <c r="F202" s="1">
        <v>5</v>
      </c>
      <c r="G202" s="1">
        <v>189</v>
      </c>
      <c r="H202" s="1">
        <v>235</v>
      </c>
      <c r="I202" s="11">
        <f t="shared" si="0"/>
        <v>46</v>
      </c>
    </row>
    <row r="203" spans="1:11" x14ac:dyDescent="0.25">
      <c r="C203" s="1">
        <v>7</v>
      </c>
      <c r="D203" s="1">
        <v>1</v>
      </c>
      <c r="E203" s="1">
        <v>10</v>
      </c>
      <c r="F203" s="1">
        <v>6</v>
      </c>
      <c r="G203" s="1">
        <v>235</v>
      </c>
      <c r="H203" s="1">
        <v>268</v>
      </c>
      <c r="I203" s="1">
        <f t="shared" si="0"/>
        <v>33</v>
      </c>
    </row>
    <row r="204" spans="1:11" x14ac:dyDescent="0.25">
      <c r="C204" s="1">
        <v>7</v>
      </c>
      <c r="D204" s="1">
        <v>1</v>
      </c>
      <c r="E204" s="1">
        <v>10</v>
      </c>
      <c r="F204" s="1">
        <v>7</v>
      </c>
      <c r="G204" s="1">
        <v>268</v>
      </c>
      <c r="H204" s="1">
        <v>309</v>
      </c>
      <c r="I204" s="1">
        <f t="shared" si="0"/>
        <v>41</v>
      </c>
    </row>
    <row r="205" spans="1:11" x14ac:dyDescent="0.25">
      <c r="C205" s="1">
        <v>7</v>
      </c>
      <c r="D205" s="1">
        <v>1</v>
      </c>
      <c r="E205" s="1">
        <v>10</v>
      </c>
      <c r="F205" s="1">
        <v>8</v>
      </c>
      <c r="G205" s="1">
        <v>309</v>
      </c>
      <c r="H205" s="1">
        <v>362</v>
      </c>
      <c r="I205" s="1">
        <f t="shared" si="0"/>
        <v>53</v>
      </c>
    </row>
    <row r="206" spans="1:11" x14ac:dyDescent="0.25">
      <c r="C206" s="1">
        <v>7</v>
      </c>
      <c r="D206" s="1">
        <v>1</v>
      </c>
      <c r="E206" s="1">
        <v>10</v>
      </c>
      <c r="F206" s="1">
        <v>9</v>
      </c>
      <c r="G206" s="1">
        <v>362</v>
      </c>
      <c r="H206" s="1">
        <v>409</v>
      </c>
      <c r="I206" s="1">
        <f t="shared" si="0"/>
        <v>47</v>
      </c>
    </row>
    <row r="207" spans="1:11" x14ac:dyDescent="0.25">
      <c r="C207" s="1">
        <v>7</v>
      </c>
      <c r="D207" s="1">
        <v>1</v>
      </c>
      <c r="E207" s="1">
        <v>10</v>
      </c>
      <c r="F207" s="1">
        <v>10</v>
      </c>
      <c r="G207" s="1">
        <v>409</v>
      </c>
      <c r="H207" s="1">
        <v>454</v>
      </c>
      <c r="I207" s="1">
        <f t="shared" si="0"/>
        <v>45</v>
      </c>
    </row>
    <row r="208" spans="1:11" x14ac:dyDescent="0.25">
      <c r="C208" s="1">
        <v>7</v>
      </c>
      <c r="D208" s="1">
        <v>1</v>
      </c>
      <c r="E208" s="1">
        <v>10</v>
      </c>
      <c r="F208" s="1">
        <v>11</v>
      </c>
      <c r="G208" s="1">
        <v>456</v>
      </c>
      <c r="H208" s="1">
        <v>517</v>
      </c>
      <c r="I208" s="1">
        <f t="shared" si="0"/>
        <v>61</v>
      </c>
    </row>
    <row r="209" spans="1:11" x14ac:dyDescent="0.25">
      <c r="C209" s="1">
        <v>7</v>
      </c>
      <c r="D209" s="1">
        <v>1</v>
      </c>
      <c r="E209" s="1">
        <v>10</v>
      </c>
      <c r="F209" s="1">
        <v>12</v>
      </c>
      <c r="G209" s="1">
        <v>517</v>
      </c>
      <c r="H209" s="1">
        <v>592</v>
      </c>
      <c r="I209" s="1">
        <f t="shared" si="0"/>
        <v>75</v>
      </c>
    </row>
    <row r="210" spans="1:11" x14ac:dyDescent="0.25">
      <c r="C210" s="1">
        <v>7</v>
      </c>
      <c r="D210" s="1">
        <v>1</v>
      </c>
      <c r="E210" s="1">
        <v>10</v>
      </c>
      <c r="F210" s="1">
        <v>13</v>
      </c>
      <c r="G210" s="1">
        <v>592</v>
      </c>
      <c r="H210" s="1">
        <v>657</v>
      </c>
      <c r="I210" s="1">
        <f t="shared" si="0"/>
        <v>65</v>
      </c>
    </row>
    <row r="211" spans="1:11" x14ac:dyDescent="0.25">
      <c r="C211" s="1">
        <v>7</v>
      </c>
      <c r="D211" s="1">
        <v>1</v>
      </c>
      <c r="E211" s="1">
        <v>10</v>
      </c>
      <c r="F211" s="1">
        <v>14</v>
      </c>
      <c r="G211" s="1">
        <v>657</v>
      </c>
      <c r="H211" s="1">
        <v>725</v>
      </c>
      <c r="I211" s="1">
        <f t="shared" si="0"/>
        <v>68</v>
      </c>
    </row>
    <row r="212" spans="1:11" x14ac:dyDescent="0.25">
      <c r="C212" s="1">
        <v>7</v>
      </c>
      <c r="D212" s="1">
        <v>1</v>
      </c>
      <c r="E212" s="1">
        <v>10</v>
      </c>
      <c r="F212" s="1">
        <v>15</v>
      </c>
      <c r="G212" s="1">
        <v>725</v>
      </c>
      <c r="H212" s="1">
        <v>775</v>
      </c>
      <c r="I212" s="1">
        <f>H212-G212</f>
        <v>50</v>
      </c>
    </row>
    <row r="213" spans="1:11" x14ac:dyDescent="0.25">
      <c r="C213" s="1">
        <v>7</v>
      </c>
      <c r="D213" s="1">
        <v>1</v>
      </c>
      <c r="E213" s="1">
        <v>10</v>
      </c>
      <c r="F213" s="1">
        <v>16</v>
      </c>
      <c r="G213" s="1">
        <v>775</v>
      </c>
      <c r="H213" s="1">
        <v>824</v>
      </c>
      <c r="I213" s="1">
        <f t="shared" si="0"/>
        <v>49</v>
      </c>
    </row>
    <row r="214" spans="1:11" x14ac:dyDescent="0.25">
      <c r="C214" s="1">
        <v>7</v>
      </c>
      <c r="D214" s="1">
        <v>1</v>
      </c>
      <c r="E214" s="1">
        <v>10</v>
      </c>
      <c r="F214" s="1">
        <v>17</v>
      </c>
      <c r="G214" s="1">
        <v>824</v>
      </c>
      <c r="H214" s="1">
        <v>885</v>
      </c>
      <c r="I214" s="1">
        <f t="shared" si="0"/>
        <v>61</v>
      </c>
    </row>
    <row r="215" spans="1:11" x14ac:dyDescent="0.25">
      <c r="C215" s="1">
        <v>7</v>
      </c>
      <c r="D215" s="1">
        <v>1</v>
      </c>
      <c r="E215" s="1">
        <v>10</v>
      </c>
      <c r="F215" s="1">
        <v>18</v>
      </c>
      <c r="G215" s="1">
        <v>885</v>
      </c>
      <c r="H215" s="1">
        <v>956</v>
      </c>
      <c r="I215" s="1">
        <f t="shared" si="0"/>
        <v>71</v>
      </c>
    </row>
    <row r="216" spans="1:11" x14ac:dyDescent="0.25">
      <c r="A216" s="1">
        <v>1</v>
      </c>
      <c r="B216" s="2">
        <v>43809</v>
      </c>
      <c r="C216" s="1">
        <v>9</v>
      </c>
      <c r="D216" s="1">
        <v>1</v>
      </c>
      <c r="E216" s="1">
        <v>30</v>
      </c>
      <c r="F216" s="1">
        <v>1</v>
      </c>
      <c r="G216" s="1">
        <v>26</v>
      </c>
      <c r="H216" s="1">
        <v>67</v>
      </c>
      <c r="I216" s="1">
        <f t="shared" si="0"/>
        <v>41</v>
      </c>
    </row>
    <row r="217" spans="1:11" x14ac:dyDescent="0.25">
      <c r="C217" s="1">
        <v>9</v>
      </c>
      <c r="D217" s="1">
        <v>1</v>
      </c>
      <c r="E217" s="1">
        <v>30</v>
      </c>
      <c r="F217" s="1">
        <v>2</v>
      </c>
      <c r="G217" s="1">
        <v>67</v>
      </c>
    </row>
    <row r="218" spans="1:11" x14ac:dyDescent="0.25">
      <c r="C218" s="1">
        <v>9</v>
      </c>
      <c r="D218" s="1">
        <v>1</v>
      </c>
      <c r="E218" s="1">
        <v>30</v>
      </c>
      <c r="F218" s="1">
        <v>3</v>
      </c>
      <c r="H218" s="1">
        <v>127</v>
      </c>
    </row>
    <row r="219" spans="1:11" x14ac:dyDescent="0.25">
      <c r="C219" s="1">
        <v>9</v>
      </c>
      <c r="D219" s="1">
        <v>1</v>
      </c>
      <c r="E219" s="1">
        <v>30</v>
      </c>
      <c r="F219" s="1">
        <v>4</v>
      </c>
      <c r="G219" s="1">
        <v>127</v>
      </c>
      <c r="H219" s="1">
        <v>199</v>
      </c>
      <c r="I219" s="1">
        <f t="shared" ref="I219:I362" si="1">H219-G219</f>
        <v>72</v>
      </c>
    </row>
    <row r="220" spans="1:11" x14ac:dyDescent="0.25">
      <c r="C220" s="1">
        <v>9</v>
      </c>
      <c r="D220" s="1">
        <v>1</v>
      </c>
      <c r="E220" s="1">
        <v>10</v>
      </c>
      <c r="F220" s="1">
        <v>5</v>
      </c>
      <c r="G220" s="1">
        <v>199</v>
      </c>
      <c r="H220" s="1">
        <v>242</v>
      </c>
      <c r="I220" s="1">
        <f t="shared" si="1"/>
        <v>43</v>
      </c>
      <c r="J220" s="7">
        <f>(I220+I221+I222+I233+I232+I231+I226+I227+I225)/9</f>
        <v>27.555555555555557</v>
      </c>
      <c r="K220" s="6">
        <f>AVERAGE(I220:I233)</f>
        <v>25.214285714285715</v>
      </c>
    </row>
    <row r="221" spans="1:11" x14ac:dyDescent="0.25">
      <c r="C221" s="1">
        <v>9</v>
      </c>
      <c r="D221" s="1">
        <v>1</v>
      </c>
      <c r="E221" s="1">
        <v>10</v>
      </c>
      <c r="F221" s="1">
        <v>6</v>
      </c>
      <c r="G221" s="1">
        <v>242</v>
      </c>
      <c r="H221" s="1">
        <v>269</v>
      </c>
      <c r="I221" s="1">
        <f t="shared" si="1"/>
        <v>27</v>
      </c>
    </row>
    <row r="222" spans="1:11" x14ac:dyDescent="0.25">
      <c r="C222" s="1">
        <v>9</v>
      </c>
      <c r="D222" s="1">
        <v>1</v>
      </c>
      <c r="E222" s="1">
        <v>10</v>
      </c>
      <c r="F222" s="1">
        <v>7</v>
      </c>
      <c r="G222" s="1">
        <v>269</v>
      </c>
      <c r="H222" s="1">
        <v>310</v>
      </c>
      <c r="I222" s="1">
        <f t="shared" si="1"/>
        <v>41</v>
      </c>
    </row>
    <row r="223" spans="1:11" x14ac:dyDescent="0.25">
      <c r="C223" s="1">
        <v>9</v>
      </c>
      <c r="D223" s="1">
        <v>1</v>
      </c>
      <c r="E223" s="1">
        <v>10</v>
      </c>
      <c r="F223" s="1">
        <v>8</v>
      </c>
      <c r="G223" s="1">
        <v>312</v>
      </c>
      <c r="H223" s="1">
        <v>312</v>
      </c>
      <c r="I223" s="1">
        <f t="shared" si="1"/>
        <v>0</v>
      </c>
    </row>
    <row r="224" spans="1:11" x14ac:dyDescent="0.25">
      <c r="C224" s="1">
        <v>9</v>
      </c>
      <c r="D224" s="1">
        <v>1</v>
      </c>
      <c r="E224" s="1">
        <v>10</v>
      </c>
      <c r="F224" s="1">
        <v>9</v>
      </c>
      <c r="G224" s="1">
        <v>322</v>
      </c>
      <c r="H224" s="1">
        <v>362</v>
      </c>
      <c r="I224" s="1">
        <f t="shared" si="1"/>
        <v>40</v>
      </c>
    </row>
    <row r="225" spans="1:11" x14ac:dyDescent="0.25">
      <c r="C225" s="1">
        <v>9</v>
      </c>
      <c r="D225" s="1">
        <v>1</v>
      </c>
      <c r="E225" s="1">
        <v>10</v>
      </c>
      <c r="F225" s="1">
        <v>10</v>
      </c>
      <c r="G225" s="1">
        <v>368</v>
      </c>
      <c r="H225" s="1">
        <v>369</v>
      </c>
      <c r="I225" s="1">
        <f t="shared" si="1"/>
        <v>1</v>
      </c>
    </row>
    <row r="226" spans="1:11" x14ac:dyDescent="0.25">
      <c r="C226" s="1">
        <v>9</v>
      </c>
      <c r="D226" s="1">
        <v>1</v>
      </c>
      <c r="E226" s="1">
        <v>10</v>
      </c>
      <c r="F226" s="1">
        <v>11</v>
      </c>
      <c r="G226" s="1">
        <v>376</v>
      </c>
      <c r="H226" s="1">
        <v>423</v>
      </c>
      <c r="I226" s="1">
        <f t="shared" si="1"/>
        <v>47</v>
      </c>
    </row>
    <row r="227" spans="1:11" x14ac:dyDescent="0.25">
      <c r="C227" s="1">
        <v>9</v>
      </c>
      <c r="D227" s="1">
        <v>1</v>
      </c>
      <c r="E227" s="1">
        <v>10</v>
      </c>
      <c r="F227" s="1">
        <v>12</v>
      </c>
      <c r="G227" s="1">
        <v>425</v>
      </c>
      <c r="H227" s="1">
        <v>445</v>
      </c>
      <c r="I227" s="1">
        <f t="shared" si="1"/>
        <v>20</v>
      </c>
    </row>
    <row r="228" spans="1:11" x14ac:dyDescent="0.25">
      <c r="C228" s="1">
        <v>9</v>
      </c>
      <c r="D228" s="1">
        <v>1</v>
      </c>
      <c r="E228" s="1">
        <v>10</v>
      </c>
      <c r="F228" s="1">
        <v>13</v>
      </c>
      <c r="G228" s="1">
        <v>445</v>
      </c>
      <c r="H228" s="1">
        <v>445</v>
      </c>
      <c r="I228" s="1">
        <f t="shared" si="1"/>
        <v>0</v>
      </c>
    </row>
    <row r="229" spans="1:11" x14ac:dyDescent="0.25">
      <c r="C229" s="1">
        <v>9</v>
      </c>
      <c r="D229" s="1">
        <v>1</v>
      </c>
      <c r="E229" s="1">
        <v>10</v>
      </c>
      <c r="F229" s="1">
        <v>14</v>
      </c>
      <c r="G229" s="1">
        <v>446</v>
      </c>
      <c r="H229" s="1">
        <v>469</v>
      </c>
      <c r="I229" s="1">
        <f t="shared" si="1"/>
        <v>23</v>
      </c>
    </row>
    <row r="230" spans="1:11" x14ac:dyDescent="0.25">
      <c r="C230" s="1">
        <v>9</v>
      </c>
      <c r="D230" s="1">
        <v>1</v>
      </c>
      <c r="E230" s="1">
        <v>10</v>
      </c>
      <c r="F230" s="1">
        <v>15</v>
      </c>
      <c r="G230" s="1">
        <v>472</v>
      </c>
      <c r="H230" s="1">
        <v>514</v>
      </c>
      <c r="I230" s="1">
        <f t="shared" si="1"/>
        <v>42</v>
      </c>
    </row>
    <row r="231" spans="1:11" x14ac:dyDescent="0.25">
      <c r="C231" s="1">
        <v>9</v>
      </c>
      <c r="D231" s="1">
        <v>1</v>
      </c>
      <c r="E231" s="1">
        <v>10</v>
      </c>
      <c r="F231" s="1">
        <v>16</v>
      </c>
      <c r="G231" s="1">
        <v>518</v>
      </c>
      <c r="H231" s="1">
        <v>538</v>
      </c>
      <c r="I231" s="1">
        <f t="shared" si="1"/>
        <v>20</v>
      </c>
    </row>
    <row r="232" spans="1:11" x14ac:dyDescent="0.25">
      <c r="C232" s="1">
        <v>9</v>
      </c>
      <c r="D232" s="1">
        <v>1</v>
      </c>
      <c r="E232" s="1">
        <v>10</v>
      </c>
      <c r="F232" s="1">
        <v>17</v>
      </c>
      <c r="G232" s="1">
        <v>538</v>
      </c>
      <c r="H232" s="1">
        <v>538</v>
      </c>
      <c r="I232" s="1">
        <f t="shared" si="1"/>
        <v>0</v>
      </c>
    </row>
    <row r="233" spans="1:11" x14ac:dyDescent="0.25">
      <c r="C233" s="1">
        <v>9</v>
      </c>
      <c r="D233" s="1">
        <v>1</v>
      </c>
      <c r="E233" s="1">
        <v>10</v>
      </c>
      <c r="F233" s="1">
        <v>18</v>
      </c>
      <c r="G233" s="1">
        <v>544</v>
      </c>
      <c r="H233" s="1">
        <v>593</v>
      </c>
      <c r="I233" s="1">
        <f t="shared" si="1"/>
        <v>49</v>
      </c>
    </row>
    <row r="234" spans="1:11" x14ac:dyDescent="0.25">
      <c r="A234" s="1">
        <v>1</v>
      </c>
      <c r="B234" s="2">
        <v>43809</v>
      </c>
      <c r="C234" s="1">
        <v>10</v>
      </c>
      <c r="D234" s="1">
        <v>2</v>
      </c>
      <c r="E234" s="1">
        <v>30</v>
      </c>
      <c r="F234" s="1">
        <v>1</v>
      </c>
      <c r="G234" s="1">
        <v>2</v>
      </c>
      <c r="H234" s="1">
        <v>2</v>
      </c>
      <c r="I234" s="1">
        <f t="shared" si="1"/>
        <v>0</v>
      </c>
    </row>
    <row r="235" spans="1:11" x14ac:dyDescent="0.25">
      <c r="C235" s="1">
        <v>10</v>
      </c>
      <c r="D235" s="1">
        <v>2</v>
      </c>
      <c r="E235" s="1">
        <v>30</v>
      </c>
      <c r="F235" s="1">
        <v>2</v>
      </c>
      <c r="G235" s="1">
        <v>2</v>
      </c>
      <c r="H235" s="1">
        <v>32</v>
      </c>
      <c r="I235" s="1">
        <f t="shared" si="1"/>
        <v>30</v>
      </c>
    </row>
    <row r="236" spans="1:11" x14ac:dyDescent="0.25">
      <c r="C236" s="1">
        <v>10</v>
      </c>
      <c r="D236" s="1">
        <v>2</v>
      </c>
      <c r="E236" s="1">
        <v>30</v>
      </c>
      <c r="F236" s="1">
        <v>3</v>
      </c>
      <c r="G236" s="1">
        <v>32</v>
      </c>
      <c r="H236" s="1">
        <v>72</v>
      </c>
      <c r="I236" s="1">
        <f t="shared" si="1"/>
        <v>40</v>
      </c>
    </row>
    <row r="237" spans="1:11" x14ac:dyDescent="0.25">
      <c r="C237" s="1">
        <v>10</v>
      </c>
      <c r="D237" s="1">
        <v>2</v>
      </c>
      <c r="E237" s="1">
        <v>30</v>
      </c>
      <c r="F237" s="1">
        <v>4</v>
      </c>
      <c r="G237" s="1">
        <v>72</v>
      </c>
      <c r="H237" s="1">
        <v>108</v>
      </c>
      <c r="I237" s="1">
        <f>H237-G237</f>
        <v>36</v>
      </c>
    </row>
    <row r="238" spans="1:11" x14ac:dyDescent="0.25">
      <c r="C238" s="1">
        <v>10</v>
      </c>
      <c r="D238" s="1">
        <v>2</v>
      </c>
      <c r="E238" s="1">
        <v>10</v>
      </c>
      <c r="F238" s="1">
        <v>5</v>
      </c>
      <c r="G238" s="1">
        <v>108</v>
      </c>
      <c r="H238" s="1">
        <v>142</v>
      </c>
      <c r="I238" s="1">
        <f t="shared" si="1"/>
        <v>34</v>
      </c>
      <c r="K238" s="6">
        <f>AVERAGE(I238:I242)</f>
        <v>31.4</v>
      </c>
    </row>
    <row r="239" spans="1:11" x14ac:dyDescent="0.25">
      <c r="C239" s="1">
        <v>10</v>
      </c>
      <c r="D239" s="1">
        <v>2</v>
      </c>
      <c r="E239" s="1">
        <v>10</v>
      </c>
      <c r="F239" s="1">
        <v>6</v>
      </c>
      <c r="G239" s="1">
        <v>143</v>
      </c>
      <c r="H239" s="1">
        <v>169</v>
      </c>
      <c r="I239" s="1">
        <f t="shared" si="1"/>
        <v>26</v>
      </c>
    </row>
    <row r="240" spans="1:11" x14ac:dyDescent="0.25">
      <c r="C240" s="1">
        <v>10</v>
      </c>
      <c r="D240" s="1">
        <v>2</v>
      </c>
      <c r="E240" s="1">
        <v>10</v>
      </c>
      <c r="F240" s="1">
        <v>7</v>
      </c>
      <c r="G240" s="1">
        <v>169</v>
      </c>
      <c r="H240" s="1">
        <v>207</v>
      </c>
      <c r="I240" s="1">
        <f t="shared" si="1"/>
        <v>38</v>
      </c>
    </row>
    <row r="241" spans="1:11" x14ac:dyDescent="0.25">
      <c r="C241" s="1">
        <v>10</v>
      </c>
      <c r="D241" s="1">
        <v>2</v>
      </c>
      <c r="E241" s="1">
        <v>10</v>
      </c>
      <c r="F241" s="1">
        <v>8</v>
      </c>
      <c r="G241" s="1">
        <v>207</v>
      </c>
      <c r="H241" s="1">
        <v>249</v>
      </c>
      <c r="I241" s="1">
        <f t="shared" si="1"/>
        <v>42</v>
      </c>
    </row>
    <row r="242" spans="1:11" x14ac:dyDescent="0.25">
      <c r="C242" s="1">
        <v>10</v>
      </c>
      <c r="D242" s="1">
        <v>2</v>
      </c>
      <c r="E242" s="1">
        <v>10</v>
      </c>
      <c r="F242" s="1">
        <v>9</v>
      </c>
      <c r="G242" s="1">
        <v>253</v>
      </c>
      <c r="H242" s="1">
        <v>270</v>
      </c>
      <c r="I242" s="1">
        <f t="shared" si="1"/>
        <v>17</v>
      </c>
    </row>
    <row r="243" spans="1:11" x14ac:dyDescent="0.25">
      <c r="A243" s="1">
        <v>1</v>
      </c>
      <c r="B243" s="2">
        <v>43809</v>
      </c>
      <c r="C243" s="1">
        <v>11</v>
      </c>
      <c r="D243" s="1">
        <v>1</v>
      </c>
      <c r="E243" s="1">
        <v>30</v>
      </c>
      <c r="F243" s="1">
        <v>1</v>
      </c>
      <c r="G243" s="1">
        <v>12</v>
      </c>
      <c r="H243" s="1">
        <v>39</v>
      </c>
      <c r="I243" s="1">
        <f t="shared" si="1"/>
        <v>27</v>
      </c>
    </row>
    <row r="244" spans="1:11" x14ac:dyDescent="0.25">
      <c r="C244" s="1">
        <v>11</v>
      </c>
      <c r="D244" s="1">
        <v>1</v>
      </c>
      <c r="E244" s="1">
        <v>30</v>
      </c>
      <c r="F244" s="1">
        <v>2</v>
      </c>
      <c r="G244" s="1">
        <v>39</v>
      </c>
      <c r="H244" s="1">
        <v>97</v>
      </c>
      <c r="I244" s="1">
        <f t="shared" si="1"/>
        <v>58</v>
      </c>
    </row>
    <row r="245" spans="1:11" x14ac:dyDescent="0.25">
      <c r="C245" s="1">
        <v>11</v>
      </c>
      <c r="D245" s="1">
        <v>1</v>
      </c>
      <c r="E245" s="1">
        <v>30</v>
      </c>
      <c r="F245" s="1">
        <v>3</v>
      </c>
      <c r="G245" s="1">
        <v>97</v>
      </c>
      <c r="H245" s="1">
        <v>119</v>
      </c>
      <c r="I245" s="1">
        <f t="shared" si="1"/>
        <v>22</v>
      </c>
    </row>
    <row r="246" spans="1:11" x14ac:dyDescent="0.25">
      <c r="C246" s="1">
        <v>11</v>
      </c>
      <c r="D246" s="1">
        <v>1</v>
      </c>
      <c r="E246" s="1">
        <v>30</v>
      </c>
      <c r="F246" s="1">
        <v>4</v>
      </c>
      <c r="G246" s="1">
        <v>124</v>
      </c>
      <c r="H246" s="1">
        <v>170</v>
      </c>
      <c r="I246" s="1">
        <f t="shared" si="1"/>
        <v>46</v>
      </c>
    </row>
    <row r="247" spans="1:11" x14ac:dyDescent="0.25">
      <c r="C247" s="1">
        <v>11</v>
      </c>
      <c r="D247" s="1">
        <v>1</v>
      </c>
      <c r="E247" s="1">
        <v>10</v>
      </c>
      <c r="F247" s="1">
        <v>5</v>
      </c>
      <c r="G247" s="1">
        <v>175</v>
      </c>
      <c r="H247" s="1">
        <v>222</v>
      </c>
      <c r="I247" s="1">
        <f t="shared" si="1"/>
        <v>47</v>
      </c>
      <c r="J247" s="7">
        <f>(I247+I248+I249+I260+I259+I258+I253+I254+I252)/9</f>
        <v>40.666666666666664</v>
      </c>
      <c r="K247" s="6">
        <f>AVERAGE(I247:I260)</f>
        <v>37.714285714285715</v>
      </c>
    </row>
    <row r="248" spans="1:11" x14ac:dyDescent="0.25">
      <c r="C248" s="1">
        <v>11</v>
      </c>
      <c r="D248" s="1">
        <v>1</v>
      </c>
      <c r="E248" s="1">
        <v>10</v>
      </c>
      <c r="F248" s="1">
        <v>6</v>
      </c>
      <c r="G248" s="1">
        <v>222</v>
      </c>
      <c r="H248" s="1">
        <v>280</v>
      </c>
      <c r="I248" s="1">
        <f t="shared" si="1"/>
        <v>58</v>
      </c>
    </row>
    <row r="249" spans="1:11" x14ac:dyDescent="0.25">
      <c r="C249" s="1">
        <v>11</v>
      </c>
      <c r="D249" s="1">
        <v>1</v>
      </c>
      <c r="E249" s="1">
        <v>10</v>
      </c>
      <c r="F249" s="1">
        <v>7</v>
      </c>
      <c r="G249" s="1">
        <v>280</v>
      </c>
      <c r="H249" s="1">
        <v>338</v>
      </c>
      <c r="I249" s="1">
        <f t="shared" si="1"/>
        <v>58</v>
      </c>
    </row>
    <row r="250" spans="1:11" x14ac:dyDescent="0.25">
      <c r="C250" s="1">
        <v>11</v>
      </c>
      <c r="D250" s="1">
        <v>1</v>
      </c>
      <c r="E250" s="1">
        <v>10</v>
      </c>
      <c r="F250" s="1">
        <v>8</v>
      </c>
      <c r="G250" s="1">
        <v>338</v>
      </c>
      <c r="H250" s="1">
        <v>381</v>
      </c>
      <c r="I250" s="1">
        <f t="shared" si="1"/>
        <v>43</v>
      </c>
    </row>
    <row r="251" spans="1:11" x14ac:dyDescent="0.25">
      <c r="C251" s="1">
        <v>11</v>
      </c>
      <c r="D251" s="1">
        <v>1</v>
      </c>
      <c r="E251" s="1">
        <v>10</v>
      </c>
      <c r="F251" s="1">
        <v>9</v>
      </c>
      <c r="G251" s="1">
        <v>381</v>
      </c>
      <c r="H251" s="1">
        <v>424</v>
      </c>
      <c r="I251" s="1">
        <f t="shared" si="1"/>
        <v>43</v>
      </c>
    </row>
    <row r="252" spans="1:11" x14ac:dyDescent="0.25">
      <c r="C252" s="1">
        <v>11</v>
      </c>
      <c r="D252" s="1">
        <v>1</v>
      </c>
      <c r="E252" s="1">
        <v>10</v>
      </c>
      <c r="F252" s="1">
        <v>10</v>
      </c>
      <c r="G252" s="1">
        <v>424</v>
      </c>
      <c r="H252" s="1">
        <v>464</v>
      </c>
      <c r="I252" s="1">
        <f t="shared" si="1"/>
        <v>40</v>
      </c>
    </row>
    <row r="253" spans="1:11" x14ac:dyDescent="0.25">
      <c r="C253" s="1">
        <v>11</v>
      </c>
      <c r="D253" s="1">
        <v>1</v>
      </c>
      <c r="E253" s="1">
        <v>10</v>
      </c>
      <c r="F253" s="1">
        <v>11</v>
      </c>
      <c r="G253" s="1">
        <v>464</v>
      </c>
      <c r="H253" s="1">
        <v>498</v>
      </c>
      <c r="I253" s="1">
        <f t="shared" si="1"/>
        <v>34</v>
      </c>
    </row>
    <row r="254" spans="1:11" x14ac:dyDescent="0.25">
      <c r="C254" s="1">
        <v>11</v>
      </c>
      <c r="D254" s="1">
        <v>1</v>
      </c>
      <c r="E254" s="1">
        <v>10</v>
      </c>
      <c r="F254" s="1">
        <v>12</v>
      </c>
      <c r="G254" s="1">
        <v>504</v>
      </c>
      <c r="H254" s="1">
        <v>530</v>
      </c>
      <c r="I254" s="1">
        <f t="shared" si="1"/>
        <v>26</v>
      </c>
    </row>
    <row r="255" spans="1:11" x14ac:dyDescent="0.25">
      <c r="C255" s="1">
        <v>11</v>
      </c>
      <c r="D255" s="1">
        <v>1</v>
      </c>
      <c r="E255" s="1">
        <v>10</v>
      </c>
      <c r="F255" s="1">
        <v>13</v>
      </c>
      <c r="G255" s="1">
        <v>530</v>
      </c>
      <c r="H255" s="1">
        <v>540</v>
      </c>
      <c r="I255" s="1">
        <f t="shared" si="1"/>
        <v>10</v>
      </c>
    </row>
    <row r="256" spans="1:11" x14ac:dyDescent="0.25">
      <c r="C256" s="1">
        <v>11</v>
      </c>
      <c r="D256" s="1">
        <v>1</v>
      </c>
      <c r="E256" s="1">
        <v>10</v>
      </c>
      <c r="F256" s="1">
        <v>14</v>
      </c>
      <c r="G256" s="1">
        <v>546</v>
      </c>
      <c r="H256" s="1">
        <v>595</v>
      </c>
      <c r="I256" s="1">
        <f t="shared" si="1"/>
        <v>49</v>
      </c>
    </row>
    <row r="257" spans="1:11" x14ac:dyDescent="0.25">
      <c r="C257" s="1">
        <v>11</v>
      </c>
      <c r="D257" s="1">
        <v>1</v>
      </c>
      <c r="E257" s="1">
        <v>10</v>
      </c>
      <c r="F257" s="1">
        <v>15</v>
      </c>
      <c r="G257" s="1">
        <v>595</v>
      </c>
      <c r="H257" s="1">
        <v>612</v>
      </c>
      <c r="I257" s="1">
        <f t="shared" si="1"/>
        <v>17</v>
      </c>
    </row>
    <row r="258" spans="1:11" x14ac:dyDescent="0.25">
      <c r="C258" s="1">
        <v>11</v>
      </c>
      <c r="D258" s="1">
        <v>1</v>
      </c>
      <c r="E258" s="1">
        <v>10</v>
      </c>
      <c r="F258" s="1">
        <v>16</v>
      </c>
      <c r="G258" s="1">
        <v>614</v>
      </c>
      <c r="H258" s="1">
        <v>647</v>
      </c>
      <c r="I258" s="1">
        <f t="shared" si="1"/>
        <v>33</v>
      </c>
    </row>
    <row r="259" spans="1:11" x14ac:dyDescent="0.25">
      <c r="C259" s="1">
        <v>11</v>
      </c>
      <c r="D259" s="1">
        <v>1</v>
      </c>
      <c r="E259" s="1">
        <v>10</v>
      </c>
      <c r="F259" s="1">
        <v>17</v>
      </c>
      <c r="G259" s="1">
        <v>647</v>
      </c>
      <c r="H259" s="1">
        <v>680</v>
      </c>
      <c r="I259" s="1">
        <f t="shared" si="1"/>
        <v>33</v>
      </c>
    </row>
    <row r="260" spans="1:11" x14ac:dyDescent="0.25">
      <c r="C260" s="1">
        <v>11</v>
      </c>
      <c r="D260" s="1">
        <v>1</v>
      </c>
      <c r="E260" s="1">
        <v>10</v>
      </c>
      <c r="F260" s="1">
        <v>18</v>
      </c>
      <c r="G260" s="1">
        <v>683</v>
      </c>
      <c r="H260" s="1">
        <v>720</v>
      </c>
      <c r="I260" s="1">
        <f t="shared" si="1"/>
        <v>37</v>
      </c>
    </row>
    <row r="261" spans="1:11" x14ac:dyDescent="0.25">
      <c r="A261" s="1">
        <v>2</v>
      </c>
      <c r="B261" s="2">
        <v>43818</v>
      </c>
      <c r="C261" s="1">
        <v>9</v>
      </c>
      <c r="D261" s="1">
        <v>1</v>
      </c>
      <c r="E261" s="1">
        <v>30</v>
      </c>
      <c r="F261" s="1">
        <v>1</v>
      </c>
      <c r="G261" s="1">
        <v>2</v>
      </c>
      <c r="H261" s="1">
        <v>45</v>
      </c>
      <c r="I261" s="1">
        <f t="shared" si="1"/>
        <v>43</v>
      </c>
      <c r="J261" s="7">
        <f>(I265+I266+I267+I275+I274+I273+I270+I271+I269)/9</f>
        <v>18.444444444444443</v>
      </c>
      <c r="K261" s="6">
        <f>AVERAGE(I265:I275)</f>
        <v>15.545454545454545</v>
      </c>
    </row>
    <row r="262" spans="1:11" x14ac:dyDescent="0.25">
      <c r="C262" s="1">
        <v>9</v>
      </c>
      <c r="D262" s="1">
        <v>1</v>
      </c>
      <c r="E262" s="1">
        <v>30</v>
      </c>
      <c r="F262" s="1">
        <v>2</v>
      </c>
      <c r="G262" s="1">
        <v>46</v>
      </c>
      <c r="H262" s="1">
        <v>78</v>
      </c>
      <c r="I262" s="1">
        <f t="shared" si="1"/>
        <v>32</v>
      </c>
    </row>
    <row r="263" spans="1:11" x14ac:dyDescent="0.25">
      <c r="C263" s="1">
        <v>9</v>
      </c>
      <c r="D263" s="1">
        <v>1</v>
      </c>
      <c r="E263" s="1">
        <v>30</v>
      </c>
      <c r="F263" s="1">
        <v>3</v>
      </c>
      <c r="G263" s="1">
        <v>84</v>
      </c>
      <c r="H263" s="1">
        <v>84</v>
      </c>
      <c r="I263" s="1">
        <f t="shared" si="1"/>
        <v>0</v>
      </c>
    </row>
    <row r="264" spans="1:11" x14ac:dyDescent="0.25">
      <c r="C264" s="1">
        <v>9</v>
      </c>
      <c r="D264" s="1">
        <v>1</v>
      </c>
      <c r="E264" s="1">
        <v>30</v>
      </c>
      <c r="F264" s="1">
        <v>4</v>
      </c>
      <c r="G264" s="1">
        <v>84</v>
      </c>
      <c r="H264" s="1">
        <v>99</v>
      </c>
      <c r="I264" s="1">
        <f t="shared" si="1"/>
        <v>15</v>
      </c>
    </row>
    <row r="265" spans="1:11" x14ac:dyDescent="0.25">
      <c r="C265" s="1">
        <v>9</v>
      </c>
      <c r="D265" s="1">
        <v>1</v>
      </c>
      <c r="E265" s="1">
        <v>10</v>
      </c>
      <c r="F265" s="1">
        <v>5</v>
      </c>
      <c r="G265" s="1">
        <v>101</v>
      </c>
      <c r="H265" s="1">
        <v>148</v>
      </c>
      <c r="I265" s="11">
        <f t="shared" si="1"/>
        <v>47</v>
      </c>
    </row>
    <row r="266" spans="1:11" x14ac:dyDescent="0.25">
      <c r="C266" s="1">
        <v>9</v>
      </c>
      <c r="D266" s="1">
        <v>1</v>
      </c>
      <c r="E266" s="1">
        <v>10</v>
      </c>
      <c r="F266" s="1">
        <v>6</v>
      </c>
      <c r="G266" s="1">
        <v>151</v>
      </c>
      <c r="H266" s="1">
        <v>155</v>
      </c>
      <c r="I266" s="1">
        <f t="shared" si="1"/>
        <v>4</v>
      </c>
    </row>
    <row r="267" spans="1:11" x14ac:dyDescent="0.25">
      <c r="C267" s="1">
        <v>9</v>
      </c>
      <c r="D267" s="1">
        <v>1</v>
      </c>
      <c r="E267" s="1">
        <v>10</v>
      </c>
      <c r="F267" s="1">
        <v>7</v>
      </c>
      <c r="G267" s="1">
        <v>155</v>
      </c>
      <c r="H267" s="1">
        <v>200</v>
      </c>
      <c r="I267" s="1">
        <f t="shared" si="1"/>
        <v>45</v>
      </c>
    </row>
    <row r="268" spans="1:11" x14ac:dyDescent="0.25">
      <c r="C268" s="1">
        <v>9</v>
      </c>
      <c r="D268" s="1">
        <v>1</v>
      </c>
      <c r="E268" s="1">
        <v>10</v>
      </c>
      <c r="F268" s="1">
        <v>8</v>
      </c>
      <c r="G268" s="1">
        <v>201</v>
      </c>
      <c r="H268" s="1">
        <v>202</v>
      </c>
      <c r="I268" s="1">
        <f t="shared" si="1"/>
        <v>1</v>
      </c>
    </row>
    <row r="269" spans="1:11" x14ac:dyDescent="0.25">
      <c r="C269" s="1">
        <v>9</v>
      </c>
      <c r="D269" s="1">
        <v>1</v>
      </c>
      <c r="E269" s="1">
        <v>10</v>
      </c>
      <c r="F269" s="1">
        <v>9</v>
      </c>
      <c r="G269" s="1">
        <v>202</v>
      </c>
      <c r="H269" s="1">
        <v>230</v>
      </c>
      <c r="I269" s="1">
        <f t="shared" si="1"/>
        <v>28</v>
      </c>
    </row>
    <row r="270" spans="1:11" x14ac:dyDescent="0.25">
      <c r="C270" s="1">
        <v>9</v>
      </c>
      <c r="D270" s="1">
        <v>1</v>
      </c>
      <c r="E270" s="1">
        <v>10</v>
      </c>
      <c r="F270" s="1">
        <v>10</v>
      </c>
      <c r="G270" s="1">
        <v>230</v>
      </c>
      <c r="H270" s="1">
        <v>256</v>
      </c>
      <c r="I270" s="1">
        <f t="shared" si="1"/>
        <v>26</v>
      </c>
    </row>
    <row r="271" spans="1:11" x14ac:dyDescent="0.25">
      <c r="C271" s="1">
        <v>9</v>
      </c>
      <c r="D271" s="1">
        <v>1</v>
      </c>
      <c r="E271" s="1">
        <v>10</v>
      </c>
      <c r="F271" s="1">
        <v>11</v>
      </c>
      <c r="G271" s="1">
        <v>256</v>
      </c>
      <c r="H271" s="1">
        <v>260</v>
      </c>
      <c r="I271" s="1">
        <f t="shared" si="1"/>
        <v>4</v>
      </c>
    </row>
    <row r="272" spans="1:11" x14ac:dyDescent="0.25">
      <c r="C272" s="1">
        <v>9</v>
      </c>
      <c r="D272" s="1">
        <v>1</v>
      </c>
      <c r="E272" s="1">
        <v>10</v>
      </c>
      <c r="F272" s="1">
        <v>12</v>
      </c>
      <c r="G272" s="1">
        <v>260</v>
      </c>
      <c r="H272" s="1">
        <v>264</v>
      </c>
      <c r="I272" s="1">
        <f t="shared" si="1"/>
        <v>4</v>
      </c>
    </row>
    <row r="273" spans="1:11" x14ac:dyDescent="0.25">
      <c r="C273" s="1">
        <v>9</v>
      </c>
      <c r="D273" s="1">
        <v>1</v>
      </c>
      <c r="E273" s="1">
        <v>10</v>
      </c>
      <c r="F273" s="1">
        <v>13</v>
      </c>
      <c r="G273" s="1">
        <v>264</v>
      </c>
      <c r="H273" s="1">
        <v>267</v>
      </c>
      <c r="I273" s="1">
        <f t="shared" si="1"/>
        <v>3</v>
      </c>
    </row>
    <row r="274" spans="1:11" x14ac:dyDescent="0.25">
      <c r="C274" s="1">
        <v>9</v>
      </c>
      <c r="D274" s="1">
        <v>1</v>
      </c>
      <c r="E274" s="1">
        <v>10</v>
      </c>
      <c r="F274" s="1">
        <v>14</v>
      </c>
      <c r="G274" s="1">
        <v>267</v>
      </c>
      <c r="H274" s="1">
        <v>270</v>
      </c>
      <c r="I274" s="1">
        <f t="shared" si="1"/>
        <v>3</v>
      </c>
    </row>
    <row r="275" spans="1:11" x14ac:dyDescent="0.25">
      <c r="C275" s="1">
        <v>9</v>
      </c>
      <c r="D275" s="1">
        <v>1</v>
      </c>
      <c r="E275" s="1">
        <v>10</v>
      </c>
      <c r="F275" s="1">
        <v>15</v>
      </c>
      <c r="G275" s="1">
        <v>270</v>
      </c>
      <c r="H275" s="1">
        <v>276</v>
      </c>
      <c r="I275" s="1">
        <f t="shared" si="1"/>
        <v>6</v>
      </c>
    </row>
    <row r="276" spans="1:11" x14ac:dyDescent="0.25">
      <c r="A276" s="3">
        <v>2</v>
      </c>
      <c r="B276" s="4">
        <v>43818</v>
      </c>
      <c r="C276" s="3">
        <v>10</v>
      </c>
      <c r="D276" s="3">
        <v>2</v>
      </c>
      <c r="E276" s="3">
        <v>30</v>
      </c>
      <c r="F276" s="3">
        <v>1</v>
      </c>
      <c r="G276" s="3">
        <v>20</v>
      </c>
      <c r="H276" s="3">
        <v>20</v>
      </c>
      <c r="I276" s="3">
        <f t="shared" si="1"/>
        <v>0</v>
      </c>
    </row>
    <row r="277" spans="1:11" x14ac:dyDescent="0.25">
      <c r="A277" s="3"/>
      <c r="B277" s="3"/>
      <c r="C277" s="3">
        <v>10</v>
      </c>
      <c r="D277" s="3">
        <v>2</v>
      </c>
      <c r="E277" s="3">
        <v>30</v>
      </c>
      <c r="F277" s="3">
        <v>2</v>
      </c>
      <c r="G277" s="3">
        <v>20</v>
      </c>
      <c r="H277" s="3">
        <v>62</v>
      </c>
      <c r="I277" s="3">
        <f t="shared" si="1"/>
        <v>42</v>
      </c>
    </row>
    <row r="278" spans="1:11" x14ac:dyDescent="0.25">
      <c r="A278" s="3"/>
      <c r="B278" s="3"/>
      <c r="C278" s="3">
        <v>10</v>
      </c>
      <c r="D278" s="3">
        <v>2</v>
      </c>
      <c r="E278" s="3">
        <v>30</v>
      </c>
      <c r="F278" s="3">
        <v>3</v>
      </c>
      <c r="G278" s="3">
        <v>62</v>
      </c>
      <c r="H278" s="3">
        <v>80</v>
      </c>
      <c r="I278" s="3">
        <f t="shared" si="1"/>
        <v>18</v>
      </c>
    </row>
    <row r="279" spans="1:11" x14ac:dyDescent="0.25">
      <c r="A279" s="3"/>
      <c r="B279" s="3"/>
      <c r="C279" s="3">
        <v>10</v>
      </c>
      <c r="D279" s="3">
        <v>2</v>
      </c>
      <c r="E279" s="3">
        <v>30</v>
      </c>
      <c r="F279" s="3">
        <v>4</v>
      </c>
      <c r="G279" s="3">
        <v>80</v>
      </c>
      <c r="H279" s="3">
        <v>98</v>
      </c>
      <c r="I279" s="3">
        <f t="shared" si="1"/>
        <v>18</v>
      </c>
    </row>
    <row r="280" spans="1:11" x14ac:dyDescent="0.25">
      <c r="A280" s="3"/>
      <c r="B280" s="3"/>
      <c r="C280" s="3">
        <v>10</v>
      </c>
      <c r="D280" s="3">
        <v>2</v>
      </c>
      <c r="E280" s="3">
        <v>10</v>
      </c>
      <c r="F280" s="3">
        <v>5</v>
      </c>
      <c r="G280" s="3">
        <v>100</v>
      </c>
      <c r="H280" s="3">
        <v>130</v>
      </c>
      <c r="I280" s="12">
        <f t="shared" si="1"/>
        <v>30</v>
      </c>
    </row>
    <row r="281" spans="1:11" x14ac:dyDescent="0.25">
      <c r="A281" s="3"/>
      <c r="B281" s="3"/>
      <c r="C281" s="3">
        <v>10</v>
      </c>
      <c r="D281" s="3">
        <v>2</v>
      </c>
      <c r="E281" s="3">
        <v>10</v>
      </c>
      <c r="F281" s="3">
        <v>6</v>
      </c>
      <c r="G281" s="3">
        <v>130</v>
      </c>
      <c r="H281" s="3">
        <v>130</v>
      </c>
      <c r="I281" s="3">
        <f t="shared" si="1"/>
        <v>0</v>
      </c>
    </row>
    <row r="282" spans="1:11" x14ac:dyDescent="0.25">
      <c r="A282" s="3"/>
      <c r="B282" s="3"/>
      <c r="C282" s="3">
        <v>10</v>
      </c>
      <c r="D282" s="3">
        <v>2</v>
      </c>
      <c r="E282" s="3">
        <v>10</v>
      </c>
      <c r="F282" s="3">
        <v>7</v>
      </c>
      <c r="G282" s="3">
        <v>130</v>
      </c>
      <c r="H282" s="3">
        <v>132</v>
      </c>
      <c r="I282" s="3">
        <f t="shared" si="1"/>
        <v>2</v>
      </c>
    </row>
    <row r="283" spans="1:11" x14ac:dyDescent="0.25">
      <c r="A283" s="3"/>
      <c r="B283" s="3"/>
      <c r="C283" s="3">
        <v>10</v>
      </c>
      <c r="D283" s="3">
        <v>2</v>
      </c>
      <c r="E283" s="3">
        <v>10</v>
      </c>
      <c r="F283" s="3">
        <v>8</v>
      </c>
      <c r="G283" s="3">
        <v>132</v>
      </c>
      <c r="H283" s="3">
        <v>132</v>
      </c>
      <c r="I283" s="3">
        <f t="shared" si="1"/>
        <v>0</v>
      </c>
    </row>
    <row r="284" spans="1:11" x14ac:dyDescent="0.25">
      <c r="A284" s="1">
        <v>2</v>
      </c>
      <c r="B284" s="2">
        <v>43818</v>
      </c>
      <c r="C284" s="1">
        <v>11</v>
      </c>
      <c r="D284" s="1">
        <v>1</v>
      </c>
      <c r="E284" s="1">
        <v>30</v>
      </c>
      <c r="F284" s="1">
        <v>1</v>
      </c>
      <c r="G284" s="1">
        <v>21</v>
      </c>
      <c r="H284" s="1">
        <v>62</v>
      </c>
      <c r="I284" s="1">
        <f t="shared" si="1"/>
        <v>41</v>
      </c>
      <c r="J284" s="7">
        <f>(I288+I289+I290+I301+I300+I299+I294+I295+I296)/9</f>
        <v>35.111111111111114</v>
      </c>
      <c r="K284" s="6">
        <f>AVERAGE(I288:I301)</f>
        <v>36.071428571428569</v>
      </c>
    </row>
    <row r="285" spans="1:11" x14ac:dyDescent="0.25">
      <c r="C285" s="1">
        <v>11</v>
      </c>
      <c r="D285" s="1">
        <v>1</v>
      </c>
      <c r="E285" s="1">
        <v>30</v>
      </c>
      <c r="F285" s="1">
        <v>2</v>
      </c>
      <c r="G285" s="1">
        <v>62</v>
      </c>
      <c r="H285" s="1">
        <v>112</v>
      </c>
      <c r="I285" s="1">
        <f t="shared" si="1"/>
        <v>50</v>
      </c>
    </row>
    <row r="286" spans="1:11" x14ac:dyDescent="0.25">
      <c r="C286" s="1">
        <v>11</v>
      </c>
      <c r="D286" s="1">
        <v>1</v>
      </c>
      <c r="E286" s="1">
        <v>30</v>
      </c>
      <c r="F286" s="1">
        <v>3</v>
      </c>
      <c r="G286" s="1">
        <v>112</v>
      </c>
      <c r="H286" s="1">
        <v>140</v>
      </c>
      <c r="I286" s="1">
        <f t="shared" si="1"/>
        <v>28</v>
      </c>
    </row>
    <row r="287" spans="1:11" x14ac:dyDescent="0.25">
      <c r="C287" s="1">
        <v>11</v>
      </c>
      <c r="D287" s="1">
        <v>1</v>
      </c>
      <c r="E287" s="1">
        <v>30</v>
      </c>
      <c r="F287" s="1">
        <v>4</v>
      </c>
      <c r="G287" s="1">
        <v>148</v>
      </c>
      <c r="H287" s="1">
        <v>200</v>
      </c>
      <c r="I287" s="1">
        <f t="shared" si="1"/>
        <v>52</v>
      </c>
    </row>
    <row r="288" spans="1:11" x14ac:dyDescent="0.25">
      <c r="C288" s="1">
        <v>11</v>
      </c>
      <c r="D288" s="1">
        <v>1</v>
      </c>
      <c r="E288" s="1">
        <v>10</v>
      </c>
      <c r="F288" s="1">
        <v>5</v>
      </c>
      <c r="G288" s="1">
        <v>200</v>
      </c>
      <c r="H288" s="1">
        <v>244</v>
      </c>
      <c r="I288" s="11">
        <f t="shared" si="1"/>
        <v>44</v>
      </c>
    </row>
    <row r="289" spans="1:9" x14ac:dyDescent="0.25">
      <c r="C289" s="1">
        <v>11</v>
      </c>
      <c r="D289" s="1">
        <v>1</v>
      </c>
      <c r="E289" s="1">
        <v>10</v>
      </c>
      <c r="F289" s="1">
        <v>6</v>
      </c>
      <c r="G289" s="1">
        <v>246</v>
      </c>
      <c r="H289" s="1">
        <v>298</v>
      </c>
      <c r="I289" s="1">
        <f t="shared" si="1"/>
        <v>52</v>
      </c>
    </row>
    <row r="290" spans="1:9" x14ac:dyDescent="0.25">
      <c r="C290" s="1">
        <v>11</v>
      </c>
      <c r="D290" s="1">
        <v>1</v>
      </c>
      <c r="E290" s="1">
        <v>10</v>
      </c>
      <c r="F290" s="1">
        <v>7</v>
      </c>
      <c r="G290" s="1">
        <v>302</v>
      </c>
      <c r="H290" s="1">
        <v>356</v>
      </c>
      <c r="I290" s="1">
        <f t="shared" si="1"/>
        <v>54</v>
      </c>
    </row>
    <row r="291" spans="1:9" x14ac:dyDescent="0.25">
      <c r="C291" s="1">
        <v>11</v>
      </c>
      <c r="D291" s="1">
        <v>1</v>
      </c>
      <c r="E291" s="1">
        <v>10</v>
      </c>
      <c r="F291" s="1">
        <v>8</v>
      </c>
      <c r="G291" s="1">
        <v>356</v>
      </c>
      <c r="H291" s="1">
        <v>390</v>
      </c>
      <c r="I291" s="1">
        <f t="shared" si="1"/>
        <v>34</v>
      </c>
    </row>
    <row r="292" spans="1:9" x14ac:dyDescent="0.25">
      <c r="C292" s="1">
        <v>11</v>
      </c>
      <c r="D292" s="1">
        <v>1</v>
      </c>
      <c r="E292" s="1">
        <v>10</v>
      </c>
      <c r="F292" s="1">
        <v>9</v>
      </c>
      <c r="G292" s="1">
        <v>396</v>
      </c>
      <c r="H292" s="1">
        <v>429</v>
      </c>
      <c r="I292" s="1">
        <f t="shared" si="1"/>
        <v>33</v>
      </c>
    </row>
    <row r="293" spans="1:9" x14ac:dyDescent="0.25">
      <c r="C293" s="1">
        <v>11</v>
      </c>
      <c r="D293" s="1">
        <v>1</v>
      </c>
      <c r="E293" s="1">
        <v>10</v>
      </c>
      <c r="F293" s="1">
        <v>10</v>
      </c>
      <c r="G293" s="1">
        <v>434</v>
      </c>
      <c r="H293" s="1">
        <v>466</v>
      </c>
      <c r="I293" s="1">
        <f t="shared" si="1"/>
        <v>32</v>
      </c>
    </row>
    <row r="294" spans="1:9" x14ac:dyDescent="0.25">
      <c r="C294" s="1">
        <v>11</v>
      </c>
      <c r="D294" s="1">
        <v>1</v>
      </c>
      <c r="E294" s="1">
        <v>10</v>
      </c>
      <c r="F294" s="1">
        <v>11</v>
      </c>
      <c r="G294" s="1">
        <v>469</v>
      </c>
      <c r="H294" s="1">
        <v>481</v>
      </c>
      <c r="I294" s="1">
        <f t="shared" si="1"/>
        <v>12</v>
      </c>
    </row>
    <row r="295" spans="1:9" x14ac:dyDescent="0.25">
      <c r="C295" s="1">
        <v>11</v>
      </c>
      <c r="D295" s="1">
        <v>1</v>
      </c>
      <c r="E295" s="1">
        <v>10</v>
      </c>
      <c r="F295" s="1">
        <v>12</v>
      </c>
      <c r="G295" s="1">
        <v>481</v>
      </c>
      <c r="H295" s="1">
        <v>481</v>
      </c>
      <c r="I295" s="1">
        <f t="shared" si="1"/>
        <v>0</v>
      </c>
    </row>
    <row r="296" spans="1:9" x14ac:dyDescent="0.25">
      <c r="C296" s="1">
        <v>11</v>
      </c>
      <c r="D296" s="1">
        <v>1</v>
      </c>
      <c r="E296" s="1">
        <v>10</v>
      </c>
      <c r="F296" s="1">
        <v>13</v>
      </c>
      <c r="G296" s="1">
        <v>481</v>
      </c>
      <c r="H296" s="1">
        <v>514</v>
      </c>
      <c r="I296" s="1">
        <f t="shared" si="1"/>
        <v>33</v>
      </c>
    </row>
    <row r="297" spans="1:9" x14ac:dyDescent="0.25">
      <c r="C297" s="1">
        <v>11</v>
      </c>
      <c r="D297" s="1">
        <v>1</v>
      </c>
      <c r="E297" s="1">
        <v>10</v>
      </c>
      <c r="F297" s="1">
        <v>14</v>
      </c>
      <c r="G297" s="1">
        <v>514</v>
      </c>
      <c r="H297" s="1">
        <v>552</v>
      </c>
      <c r="I297" s="1">
        <f t="shared" si="1"/>
        <v>38</v>
      </c>
    </row>
    <row r="298" spans="1:9" x14ac:dyDescent="0.25">
      <c r="C298" s="1">
        <v>11</v>
      </c>
      <c r="D298" s="1">
        <v>1</v>
      </c>
      <c r="E298" s="1">
        <v>10</v>
      </c>
      <c r="F298" s="1">
        <v>15</v>
      </c>
      <c r="G298" s="1">
        <v>552</v>
      </c>
      <c r="H298" s="1">
        <v>604</v>
      </c>
      <c r="I298" s="1">
        <f t="shared" si="1"/>
        <v>52</v>
      </c>
    </row>
    <row r="299" spans="1:9" x14ac:dyDescent="0.25">
      <c r="C299" s="1">
        <v>11</v>
      </c>
      <c r="D299" s="1">
        <v>1</v>
      </c>
      <c r="E299" s="1">
        <v>10</v>
      </c>
      <c r="F299" s="1">
        <v>16</v>
      </c>
      <c r="G299" s="1">
        <v>606</v>
      </c>
      <c r="H299" s="1">
        <v>644</v>
      </c>
      <c r="I299" s="1">
        <f t="shared" si="1"/>
        <v>38</v>
      </c>
    </row>
    <row r="300" spans="1:9" x14ac:dyDescent="0.25">
      <c r="C300" s="1">
        <v>11</v>
      </c>
      <c r="D300" s="1">
        <v>1</v>
      </c>
      <c r="E300" s="1">
        <v>10</v>
      </c>
      <c r="F300" s="1">
        <v>17</v>
      </c>
      <c r="G300" s="1">
        <v>650</v>
      </c>
      <c r="H300" s="1">
        <v>697</v>
      </c>
      <c r="I300" s="1">
        <f t="shared" si="1"/>
        <v>47</v>
      </c>
    </row>
    <row r="301" spans="1:9" x14ac:dyDescent="0.25">
      <c r="C301" s="1">
        <v>11</v>
      </c>
      <c r="D301" s="1">
        <v>1</v>
      </c>
      <c r="E301" s="1">
        <v>10</v>
      </c>
      <c r="F301" s="1">
        <v>18</v>
      </c>
      <c r="G301" s="1">
        <v>699</v>
      </c>
      <c r="H301" s="1">
        <v>735</v>
      </c>
      <c r="I301" s="1">
        <f t="shared" si="1"/>
        <v>36</v>
      </c>
    </row>
    <row r="302" spans="1:9" x14ac:dyDescent="0.25">
      <c r="A302" s="1">
        <v>1</v>
      </c>
      <c r="B302" s="2">
        <v>43888</v>
      </c>
      <c r="C302" s="1">
        <v>13</v>
      </c>
      <c r="D302" s="1">
        <v>1</v>
      </c>
      <c r="E302" s="1">
        <v>30</v>
      </c>
      <c r="F302" s="1">
        <v>1</v>
      </c>
      <c r="G302" s="1">
        <v>7</v>
      </c>
      <c r="H302" s="1">
        <v>7</v>
      </c>
      <c r="I302" s="1">
        <f t="shared" si="1"/>
        <v>0</v>
      </c>
    </row>
    <row r="303" spans="1:9" x14ac:dyDescent="0.25">
      <c r="C303" s="1">
        <v>13</v>
      </c>
      <c r="D303" s="1">
        <v>1</v>
      </c>
      <c r="E303" s="1">
        <v>30</v>
      </c>
      <c r="F303" s="1">
        <v>2</v>
      </c>
      <c r="G303" s="1">
        <v>7</v>
      </c>
      <c r="H303" s="1">
        <v>7</v>
      </c>
      <c r="I303" s="1">
        <f t="shared" si="1"/>
        <v>0</v>
      </c>
    </row>
    <row r="304" spans="1:9" x14ac:dyDescent="0.25">
      <c r="C304" s="1">
        <v>13</v>
      </c>
      <c r="D304" s="1">
        <v>1</v>
      </c>
      <c r="E304" s="1">
        <v>30</v>
      </c>
      <c r="F304" s="1">
        <v>3</v>
      </c>
      <c r="G304" s="1">
        <v>7</v>
      </c>
      <c r="H304" s="1">
        <v>7</v>
      </c>
      <c r="I304" s="1">
        <f t="shared" si="1"/>
        <v>0</v>
      </c>
    </row>
    <row r="305" spans="3:11" x14ac:dyDescent="0.25">
      <c r="C305" s="1">
        <v>13</v>
      </c>
      <c r="D305" s="1">
        <v>1</v>
      </c>
      <c r="E305" s="1">
        <v>30</v>
      </c>
      <c r="F305" s="1">
        <v>4</v>
      </c>
      <c r="G305" s="1">
        <v>7</v>
      </c>
      <c r="H305" s="1">
        <v>7</v>
      </c>
      <c r="I305" s="1">
        <f t="shared" si="1"/>
        <v>0</v>
      </c>
    </row>
    <row r="306" spans="3:11" x14ac:dyDescent="0.25">
      <c r="C306" s="1">
        <v>13</v>
      </c>
      <c r="D306" s="1">
        <v>1</v>
      </c>
      <c r="E306" s="1">
        <v>10</v>
      </c>
      <c r="F306" s="1">
        <v>5</v>
      </c>
      <c r="G306" s="1">
        <v>7</v>
      </c>
      <c r="H306" s="1">
        <v>7</v>
      </c>
      <c r="I306" s="1">
        <f t="shared" si="1"/>
        <v>0</v>
      </c>
      <c r="J306" s="7">
        <f>(I306+I308+I307+I326+I325+I324+I316+I315+I314)/9</f>
        <v>37.777777777777779</v>
      </c>
      <c r="K306" s="6">
        <f>AVERAGE(I306:I326)</f>
        <v>40.095238095238095</v>
      </c>
    </row>
    <row r="307" spans="3:11" x14ac:dyDescent="0.25">
      <c r="C307" s="1">
        <v>13</v>
      </c>
      <c r="D307" s="1">
        <v>1</v>
      </c>
      <c r="E307" s="1">
        <v>10</v>
      </c>
      <c r="F307" s="1">
        <v>6</v>
      </c>
      <c r="G307" s="1">
        <v>7</v>
      </c>
      <c r="H307" s="1">
        <v>24</v>
      </c>
      <c r="I307" s="1">
        <f t="shared" si="1"/>
        <v>17</v>
      </c>
    </row>
    <row r="308" spans="3:11" x14ac:dyDescent="0.25">
      <c r="C308" s="1">
        <v>13</v>
      </c>
      <c r="D308" s="1">
        <v>1</v>
      </c>
      <c r="E308" s="1">
        <v>10</v>
      </c>
      <c r="F308" s="1">
        <v>7</v>
      </c>
      <c r="G308" s="1">
        <v>26</v>
      </c>
      <c r="H308" s="1">
        <v>65</v>
      </c>
      <c r="I308" s="1">
        <f t="shared" si="1"/>
        <v>39</v>
      </c>
    </row>
    <row r="309" spans="3:11" x14ac:dyDescent="0.25">
      <c r="C309" s="1">
        <v>13</v>
      </c>
      <c r="D309" s="1">
        <v>1</v>
      </c>
      <c r="E309" s="1">
        <v>10</v>
      </c>
      <c r="F309" s="1">
        <v>8</v>
      </c>
      <c r="G309" s="1">
        <v>66</v>
      </c>
      <c r="H309" s="1">
        <v>95</v>
      </c>
      <c r="I309" s="1">
        <f t="shared" si="1"/>
        <v>29</v>
      </c>
    </row>
    <row r="310" spans="3:11" x14ac:dyDescent="0.25">
      <c r="C310" s="1">
        <v>13</v>
      </c>
      <c r="D310" s="1">
        <v>1</v>
      </c>
      <c r="E310" s="1">
        <v>10</v>
      </c>
      <c r="F310" s="1">
        <v>9</v>
      </c>
      <c r="G310" s="1">
        <v>106</v>
      </c>
      <c r="H310" s="1">
        <v>149</v>
      </c>
      <c r="I310" s="1">
        <f t="shared" si="1"/>
        <v>43</v>
      </c>
    </row>
    <row r="311" spans="3:11" x14ac:dyDescent="0.25">
      <c r="C311" s="1">
        <v>13</v>
      </c>
      <c r="D311" s="1">
        <v>1</v>
      </c>
      <c r="E311" s="1">
        <v>10</v>
      </c>
      <c r="F311" s="1">
        <v>10</v>
      </c>
      <c r="G311" s="1">
        <v>157</v>
      </c>
      <c r="H311" s="1">
        <v>190</v>
      </c>
      <c r="I311" s="1">
        <f t="shared" si="1"/>
        <v>33</v>
      </c>
    </row>
    <row r="312" spans="3:11" x14ac:dyDescent="0.25">
      <c r="C312" s="1">
        <v>13</v>
      </c>
      <c r="D312" s="1">
        <v>1</v>
      </c>
      <c r="E312" s="1">
        <v>10</v>
      </c>
      <c r="F312" s="1">
        <v>11</v>
      </c>
      <c r="G312" s="1">
        <v>218</v>
      </c>
      <c r="H312" s="1">
        <v>258</v>
      </c>
      <c r="I312" s="1">
        <f t="shared" si="1"/>
        <v>40</v>
      </c>
    </row>
    <row r="313" spans="3:11" x14ac:dyDescent="0.25">
      <c r="C313" s="1">
        <v>13</v>
      </c>
      <c r="D313" s="1">
        <v>1</v>
      </c>
      <c r="E313" s="1">
        <v>10</v>
      </c>
      <c r="F313" s="1">
        <v>12</v>
      </c>
      <c r="G313" s="1">
        <v>273</v>
      </c>
      <c r="H313" s="1">
        <v>316</v>
      </c>
      <c r="I313" s="1">
        <f t="shared" si="1"/>
        <v>43</v>
      </c>
    </row>
    <row r="314" spans="3:11" x14ac:dyDescent="0.25">
      <c r="C314" s="1">
        <v>13</v>
      </c>
      <c r="D314" s="1">
        <v>1</v>
      </c>
      <c r="E314" s="1">
        <v>10</v>
      </c>
      <c r="F314" s="1">
        <v>13</v>
      </c>
      <c r="G314" s="1">
        <v>327</v>
      </c>
      <c r="H314" s="1">
        <v>377</v>
      </c>
      <c r="I314" s="1">
        <f t="shared" si="1"/>
        <v>50</v>
      </c>
    </row>
    <row r="315" spans="3:11" x14ac:dyDescent="0.25">
      <c r="C315" s="1">
        <v>13</v>
      </c>
      <c r="D315" s="1">
        <v>1</v>
      </c>
      <c r="E315" s="1">
        <v>10</v>
      </c>
      <c r="F315" s="1">
        <v>14</v>
      </c>
      <c r="G315" s="1">
        <v>383</v>
      </c>
      <c r="H315" s="1">
        <v>431</v>
      </c>
      <c r="I315" s="1">
        <f t="shared" si="1"/>
        <v>48</v>
      </c>
    </row>
    <row r="316" spans="3:11" x14ac:dyDescent="0.25">
      <c r="C316" s="1">
        <v>13</v>
      </c>
      <c r="D316" s="1">
        <v>1</v>
      </c>
      <c r="E316" s="1">
        <v>10</v>
      </c>
      <c r="F316" s="1">
        <v>15</v>
      </c>
      <c r="G316" s="1">
        <v>433</v>
      </c>
      <c r="H316" s="1">
        <v>467</v>
      </c>
      <c r="I316" s="1">
        <f t="shared" si="1"/>
        <v>34</v>
      </c>
    </row>
    <row r="317" spans="3:11" x14ac:dyDescent="0.25">
      <c r="C317" s="1">
        <v>13</v>
      </c>
      <c r="D317" s="1">
        <v>1</v>
      </c>
      <c r="E317" s="1">
        <v>10</v>
      </c>
      <c r="F317" s="1">
        <v>16</v>
      </c>
      <c r="G317" s="1">
        <v>475</v>
      </c>
      <c r="H317" s="1">
        <v>522</v>
      </c>
      <c r="I317" s="1">
        <f t="shared" si="1"/>
        <v>47</v>
      </c>
    </row>
    <row r="318" spans="3:11" x14ac:dyDescent="0.25">
      <c r="C318" s="1">
        <v>13</v>
      </c>
      <c r="D318" s="1">
        <v>1</v>
      </c>
      <c r="E318" s="1">
        <v>10</v>
      </c>
      <c r="F318" s="1">
        <v>17</v>
      </c>
      <c r="G318" s="1">
        <v>522</v>
      </c>
      <c r="H318" s="1">
        <v>555</v>
      </c>
      <c r="I318" s="1">
        <f t="shared" si="1"/>
        <v>33</v>
      </c>
    </row>
    <row r="319" spans="3:11" x14ac:dyDescent="0.25">
      <c r="C319" s="1">
        <v>13</v>
      </c>
      <c r="D319" s="1">
        <v>1</v>
      </c>
      <c r="E319" s="1">
        <v>10</v>
      </c>
      <c r="F319" s="1">
        <v>18</v>
      </c>
      <c r="G319" s="1">
        <v>559</v>
      </c>
      <c r="H319" s="1">
        <v>614</v>
      </c>
      <c r="I319" s="1">
        <f t="shared" si="1"/>
        <v>55</v>
      </c>
    </row>
    <row r="320" spans="3:11" x14ac:dyDescent="0.25">
      <c r="C320" s="1">
        <v>13</v>
      </c>
      <c r="D320" s="1">
        <v>1</v>
      </c>
      <c r="E320" s="1">
        <v>10</v>
      </c>
      <c r="F320" s="1">
        <v>19</v>
      </c>
      <c r="G320" s="1">
        <v>614</v>
      </c>
      <c r="H320" s="1">
        <v>661</v>
      </c>
      <c r="I320" s="1">
        <f t="shared" si="1"/>
        <v>47</v>
      </c>
    </row>
    <row r="321" spans="1:11" x14ac:dyDescent="0.25">
      <c r="C321" s="1">
        <v>13</v>
      </c>
      <c r="D321" s="1">
        <v>1</v>
      </c>
      <c r="E321" s="1">
        <v>10</v>
      </c>
      <c r="F321" s="1">
        <v>20</v>
      </c>
      <c r="G321" s="1">
        <v>661</v>
      </c>
      <c r="H321" s="1">
        <v>706</v>
      </c>
      <c r="I321" s="1">
        <f t="shared" si="1"/>
        <v>45</v>
      </c>
    </row>
    <row r="322" spans="1:11" x14ac:dyDescent="0.25">
      <c r="C322" s="1">
        <v>13</v>
      </c>
      <c r="D322" s="1">
        <v>1</v>
      </c>
      <c r="E322" s="1">
        <v>10</v>
      </c>
      <c r="F322" s="1">
        <v>21</v>
      </c>
      <c r="G322" s="1">
        <v>706</v>
      </c>
      <c r="H322" s="1">
        <v>745</v>
      </c>
      <c r="I322" s="1">
        <f t="shared" si="1"/>
        <v>39</v>
      </c>
    </row>
    <row r="323" spans="1:11" x14ac:dyDescent="0.25">
      <c r="C323" s="1">
        <v>13</v>
      </c>
      <c r="D323" s="1">
        <v>1</v>
      </c>
      <c r="E323" s="1">
        <v>10</v>
      </c>
      <c r="F323" s="1">
        <v>22</v>
      </c>
      <c r="G323" s="1">
        <v>745</v>
      </c>
      <c r="H323" s="1">
        <v>793</v>
      </c>
      <c r="I323" s="1">
        <f t="shared" si="1"/>
        <v>48</v>
      </c>
    </row>
    <row r="324" spans="1:11" x14ac:dyDescent="0.25">
      <c r="C324" s="1">
        <v>13</v>
      </c>
      <c r="D324" s="1">
        <v>1</v>
      </c>
      <c r="E324" s="1">
        <v>10</v>
      </c>
      <c r="F324" s="1">
        <v>23</v>
      </c>
      <c r="G324" s="1">
        <v>793</v>
      </c>
      <c r="H324" s="1">
        <v>837</v>
      </c>
      <c r="I324" s="1">
        <f t="shared" si="1"/>
        <v>44</v>
      </c>
    </row>
    <row r="325" spans="1:11" x14ac:dyDescent="0.25">
      <c r="C325" s="1">
        <v>13</v>
      </c>
      <c r="D325" s="1">
        <v>1</v>
      </c>
      <c r="E325" s="1">
        <v>10</v>
      </c>
      <c r="F325" s="1">
        <v>24</v>
      </c>
      <c r="G325" s="1">
        <v>837</v>
      </c>
      <c r="H325" s="1">
        <v>888</v>
      </c>
      <c r="I325" s="1">
        <f t="shared" si="1"/>
        <v>51</v>
      </c>
    </row>
    <row r="326" spans="1:11" x14ac:dyDescent="0.25">
      <c r="C326" s="1">
        <v>13</v>
      </c>
      <c r="D326" s="1">
        <v>1</v>
      </c>
      <c r="E326" s="1">
        <v>10</v>
      </c>
      <c r="F326" s="1">
        <v>25</v>
      </c>
      <c r="G326" s="1">
        <v>888</v>
      </c>
      <c r="H326" s="1">
        <v>945</v>
      </c>
      <c r="I326" s="1">
        <f t="shared" si="1"/>
        <v>57</v>
      </c>
    </row>
    <row r="327" spans="1:11" x14ac:dyDescent="0.25">
      <c r="A327" s="1">
        <v>1</v>
      </c>
      <c r="B327" s="2">
        <v>43888</v>
      </c>
      <c r="C327" s="1">
        <v>14</v>
      </c>
      <c r="D327" s="1">
        <v>2</v>
      </c>
      <c r="E327" s="1">
        <v>30</v>
      </c>
      <c r="F327" s="1">
        <v>1</v>
      </c>
      <c r="G327" s="1">
        <v>0</v>
      </c>
      <c r="H327" s="1">
        <v>35</v>
      </c>
      <c r="I327" s="1">
        <f t="shared" si="1"/>
        <v>35</v>
      </c>
    </row>
    <row r="328" spans="1:11" x14ac:dyDescent="0.25">
      <c r="C328" s="1">
        <v>14</v>
      </c>
      <c r="D328" s="1">
        <v>2</v>
      </c>
      <c r="E328" s="1">
        <v>30</v>
      </c>
      <c r="F328" s="1">
        <v>2</v>
      </c>
      <c r="G328" s="1">
        <v>35</v>
      </c>
      <c r="H328" s="1">
        <v>35</v>
      </c>
      <c r="I328" s="1">
        <f t="shared" si="1"/>
        <v>0</v>
      </c>
    </row>
    <row r="329" spans="1:11" x14ac:dyDescent="0.25">
      <c r="C329" s="1">
        <v>14</v>
      </c>
      <c r="D329" s="1">
        <v>2</v>
      </c>
      <c r="E329" s="1">
        <v>30</v>
      </c>
      <c r="F329" s="1">
        <v>3</v>
      </c>
      <c r="G329" s="1">
        <v>35</v>
      </c>
      <c r="H329" s="1">
        <v>81</v>
      </c>
      <c r="I329" s="1">
        <f t="shared" si="1"/>
        <v>46</v>
      </c>
    </row>
    <row r="330" spans="1:11" x14ac:dyDescent="0.25">
      <c r="C330" s="1">
        <v>14</v>
      </c>
      <c r="D330" s="1">
        <v>2</v>
      </c>
      <c r="E330" s="1">
        <v>30</v>
      </c>
      <c r="F330" s="1">
        <v>4</v>
      </c>
      <c r="G330" s="1">
        <v>81</v>
      </c>
      <c r="H330" s="1">
        <v>128</v>
      </c>
      <c r="I330" s="1">
        <f t="shared" si="1"/>
        <v>47</v>
      </c>
    </row>
    <row r="331" spans="1:11" x14ac:dyDescent="0.25">
      <c r="C331" s="1">
        <v>14</v>
      </c>
      <c r="D331" s="1">
        <v>2</v>
      </c>
      <c r="E331" s="1">
        <v>10</v>
      </c>
      <c r="F331" s="1">
        <v>5</v>
      </c>
      <c r="G331" s="1">
        <v>128</v>
      </c>
      <c r="H331" s="1">
        <v>184</v>
      </c>
      <c r="I331" s="1">
        <f t="shared" si="1"/>
        <v>56</v>
      </c>
      <c r="J331" s="7">
        <f>(I331+I332+I333+I345+I344+I343+I338+I337+I336)/9</f>
        <v>12.777777777777779</v>
      </c>
      <c r="K331" s="6">
        <f>AVERAGE(I331:I345)</f>
        <v>7.8666666666666663</v>
      </c>
    </row>
    <row r="332" spans="1:11" x14ac:dyDescent="0.25">
      <c r="C332" s="1">
        <v>14</v>
      </c>
      <c r="D332" s="1">
        <v>2</v>
      </c>
      <c r="E332" s="1">
        <v>10</v>
      </c>
      <c r="F332" s="1">
        <v>6</v>
      </c>
      <c r="G332" s="1">
        <v>184</v>
      </c>
      <c r="H332" s="1">
        <v>201</v>
      </c>
      <c r="I332" s="1">
        <f t="shared" si="1"/>
        <v>17</v>
      </c>
    </row>
    <row r="333" spans="1:11" x14ac:dyDescent="0.25">
      <c r="C333" s="1">
        <v>14</v>
      </c>
      <c r="D333" s="1">
        <v>2</v>
      </c>
      <c r="E333" s="1">
        <v>10</v>
      </c>
      <c r="F333" s="1">
        <v>7</v>
      </c>
      <c r="G333" s="1">
        <v>201</v>
      </c>
      <c r="H333" s="1">
        <v>210</v>
      </c>
      <c r="I333" s="1">
        <f t="shared" si="1"/>
        <v>9</v>
      </c>
    </row>
    <row r="334" spans="1:11" x14ac:dyDescent="0.25">
      <c r="C334" s="1">
        <v>14</v>
      </c>
      <c r="D334" s="1">
        <v>2</v>
      </c>
      <c r="E334" s="1">
        <v>10</v>
      </c>
      <c r="F334" s="1">
        <v>8</v>
      </c>
      <c r="G334" s="1">
        <v>210</v>
      </c>
      <c r="H334" s="1">
        <v>210</v>
      </c>
      <c r="I334" s="1">
        <f t="shared" si="1"/>
        <v>0</v>
      </c>
    </row>
    <row r="335" spans="1:11" x14ac:dyDescent="0.25">
      <c r="C335" s="1">
        <v>14</v>
      </c>
      <c r="D335" s="1">
        <v>2</v>
      </c>
      <c r="E335" s="1">
        <v>10</v>
      </c>
      <c r="F335" s="1">
        <v>9</v>
      </c>
      <c r="G335" s="1">
        <v>210</v>
      </c>
      <c r="H335" s="1">
        <v>213</v>
      </c>
      <c r="I335" s="1">
        <f t="shared" si="1"/>
        <v>3</v>
      </c>
    </row>
    <row r="336" spans="1:11" x14ac:dyDescent="0.25">
      <c r="C336" s="1">
        <v>14</v>
      </c>
      <c r="D336" s="1">
        <v>2</v>
      </c>
      <c r="E336" s="1">
        <v>10</v>
      </c>
      <c r="F336" s="1">
        <v>10</v>
      </c>
      <c r="G336" s="1">
        <v>213</v>
      </c>
      <c r="H336" s="1">
        <v>214</v>
      </c>
      <c r="I336" s="1">
        <f t="shared" si="1"/>
        <v>1</v>
      </c>
    </row>
    <row r="337" spans="1:11" x14ac:dyDescent="0.25">
      <c r="C337" s="1">
        <v>14</v>
      </c>
      <c r="D337" s="1">
        <v>2</v>
      </c>
      <c r="E337" s="1">
        <v>10</v>
      </c>
      <c r="F337" s="1">
        <v>11</v>
      </c>
      <c r="G337" s="1">
        <v>214</v>
      </c>
      <c r="H337" s="1">
        <v>221</v>
      </c>
      <c r="I337" s="1">
        <f t="shared" si="1"/>
        <v>7</v>
      </c>
    </row>
    <row r="338" spans="1:11" x14ac:dyDescent="0.25">
      <c r="C338" s="1">
        <v>14</v>
      </c>
      <c r="D338" s="1">
        <v>2</v>
      </c>
      <c r="E338" s="1">
        <v>10</v>
      </c>
      <c r="F338" s="1">
        <v>12</v>
      </c>
      <c r="G338" s="1">
        <v>221</v>
      </c>
      <c r="H338" s="1">
        <v>221</v>
      </c>
      <c r="I338" s="1">
        <f t="shared" si="1"/>
        <v>0</v>
      </c>
    </row>
    <row r="339" spans="1:11" x14ac:dyDescent="0.25">
      <c r="C339" s="1">
        <v>14</v>
      </c>
      <c r="D339" s="1">
        <v>2</v>
      </c>
      <c r="E339" s="1">
        <v>10</v>
      </c>
      <c r="F339" s="1">
        <v>13</v>
      </c>
      <c r="G339" s="1">
        <v>221</v>
      </c>
      <c r="H339" s="1">
        <v>221</v>
      </c>
      <c r="I339" s="1">
        <f t="shared" si="1"/>
        <v>0</v>
      </c>
    </row>
    <row r="340" spans="1:11" x14ac:dyDescent="0.25">
      <c r="C340" s="1">
        <v>14</v>
      </c>
      <c r="D340" s="1">
        <v>2</v>
      </c>
      <c r="E340" s="1">
        <v>10</v>
      </c>
      <c r="F340" s="1">
        <v>14</v>
      </c>
      <c r="G340" s="1">
        <v>221</v>
      </c>
      <c r="H340" s="1">
        <v>221</v>
      </c>
      <c r="I340" s="1">
        <f t="shared" si="1"/>
        <v>0</v>
      </c>
    </row>
    <row r="341" spans="1:11" x14ac:dyDescent="0.25">
      <c r="C341" s="1">
        <v>14</v>
      </c>
      <c r="D341" s="1">
        <v>2</v>
      </c>
      <c r="E341" s="1">
        <v>10</v>
      </c>
      <c r="F341" s="1">
        <v>15</v>
      </c>
      <c r="G341" s="1">
        <v>221</v>
      </c>
      <c r="H341" s="1">
        <v>221</v>
      </c>
      <c r="I341" s="1">
        <f t="shared" si="1"/>
        <v>0</v>
      </c>
    </row>
    <row r="342" spans="1:11" x14ac:dyDescent="0.25">
      <c r="C342" s="1">
        <v>14</v>
      </c>
      <c r="D342" s="1">
        <v>2</v>
      </c>
      <c r="E342" s="1">
        <v>10</v>
      </c>
      <c r="F342" s="1">
        <v>16</v>
      </c>
      <c r="G342" s="1">
        <v>221</v>
      </c>
      <c r="H342" s="1">
        <v>221</v>
      </c>
      <c r="I342" s="1">
        <f t="shared" si="1"/>
        <v>0</v>
      </c>
    </row>
    <row r="343" spans="1:11" x14ac:dyDescent="0.25">
      <c r="C343" s="1">
        <v>14</v>
      </c>
      <c r="D343" s="1">
        <v>2</v>
      </c>
      <c r="E343" s="1">
        <v>10</v>
      </c>
      <c r="F343" s="1">
        <v>17</v>
      </c>
      <c r="G343" s="1">
        <v>221</v>
      </c>
      <c r="H343" s="1">
        <v>221</v>
      </c>
      <c r="I343" s="1">
        <f t="shared" si="1"/>
        <v>0</v>
      </c>
    </row>
    <row r="344" spans="1:11" x14ac:dyDescent="0.25">
      <c r="C344" s="1">
        <v>14</v>
      </c>
      <c r="D344" s="1">
        <v>2</v>
      </c>
      <c r="E344" s="1">
        <v>10</v>
      </c>
      <c r="F344" s="1">
        <v>18</v>
      </c>
      <c r="G344" s="1">
        <v>221</v>
      </c>
      <c r="H344" s="1">
        <v>221</v>
      </c>
      <c r="I344" s="1">
        <f t="shared" si="1"/>
        <v>0</v>
      </c>
    </row>
    <row r="345" spans="1:11" x14ac:dyDescent="0.25">
      <c r="C345" s="1">
        <v>14</v>
      </c>
      <c r="D345" s="1">
        <v>2</v>
      </c>
      <c r="E345" s="1">
        <v>10</v>
      </c>
      <c r="F345" s="1">
        <v>19</v>
      </c>
      <c r="G345" s="1">
        <v>221</v>
      </c>
      <c r="H345" s="1">
        <v>246</v>
      </c>
      <c r="I345" s="1">
        <f t="shared" si="1"/>
        <v>25</v>
      </c>
    </row>
    <row r="346" spans="1:11" x14ac:dyDescent="0.25">
      <c r="A346" s="1">
        <v>1</v>
      </c>
      <c r="B346" s="2">
        <v>43888</v>
      </c>
      <c r="C346" s="1">
        <v>15</v>
      </c>
      <c r="D346" s="1">
        <v>1</v>
      </c>
      <c r="E346" s="1">
        <v>30</v>
      </c>
      <c r="F346" s="1">
        <v>1</v>
      </c>
      <c r="G346" s="1">
        <v>2</v>
      </c>
      <c r="H346" s="1">
        <v>3</v>
      </c>
      <c r="I346" s="1">
        <f t="shared" si="1"/>
        <v>1</v>
      </c>
    </row>
    <row r="347" spans="1:11" x14ac:dyDescent="0.25">
      <c r="C347" s="1">
        <v>15</v>
      </c>
      <c r="D347" s="1">
        <v>1</v>
      </c>
      <c r="E347" s="1">
        <v>30</v>
      </c>
      <c r="F347" s="1">
        <v>2</v>
      </c>
      <c r="G347" s="1">
        <v>3</v>
      </c>
      <c r="H347" s="1">
        <v>51</v>
      </c>
      <c r="I347" s="1">
        <f t="shared" si="1"/>
        <v>48</v>
      </c>
    </row>
    <row r="348" spans="1:11" x14ac:dyDescent="0.25">
      <c r="C348" s="1">
        <v>15</v>
      </c>
      <c r="D348" s="1">
        <v>1</v>
      </c>
      <c r="E348" s="1">
        <v>30</v>
      </c>
      <c r="F348" s="1">
        <v>3</v>
      </c>
      <c r="G348" s="1">
        <v>55</v>
      </c>
      <c r="H348" s="1">
        <v>102</v>
      </c>
      <c r="I348" s="1">
        <f t="shared" si="1"/>
        <v>47</v>
      </c>
    </row>
    <row r="349" spans="1:11" x14ac:dyDescent="0.25">
      <c r="C349" s="1">
        <v>15</v>
      </c>
      <c r="D349" s="1">
        <v>1</v>
      </c>
      <c r="E349" s="1">
        <v>30</v>
      </c>
      <c r="F349" s="1">
        <v>4</v>
      </c>
      <c r="G349" s="1">
        <v>104</v>
      </c>
      <c r="H349" s="1">
        <v>151</v>
      </c>
      <c r="I349" s="1">
        <f t="shared" si="1"/>
        <v>47</v>
      </c>
    </row>
    <row r="350" spans="1:11" x14ac:dyDescent="0.25">
      <c r="C350" s="1">
        <v>15</v>
      </c>
      <c r="D350" s="1">
        <v>1</v>
      </c>
      <c r="E350" s="1">
        <v>10</v>
      </c>
      <c r="F350" s="1">
        <v>5</v>
      </c>
      <c r="G350" s="1">
        <v>153</v>
      </c>
      <c r="H350" s="1">
        <v>205</v>
      </c>
      <c r="I350" s="1">
        <f t="shared" si="1"/>
        <v>52</v>
      </c>
      <c r="J350" s="7">
        <f>(I350+I351+I352+I370+I369+I368+I360+I361+I359)/9</f>
        <v>43</v>
      </c>
      <c r="K350" s="6">
        <f>AVERAGE(I350:I370)</f>
        <v>32.571428571428569</v>
      </c>
    </row>
    <row r="351" spans="1:11" x14ac:dyDescent="0.25">
      <c r="C351" s="1">
        <v>15</v>
      </c>
      <c r="D351" s="1">
        <v>1</v>
      </c>
      <c r="E351" s="1">
        <v>10</v>
      </c>
      <c r="F351" s="1">
        <v>6</v>
      </c>
      <c r="G351" s="1">
        <v>205</v>
      </c>
      <c r="H351" s="1">
        <v>255</v>
      </c>
      <c r="I351" s="1">
        <f t="shared" si="1"/>
        <v>50</v>
      </c>
    </row>
    <row r="352" spans="1:11" x14ac:dyDescent="0.25">
      <c r="C352" s="1">
        <v>15</v>
      </c>
      <c r="D352" s="1">
        <v>1</v>
      </c>
      <c r="E352" s="1">
        <v>10</v>
      </c>
      <c r="F352" s="1">
        <v>7</v>
      </c>
      <c r="G352" s="1">
        <v>255</v>
      </c>
      <c r="H352" s="1">
        <v>300</v>
      </c>
      <c r="I352" s="1">
        <f t="shared" si="1"/>
        <v>45</v>
      </c>
    </row>
    <row r="353" spans="3:9" x14ac:dyDescent="0.25">
      <c r="C353" s="1">
        <v>15</v>
      </c>
      <c r="D353" s="1">
        <v>1</v>
      </c>
      <c r="E353" s="1">
        <v>10</v>
      </c>
      <c r="F353" s="1">
        <v>8</v>
      </c>
      <c r="G353" s="1">
        <v>316</v>
      </c>
      <c r="H353" s="1">
        <v>343</v>
      </c>
      <c r="I353" s="1">
        <f t="shared" si="1"/>
        <v>27</v>
      </c>
    </row>
    <row r="354" spans="3:9" x14ac:dyDescent="0.25">
      <c r="C354" s="1">
        <v>15</v>
      </c>
      <c r="D354" s="1">
        <v>1</v>
      </c>
      <c r="E354" s="1">
        <v>10</v>
      </c>
      <c r="F354" s="1">
        <v>9</v>
      </c>
      <c r="G354" s="1">
        <v>344</v>
      </c>
      <c r="H354" s="1">
        <v>392</v>
      </c>
      <c r="I354" s="1">
        <f t="shared" si="1"/>
        <v>48</v>
      </c>
    </row>
    <row r="355" spans="3:9" x14ac:dyDescent="0.25">
      <c r="C355" s="1">
        <v>15</v>
      </c>
      <c r="D355" s="1">
        <v>1</v>
      </c>
      <c r="E355" s="1">
        <v>10</v>
      </c>
      <c r="F355" s="1">
        <v>10</v>
      </c>
      <c r="G355" s="1">
        <v>392</v>
      </c>
      <c r="H355" s="1">
        <v>439</v>
      </c>
      <c r="I355" s="1">
        <f t="shared" si="1"/>
        <v>47</v>
      </c>
    </row>
    <row r="356" spans="3:9" x14ac:dyDescent="0.25">
      <c r="C356" s="1">
        <v>15</v>
      </c>
      <c r="D356" s="1">
        <v>1</v>
      </c>
      <c r="E356" s="1">
        <v>10</v>
      </c>
      <c r="F356" s="1">
        <v>11</v>
      </c>
      <c r="G356" s="1">
        <v>439</v>
      </c>
      <c r="H356" s="1">
        <v>474</v>
      </c>
      <c r="I356" s="1">
        <f t="shared" si="1"/>
        <v>35</v>
      </c>
    </row>
    <row r="357" spans="3:9" x14ac:dyDescent="0.25">
      <c r="C357" s="1">
        <v>15</v>
      </c>
      <c r="D357" s="1">
        <v>1</v>
      </c>
      <c r="E357" s="1">
        <v>10</v>
      </c>
      <c r="F357" s="1">
        <v>12</v>
      </c>
      <c r="G357" s="1">
        <v>474</v>
      </c>
      <c r="H357" s="1">
        <v>480</v>
      </c>
      <c r="I357" s="1">
        <f t="shared" si="1"/>
        <v>6</v>
      </c>
    </row>
    <row r="358" spans="3:9" x14ac:dyDescent="0.25">
      <c r="C358" s="1">
        <v>15</v>
      </c>
      <c r="D358" s="1">
        <v>1</v>
      </c>
      <c r="E358" s="1">
        <v>10</v>
      </c>
      <c r="F358" s="1">
        <v>13</v>
      </c>
      <c r="G358" s="1">
        <v>480</v>
      </c>
      <c r="H358" s="1">
        <v>481</v>
      </c>
      <c r="I358" s="1">
        <f t="shared" si="1"/>
        <v>1</v>
      </c>
    </row>
    <row r="359" spans="3:9" x14ac:dyDescent="0.25">
      <c r="C359" s="1">
        <v>15</v>
      </c>
      <c r="D359" s="1">
        <v>1</v>
      </c>
      <c r="E359" s="1">
        <v>10</v>
      </c>
      <c r="F359" s="1">
        <v>14</v>
      </c>
      <c r="G359" s="1">
        <v>481</v>
      </c>
      <c r="H359" s="1">
        <v>532</v>
      </c>
      <c r="I359" s="1">
        <f t="shared" si="1"/>
        <v>51</v>
      </c>
    </row>
    <row r="360" spans="3:9" x14ac:dyDescent="0.25">
      <c r="C360" s="1">
        <v>15</v>
      </c>
      <c r="D360" s="1">
        <v>1</v>
      </c>
      <c r="E360" s="1">
        <v>10</v>
      </c>
      <c r="F360" s="1">
        <v>15</v>
      </c>
      <c r="G360" s="1">
        <v>534</v>
      </c>
      <c r="H360" s="1">
        <v>574</v>
      </c>
      <c r="I360" s="1">
        <f t="shared" si="1"/>
        <v>40</v>
      </c>
    </row>
    <row r="361" spans="3:9" x14ac:dyDescent="0.25">
      <c r="C361" s="1">
        <v>15</v>
      </c>
      <c r="D361" s="1">
        <v>1</v>
      </c>
      <c r="E361" s="1">
        <v>10</v>
      </c>
      <c r="F361" s="1">
        <v>16</v>
      </c>
      <c r="G361" s="1">
        <v>574</v>
      </c>
      <c r="H361" s="1">
        <v>605</v>
      </c>
      <c r="I361" s="1">
        <f t="shared" si="1"/>
        <v>31</v>
      </c>
    </row>
    <row r="362" spans="3:9" x14ac:dyDescent="0.25">
      <c r="C362" s="1">
        <v>15</v>
      </c>
      <c r="D362" s="1">
        <v>1</v>
      </c>
      <c r="E362" s="1">
        <v>10</v>
      </c>
      <c r="F362" s="1">
        <v>17</v>
      </c>
      <c r="G362" s="1">
        <v>605</v>
      </c>
      <c r="H362" s="1">
        <v>605</v>
      </c>
      <c r="I362" s="1">
        <f t="shared" si="1"/>
        <v>0</v>
      </c>
    </row>
    <row r="363" spans="3:9" x14ac:dyDescent="0.25">
      <c r="C363" s="1">
        <v>15</v>
      </c>
      <c r="D363" s="1">
        <v>1</v>
      </c>
      <c r="E363" s="1">
        <v>10</v>
      </c>
      <c r="F363" s="1">
        <v>18</v>
      </c>
      <c r="G363" s="1">
        <v>616</v>
      </c>
      <c r="H363" s="1">
        <v>642</v>
      </c>
      <c r="I363" s="1">
        <f t="shared" ref="I363:I554" si="2">H363-G363</f>
        <v>26</v>
      </c>
    </row>
    <row r="364" spans="3:9" x14ac:dyDescent="0.25">
      <c r="C364" s="1">
        <v>15</v>
      </c>
      <c r="D364" s="1">
        <v>1</v>
      </c>
      <c r="E364" s="1">
        <v>10</v>
      </c>
      <c r="F364" s="1">
        <v>19</v>
      </c>
      <c r="G364" s="1">
        <v>642</v>
      </c>
      <c r="H364" s="1">
        <v>676</v>
      </c>
      <c r="I364" s="1">
        <f t="shared" si="2"/>
        <v>34</v>
      </c>
    </row>
    <row r="365" spans="3:9" x14ac:dyDescent="0.25">
      <c r="C365" s="1">
        <v>15</v>
      </c>
      <c r="D365" s="1">
        <v>1</v>
      </c>
      <c r="E365" s="1">
        <v>10</v>
      </c>
      <c r="F365" s="1">
        <v>20</v>
      </c>
      <c r="G365" s="1">
        <v>676</v>
      </c>
      <c r="H365" s="1">
        <v>714</v>
      </c>
      <c r="I365" s="1">
        <f t="shared" si="2"/>
        <v>38</v>
      </c>
    </row>
    <row r="366" spans="3:9" x14ac:dyDescent="0.25">
      <c r="C366" s="1">
        <v>15</v>
      </c>
      <c r="D366" s="1">
        <v>1</v>
      </c>
      <c r="E366" s="1">
        <v>10</v>
      </c>
      <c r="F366" s="1">
        <v>21</v>
      </c>
      <c r="G366" s="1">
        <v>714</v>
      </c>
      <c r="H366" s="1">
        <v>740</v>
      </c>
      <c r="I366" s="1">
        <f t="shared" si="2"/>
        <v>26</v>
      </c>
    </row>
    <row r="367" spans="3:9" x14ac:dyDescent="0.25">
      <c r="C367" s="1">
        <v>15</v>
      </c>
      <c r="D367" s="1">
        <v>1</v>
      </c>
      <c r="E367" s="1">
        <v>10</v>
      </c>
      <c r="F367" s="1">
        <v>22</v>
      </c>
      <c r="G367" s="1">
        <v>741</v>
      </c>
      <c r="H367" s="1">
        <v>750</v>
      </c>
      <c r="I367" s="1">
        <f t="shared" si="2"/>
        <v>9</v>
      </c>
    </row>
    <row r="368" spans="3:9" x14ac:dyDescent="0.25">
      <c r="C368" s="1">
        <v>15</v>
      </c>
      <c r="D368" s="1">
        <v>1</v>
      </c>
      <c r="E368" s="1">
        <v>10</v>
      </c>
      <c r="F368" s="1">
        <v>23</v>
      </c>
      <c r="G368" s="1">
        <v>766</v>
      </c>
      <c r="H368" s="1">
        <v>806</v>
      </c>
      <c r="I368" s="1">
        <f t="shared" si="2"/>
        <v>40</v>
      </c>
    </row>
    <row r="369" spans="1:11" x14ac:dyDescent="0.25">
      <c r="C369" s="1">
        <v>15</v>
      </c>
      <c r="D369" s="1">
        <v>1</v>
      </c>
      <c r="E369" s="1">
        <v>10</v>
      </c>
      <c r="F369" s="1">
        <v>24</v>
      </c>
      <c r="G369" s="1">
        <v>806</v>
      </c>
      <c r="H369" s="1">
        <v>836</v>
      </c>
      <c r="I369" s="1">
        <f t="shared" si="2"/>
        <v>30</v>
      </c>
    </row>
    <row r="370" spans="1:11" x14ac:dyDescent="0.25">
      <c r="C370" s="1">
        <v>15</v>
      </c>
      <c r="D370" s="1">
        <v>1</v>
      </c>
      <c r="E370" s="1">
        <v>10</v>
      </c>
      <c r="F370" s="1">
        <v>25</v>
      </c>
      <c r="G370" s="1">
        <v>836</v>
      </c>
      <c r="H370" s="1">
        <v>884</v>
      </c>
      <c r="I370" s="1">
        <f t="shared" si="2"/>
        <v>48</v>
      </c>
    </row>
    <row r="371" spans="1:11" x14ac:dyDescent="0.25">
      <c r="A371" s="1">
        <v>1</v>
      </c>
      <c r="B371" s="4">
        <v>43888</v>
      </c>
      <c r="C371" s="3">
        <v>16</v>
      </c>
      <c r="D371" s="3">
        <v>2</v>
      </c>
      <c r="E371" s="3">
        <v>30</v>
      </c>
      <c r="F371" s="3">
        <v>1</v>
      </c>
      <c r="G371" s="3">
        <v>9</v>
      </c>
      <c r="H371" s="3">
        <v>9</v>
      </c>
      <c r="I371" s="3">
        <f t="shared" si="2"/>
        <v>0</v>
      </c>
    </row>
    <row r="372" spans="1:11" x14ac:dyDescent="0.25">
      <c r="B372" s="3"/>
      <c r="C372" s="3">
        <v>16</v>
      </c>
      <c r="D372" s="3">
        <v>2</v>
      </c>
      <c r="E372" s="3">
        <v>30</v>
      </c>
      <c r="F372" s="3">
        <v>2</v>
      </c>
      <c r="G372" s="3">
        <v>9</v>
      </c>
      <c r="H372" s="3">
        <v>36</v>
      </c>
      <c r="I372" s="3">
        <f t="shared" si="2"/>
        <v>27</v>
      </c>
    </row>
    <row r="373" spans="1:11" x14ac:dyDescent="0.25">
      <c r="B373" s="3"/>
      <c r="C373" s="3">
        <v>16</v>
      </c>
      <c r="D373" s="3">
        <v>2</v>
      </c>
      <c r="E373" s="3">
        <v>30</v>
      </c>
      <c r="F373" s="3">
        <v>3</v>
      </c>
      <c r="G373" s="3">
        <v>36</v>
      </c>
      <c r="H373" s="3">
        <v>70</v>
      </c>
      <c r="I373" s="3">
        <f t="shared" si="2"/>
        <v>34</v>
      </c>
    </row>
    <row r="374" spans="1:11" x14ac:dyDescent="0.25">
      <c r="B374" s="3"/>
      <c r="C374" s="3">
        <v>16</v>
      </c>
      <c r="D374" s="3">
        <v>2</v>
      </c>
      <c r="E374" s="3">
        <v>30</v>
      </c>
      <c r="F374" s="3">
        <v>4</v>
      </c>
      <c r="G374" s="3">
        <v>72</v>
      </c>
      <c r="H374" s="3">
        <v>113</v>
      </c>
      <c r="I374" s="3">
        <f t="shared" si="2"/>
        <v>41</v>
      </c>
    </row>
    <row r="375" spans="1:11" x14ac:dyDescent="0.25">
      <c r="B375" s="3"/>
      <c r="C375" s="3">
        <v>16</v>
      </c>
      <c r="D375" s="3">
        <v>2</v>
      </c>
      <c r="E375" s="3">
        <v>10</v>
      </c>
      <c r="F375" s="3">
        <v>5</v>
      </c>
      <c r="G375" s="3">
        <v>117</v>
      </c>
      <c r="H375" s="3">
        <v>117</v>
      </c>
      <c r="I375" s="3">
        <f t="shared" si="2"/>
        <v>0</v>
      </c>
      <c r="K375" s="6">
        <f>AVERAGE(I375:I379)</f>
        <v>36.6</v>
      </c>
    </row>
    <row r="376" spans="1:11" x14ac:dyDescent="0.25">
      <c r="B376" s="3"/>
      <c r="C376" s="3">
        <v>16</v>
      </c>
      <c r="D376" s="3">
        <v>2</v>
      </c>
      <c r="E376" s="3">
        <v>10</v>
      </c>
      <c r="F376" s="3">
        <v>6</v>
      </c>
      <c r="G376" s="3">
        <v>117</v>
      </c>
      <c r="H376" s="3">
        <v>163</v>
      </c>
      <c r="I376" s="3">
        <f>H376-G376</f>
        <v>46</v>
      </c>
    </row>
    <row r="377" spans="1:11" x14ac:dyDescent="0.25">
      <c r="B377" s="3"/>
      <c r="C377" s="3">
        <v>16</v>
      </c>
      <c r="D377" s="3">
        <v>2</v>
      </c>
      <c r="E377" s="3">
        <v>10</v>
      </c>
      <c r="F377" s="3">
        <v>7</v>
      </c>
      <c r="G377" s="3">
        <v>168</v>
      </c>
      <c r="H377" s="3">
        <v>202</v>
      </c>
      <c r="I377" s="3">
        <f t="shared" si="2"/>
        <v>34</v>
      </c>
    </row>
    <row r="378" spans="1:11" x14ac:dyDescent="0.25">
      <c r="B378" s="3"/>
      <c r="C378" s="3">
        <v>16</v>
      </c>
      <c r="D378" s="3">
        <v>2</v>
      </c>
      <c r="E378" s="3">
        <v>10</v>
      </c>
      <c r="F378" s="3">
        <v>8</v>
      </c>
      <c r="G378" s="3">
        <v>202</v>
      </c>
      <c r="H378" s="3">
        <v>253</v>
      </c>
      <c r="I378" s="3">
        <f t="shared" si="2"/>
        <v>51</v>
      </c>
    </row>
    <row r="379" spans="1:11" x14ac:dyDescent="0.25">
      <c r="B379" s="3"/>
      <c r="C379" s="3">
        <v>16</v>
      </c>
      <c r="D379" s="3">
        <v>2</v>
      </c>
      <c r="E379" s="3">
        <v>10</v>
      </c>
      <c r="F379" s="3">
        <v>9</v>
      </c>
      <c r="G379" s="3">
        <v>253</v>
      </c>
      <c r="H379" s="3">
        <v>305</v>
      </c>
      <c r="I379" s="3">
        <f t="shared" si="2"/>
        <v>52</v>
      </c>
    </row>
    <row r="380" spans="1:11" x14ac:dyDescent="0.25">
      <c r="A380" s="1">
        <v>1</v>
      </c>
      <c r="B380" s="2">
        <v>43888</v>
      </c>
      <c r="C380" s="1">
        <v>17</v>
      </c>
      <c r="D380" s="1">
        <v>1</v>
      </c>
      <c r="E380" s="1">
        <v>30</v>
      </c>
      <c r="F380" s="1">
        <v>1</v>
      </c>
      <c r="G380" s="1">
        <v>2</v>
      </c>
      <c r="H380" s="1">
        <v>3</v>
      </c>
      <c r="I380" s="1">
        <f t="shared" si="2"/>
        <v>1</v>
      </c>
    </row>
    <row r="381" spans="1:11" x14ac:dyDescent="0.25">
      <c r="C381" s="1">
        <v>17</v>
      </c>
      <c r="D381" s="1">
        <v>1</v>
      </c>
      <c r="E381" s="1">
        <v>30</v>
      </c>
      <c r="F381" s="1">
        <v>2</v>
      </c>
      <c r="G381" s="1">
        <v>3</v>
      </c>
      <c r="H381" s="1">
        <v>11</v>
      </c>
      <c r="I381" s="1">
        <f t="shared" si="2"/>
        <v>8</v>
      </c>
    </row>
    <row r="382" spans="1:11" x14ac:dyDescent="0.25">
      <c r="C382" s="1">
        <v>17</v>
      </c>
      <c r="D382" s="1">
        <v>1</v>
      </c>
      <c r="E382" s="1">
        <v>30</v>
      </c>
      <c r="F382" s="1">
        <v>3</v>
      </c>
      <c r="G382" s="1">
        <v>11</v>
      </c>
      <c r="H382" s="1">
        <v>20</v>
      </c>
      <c r="I382" s="1">
        <f t="shared" si="2"/>
        <v>9</v>
      </c>
    </row>
    <row r="383" spans="1:11" x14ac:dyDescent="0.25">
      <c r="C383" s="1">
        <v>17</v>
      </c>
      <c r="D383" s="1">
        <v>1</v>
      </c>
      <c r="E383" s="1">
        <v>30</v>
      </c>
      <c r="F383" s="1">
        <v>4</v>
      </c>
      <c r="G383" s="1">
        <v>23</v>
      </c>
      <c r="H383" s="1">
        <v>47</v>
      </c>
      <c r="I383" s="1">
        <f t="shared" si="2"/>
        <v>24</v>
      </c>
    </row>
    <row r="384" spans="1:11" x14ac:dyDescent="0.25">
      <c r="C384" s="1">
        <v>17</v>
      </c>
      <c r="D384" s="1">
        <v>1</v>
      </c>
      <c r="E384" s="1">
        <v>10</v>
      </c>
      <c r="F384" s="1">
        <v>5</v>
      </c>
      <c r="G384" s="1">
        <v>47</v>
      </c>
      <c r="H384" s="1">
        <v>91</v>
      </c>
      <c r="I384" s="1">
        <f>H384-G384</f>
        <v>44</v>
      </c>
      <c r="J384" s="7">
        <f>(I384+I385+I386+I396+I395+I394+I390+I389+I391)/9</f>
        <v>35.222222222222221</v>
      </c>
      <c r="K384" s="6">
        <f>AVERAGE(I384:I396)</f>
        <v>33.384615384615387</v>
      </c>
    </row>
    <row r="385" spans="1:9" x14ac:dyDescent="0.25">
      <c r="C385" s="1">
        <v>17</v>
      </c>
      <c r="D385" s="1">
        <v>1</v>
      </c>
      <c r="E385" s="1">
        <v>10</v>
      </c>
      <c r="F385" s="1">
        <v>6</v>
      </c>
      <c r="G385" s="1">
        <v>91</v>
      </c>
      <c r="H385" s="1">
        <v>121</v>
      </c>
      <c r="I385" s="1">
        <f t="shared" si="2"/>
        <v>30</v>
      </c>
    </row>
    <row r="386" spans="1:9" x14ac:dyDescent="0.25">
      <c r="C386" s="1">
        <v>17</v>
      </c>
      <c r="D386" s="1">
        <v>1</v>
      </c>
      <c r="E386" s="1">
        <v>10</v>
      </c>
      <c r="F386" s="1">
        <v>7</v>
      </c>
      <c r="G386" s="1">
        <v>121</v>
      </c>
      <c r="H386" s="1">
        <v>169</v>
      </c>
      <c r="I386" s="1">
        <f t="shared" si="2"/>
        <v>48</v>
      </c>
    </row>
    <row r="387" spans="1:9" x14ac:dyDescent="0.25">
      <c r="C387" s="1">
        <v>17</v>
      </c>
      <c r="D387" s="1">
        <v>1</v>
      </c>
      <c r="E387" s="1">
        <v>10</v>
      </c>
      <c r="F387" s="1">
        <v>8</v>
      </c>
      <c r="G387" s="1">
        <v>169</v>
      </c>
      <c r="H387" s="1">
        <v>221</v>
      </c>
      <c r="I387" s="1">
        <f t="shared" si="2"/>
        <v>52</v>
      </c>
    </row>
    <row r="388" spans="1:9" x14ac:dyDescent="0.25">
      <c r="C388" s="1">
        <v>17</v>
      </c>
      <c r="D388" s="1">
        <v>1</v>
      </c>
      <c r="E388" s="1">
        <v>10</v>
      </c>
      <c r="F388" s="1">
        <v>9</v>
      </c>
      <c r="G388" s="1">
        <v>221</v>
      </c>
      <c r="H388" s="1">
        <v>229</v>
      </c>
      <c r="I388" s="1">
        <f t="shared" si="2"/>
        <v>8</v>
      </c>
    </row>
    <row r="389" spans="1:9" x14ac:dyDescent="0.25">
      <c r="C389" s="1">
        <v>17</v>
      </c>
      <c r="D389" s="1">
        <v>1</v>
      </c>
      <c r="E389" s="1">
        <v>10</v>
      </c>
      <c r="F389" s="1">
        <v>10</v>
      </c>
      <c r="G389" s="1">
        <v>229</v>
      </c>
      <c r="H389" s="1">
        <v>275</v>
      </c>
      <c r="I389" s="1">
        <f t="shared" si="2"/>
        <v>46</v>
      </c>
    </row>
    <row r="390" spans="1:9" x14ac:dyDescent="0.25">
      <c r="C390" s="1">
        <v>17</v>
      </c>
      <c r="D390" s="1">
        <v>1</v>
      </c>
      <c r="E390" s="1">
        <v>10</v>
      </c>
      <c r="F390" s="1">
        <v>11</v>
      </c>
      <c r="G390" s="1">
        <v>275</v>
      </c>
      <c r="H390" s="1">
        <v>324</v>
      </c>
      <c r="I390" s="1">
        <f t="shared" si="2"/>
        <v>49</v>
      </c>
    </row>
    <row r="391" spans="1:9" x14ac:dyDescent="0.25">
      <c r="C391" s="1">
        <v>17</v>
      </c>
      <c r="D391" s="1">
        <v>1</v>
      </c>
      <c r="E391" s="1">
        <v>10</v>
      </c>
      <c r="F391" s="1">
        <v>12</v>
      </c>
      <c r="G391" s="1">
        <v>341</v>
      </c>
      <c r="H391" s="1">
        <v>393</v>
      </c>
      <c r="I391" s="1">
        <f>H391-G391</f>
        <v>52</v>
      </c>
    </row>
    <row r="392" spans="1:9" x14ac:dyDescent="0.25">
      <c r="C392" s="1">
        <v>17</v>
      </c>
      <c r="D392" s="1">
        <v>1</v>
      </c>
      <c r="E392" s="1">
        <v>10</v>
      </c>
      <c r="F392" s="1">
        <v>13</v>
      </c>
      <c r="G392" s="1">
        <v>393</v>
      </c>
      <c r="H392" s="1">
        <v>430</v>
      </c>
      <c r="I392" s="1">
        <f t="shared" si="2"/>
        <v>37</v>
      </c>
    </row>
    <row r="393" spans="1:9" x14ac:dyDescent="0.25">
      <c r="C393" s="1">
        <v>17</v>
      </c>
      <c r="D393" s="1">
        <v>1</v>
      </c>
      <c r="E393" s="1">
        <v>10</v>
      </c>
      <c r="F393" s="1">
        <v>14</v>
      </c>
      <c r="G393" s="1">
        <v>430</v>
      </c>
      <c r="H393" s="1">
        <v>450</v>
      </c>
      <c r="I393" s="1">
        <f t="shared" si="2"/>
        <v>20</v>
      </c>
    </row>
    <row r="394" spans="1:9" x14ac:dyDescent="0.25">
      <c r="C394" s="1">
        <v>17</v>
      </c>
      <c r="D394" s="1">
        <v>1</v>
      </c>
      <c r="E394" s="1">
        <v>10</v>
      </c>
      <c r="F394" s="1">
        <v>15</v>
      </c>
      <c r="G394" s="1">
        <v>450</v>
      </c>
      <c r="H394" s="1">
        <v>483</v>
      </c>
      <c r="I394" s="1">
        <f t="shared" si="2"/>
        <v>33</v>
      </c>
    </row>
    <row r="395" spans="1:9" x14ac:dyDescent="0.25">
      <c r="C395" s="1">
        <v>17</v>
      </c>
      <c r="D395" s="1">
        <v>1</v>
      </c>
      <c r="E395" s="1">
        <v>10</v>
      </c>
      <c r="F395" s="1">
        <v>16</v>
      </c>
      <c r="G395" s="1">
        <v>483</v>
      </c>
      <c r="H395" s="1">
        <v>498</v>
      </c>
      <c r="I395" s="1">
        <f t="shared" si="2"/>
        <v>15</v>
      </c>
    </row>
    <row r="396" spans="1:9" x14ac:dyDescent="0.25">
      <c r="C396" s="1">
        <v>17</v>
      </c>
      <c r="D396" s="1">
        <v>1</v>
      </c>
      <c r="E396" s="1">
        <v>10</v>
      </c>
      <c r="F396" s="1">
        <v>17</v>
      </c>
      <c r="G396" s="1">
        <v>500</v>
      </c>
      <c r="H396" s="1">
        <v>500</v>
      </c>
      <c r="I396" s="1">
        <f t="shared" si="2"/>
        <v>0</v>
      </c>
    </row>
    <row r="397" spans="1:9" x14ac:dyDescent="0.25">
      <c r="A397" s="1">
        <v>1</v>
      </c>
      <c r="B397" s="2">
        <v>43888</v>
      </c>
      <c r="C397" s="1">
        <v>18</v>
      </c>
      <c r="D397" s="1">
        <v>2</v>
      </c>
      <c r="E397" s="1">
        <v>30</v>
      </c>
      <c r="F397" s="1">
        <v>1</v>
      </c>
      <c r="G397" s="1">
        <v>0</v>
      </c>
      <c r="H397" s="1">
        <v>0</v>
      </c>
      <c r="I397" s="1">
        <f t="shared" si="2"/>
        <v>0</v>
      </c>
    </row>
    <row r="398" spans="1:9" x14ac:dyDescent="0.25">
      <c r="C398" s="1">
        <v>18</v>
      </c>
      <c r="D398" s="1">
        <v>2</v>
      </c>
      <c r="E398" s="1">
        <v>30</v>
      </c>
      <c r="F398" s="1">
        <v>2</v>
      </c>
      <c r="G398" s="1">
        <v>0</v>
      </c>
      <c r="H398" s="1">
        <v>29</v>
      </c>
      <c r="I398" s="1">
        <f t="shared" si="2"/>
        <v>29</v>
      </c>
    </row>
    <row r="399" spans="1:9" x14ac:dyDescent="0.25">
      <c r="C399" s="1">
        <v>18</v>
      </c>
      <c r="D399" s="1">
        <v>2</v>
      </c>
      <c r="E399" s="1">
        <v>30</v>
      </c>
      <c r="F399" s="1">
        <v>3</v>
      </c>
      <c r="G399" s="1">
        <v>29</v>
      </c>
      <c r="H399" s="1">
        <v>42</v>
      </c>
      <c r="I399" s="1">
        <f t="shared" si="2"/>
        <v>13</v>
      </c>
    </row>
    <row r="400" spans="1:9" x14ac:dyDescent="0.25">
      <c r="C400" s="1">
        <v>18</v>
      </c>
      <c r="D400" s="1">
        <v>2</v>
      </c>
      <c r="E400" s="1">
        <v>30</v>
      </c>
      <c r="F400" s="1">
        <v>4</v>
      </c>
      <c r="G400" s="1">
        <v>42</v>
      </c>
      <c r="H400" s="1">
        <v>93</v>
      </c>
      <c r="I400" s="1">
        <f t="shared" si="2"/>
        <v>51</v>
      </c>
    </row>
    <row r="401" spans="3:11" x14ac:dyDescent="0.25">
      <c r="C401" s="1">
        <v>18</v>
      </c>
      <c r="D401" s="1">
        <v>2</v>
      </c>
      <c r="E401" s="1">
        <v>10</v>
      </c>
      <c r="F401" s="1">
        <v>5</v>
      </c>
      <c r="G401" s="1">
        <v>93</v>
      </c>
      <c r="H401" s="1">
        <v>130</v>
      </c>
      <c r="I401" s="1">
        <f t="shared" si="2"/>
        <v>37</v>
      </c>
      <c r="J401" s="7">
        <f>(I401+I402+I403+I417+I416+I415+I409+I408+I407)/9</f>
        <v>19.555555555555557</v>
      </c>
      <c r="K401" s="6">
        <f>AVERAGE(I401:I417)</f>
        <v>25.294117647058822</v>
      </c>
    </row>
    <row r="402" spans="3:11" x14ac:dyDescent="0.25">
      <c r="C402" s="1">
        <v>18</v>
      </c>
      <c r="D402" s="1">
        <v>2</v>
      </c>
      <c r="E402" s="1">
        <v>10</v>
      </c>
      <c r="F402" s="1">
        <v>6</v>
      </c>
      <c r="G402" s="1">
        <v>131</v>
      </c>
      <c r="H402" s="1">
        <v>169</v>
      </c>
      <c r="I402" s="1">
        <f t="shared" si="2"/>
        <v>38</v>
      </c>
    </row>
    <row r="403" spans="3:11" x14ac:dyDescent="0.25">
      <c r="C403" s="1">
        <v>18</v>
      </c>
      <c r="D403" s="1">
        <v>2</v>
      </c>
      <c r="E403" s="1">
        <v>10</v>
      </c>
      <c r="F403" s="1">
        <v>7</v>
      </c>
      <c r="G403" s="1">
        <v>169</v>
      </c>
      <c r="H403" s="1">
        <v>218</v>
      </c>
      <c r="I403" s="1">
        <f t="shared" si="2"/>
        <v>49</v>
      </c>
    </row>
    <row r="404" spans="3:11" x14ac:dyDescent="0.25">
      <c r="C404" s="1">
        <v>18</v>
      </c>
      <c r="D404" s="1">
        <v>2</v>
      </c>
      <c r="E404" s="1">
        <v>10</v>
      </c>
      <c r="F404" s="1">
        <v>8</v>
      </c>
      <c r="G404" s="1">
        <v>218</v>
      </c>
      <c r="H404" s="1">
        <v>266</v>
      </c>
      <c r="I404" s="1">
        <f t="shared" si="2"/>
        <v>48</v>
      </c>
    </row>
    <row r="405" spans="3:11" x14ac:dyDescent="0.25">
      <c r="C405" s="1">
        <v>18</v>
      </c>
      <c r="D405" s="1">
        <v>2</v>
      </c>
      <c r="E405" s="1">
        <v>10</v>
      </c>
      <c r="F405" s="1">
        <v>9</v>
      </c>
      <c r="G405" s="1">
        <v>266</v>
      </c>
      <c r="H405" s="1">
        <v>292</v>
      </c>
      <c r="I405" s="1">
        <f t="shared" si="2"/>
        <v>26</v>
      </c>
    </row>
    <row r="406" spans="3:11" x14ac:dyDescent="0.25">
      <c r="C406" s="1">
        <v>18</v>
      </c>
      <c r="D406" s="1">
        <v>2</v>
      </c>
      <c r="E406" s="1">
        <v>10</v>
      </c>
      <c r="F406" s="1">
        <v>10</v>
      </c>
      <c r="G406" s="1">
        <v>292</v>
      </c>
      <c r="H406" s="1">
        <v>292</v>
      </c>
      <c r="I406" s="1">
        <f t="shared" si="2"/>
        <v>0</v>
      </c>
    </row>
    <row r="407" spans="3:11" x14ac:dyDescent="0.25">
      <c r="C407" s="1">
        <v>18</v>
      </c>
      <c r="D407" s="1">
        <v>2</v>
      </c>
      <c r="E407" s="1">
        <v>10</v>
      </c>
      <c r="F407" s="1">
        <v>11</v>
      </c>
      <c r="G407" s="1">
        <v>292</v>
      </c>
      <c r="H407" s="1">
        <v>310</v>
      </c>
      <c r="I407" s="1">
        <f t="shared" si="2"/>
        <v>18</v>
      </c>
    </row>
    <row r="408" spans="3:11" x14ac:dyDescent="0.25">
      <c r="C408" s="1">
        <v>18</v>
      </c>
      <c r="D408" s="1">
        <v>2</v>
      </c>
      <c r="E408" s="1">
        <v>10</v>
      </c>
      <c r="F408" s="1">
        <v>12</v>
      </c>
      <c r="G408" s="1">
        <v>310</v>
      </c>
      <c r="H408" s="1">
        <v>310</v>
      </c>
      <c r="I408" s="1">
        <f t="shared" si="2"/>
        <v>0</v>
      </c>
    </row>
    <row r="409" spans="3:11" x14ac:dyDescent="0.25">
      <c r="C409" s="1">
        <v>18</v>
      </c>
      <c r="D409" s="1">
        <v>2</v>
      </c>
      <c r="E409" s="1">
        <v>10</v>
      </c>
      <c r="F409" s="1">
        <v>13</v>
      </c>
      <c r="G409" s="1">
        <v>310</v>
      </c>
      <c r="H409" s="1">
        <v>310</v>
      </c>
      <c r="I409" s="1">
        <f t="shared" si="2"/>
        <v>0</v>
      </c>
    </row>
    <row r="410" spans="3:11" x14ac:dyDescent="0.25">
      <c r="C410" s="1">
        <v>18</v>
      </c>
      <c r="D410" s="1">
        <v>2</v>
      </c>
      <c r="E410" s="1">
        <v>10</v>
      </c>
      <c r="F410" s="1">
        <v>14</v>
      </c>
      <c r="G410" s="1">
        <v>310</v>
      </c>
      <c r="H410" s="1">
        <v>310</v>
      </c>
      <c r="I410" s="1">
        <f t="shared" si="2"/>
        <v>0</v>
      </c>
    </row>
    <row r="411" spans="3:11" x14ac:dyDescent="0.25">
      <c r="C411" s="1">
        <v>18</v>
      </c>
      <c r="D411" s="1">
        <v>2</v>
      </c>
      <c r="E411" s="1">
        <v>10</v>
      </c>
      <c r="F411" s="1">
        <v>15</v>
      </c>
      <c r="G411" s="1">
        <v>310</v>
      </c>
      <c r="H411" s="1">
        <v>338</v>
      </c>
      <c r="I411" s="1">
        <f t="shared" si="2"/>
        <v>28</v>
      </c>
    </row>
    <row r="412" spans="3:11" x14ac:dyDescent="0.25">
      <c r="C412" s="1">
        <v>18</v>
      </c>
      <c r="D412" s="1">
        <v>2</v>
      </c>
      <c r="E412" s="1">
        <v>10</v>
      </c>
      <c r="F412" s="1">
        <v>16</v>
      </c>
      <c r="G412" s="1">
        <v>338</v>
      </c>
      <c r="H412" s="1">
        <v>392</v>
      </c>
      <c r="I412" s="1">
        <f t="shared" si="2"/>
        <v>54</v>
      </c>
    </row>
    <row r="413" spans="3:11" x14ac:dyDescent="0.25">
      <c r="C413" s="1">
        <v>18</v>
      </c>
      <c r="D413" s="1">
        <v>2</v>
      </c>
      <c r="E413" s="1">
        <v>10</v>
      </c>
      <c r="F413" s="1">
        <v>17</v>
      </c>
      <c r="G413" s="1">
        <v>392</v>
      </c>
      <c r="H413" s="1">
        <v>441</v>
      </c>
      <c r="I413" s="1">
        <f t="shared" si="2"/>
        <v>49</v>
      </c>
    </row>
    <row r="414" spans="3:11" x14ac:dyDescent="0.25">
      <c r="C414" s="1">
        <v>18</v>
      </c>
      <c r="D414" s="1">
        <v>2</v>
      </c>
      <c r="E414" s="1">
        <v>10</v>
      </c>
      <c r="F414" s="1">
        <v>18</v>
      </c>
      <c r="G414" s="1">
        <v>441</v>
      </c>
      <c r="H414" s="1">
        <v>490</v>
      </c>
      <c r="I414" s="1">
        <f t="shared" si="2"/>
        <v>49</v>
      </c>
    </row>
    <row r="415" spans="3:11" x14ac:dyDescent="0.25">
      <c r="C415" s="1">
        <v>18</v>
      </c>
      <c r="D415" s="1">
        <v>2</v>
      </c>
      <c r="E415" s="1">
        <v>10</v>
      </c>
      <c r="F415" s="1">
        <v>19</v>
      </c>
      <c r="G415" s="1">
        <v>491</v>
      </c>
      <c r="H415" s="1">
        <v>525</v>
      </c>
      <c r="I415" s="1">
        <f t="shared" si="2"/>
        <v>34</v>
      </c>
    </row>
    <row r="416" spans="3:11" x14ac:dyDescent="0.25">
      <c r="C416" s="1">
        <v>18</v>
      </c>
      <c r="D416" s="1">
        <v>2</v>
      </c>
      <c r="E416" s="1">
        <v>10</v>
      </c>
      <c r="F416" s="1">
        <v>20</v>
      </c>
      <c r="G416" s="1">
        <v>525</v>
      </c>
      <c r="H416" s="1">
        <v>525</v>
      </c>
      <c r="I416" s="1">
        <f t="shared" si="2"/>
        <v>0</v>
      </c>
    </row>
    <row r="417" spans="1:11" x14ac:dyDescent="0.25">
      <c r="C417" s="1">
        <v>18</v>
      </c>
      <c r="D417" s="1">
        <v>2</v>
      </c>
      <c r="E417" s="1">
        <v>10</v>
      </c>
      <c r="F417" s="1">
        <v>21</v>
      </c>
      <c r="G417" s="1">
        <v>525</v>
      </c>
      <c r="H417" s="1">
        <v>525</v>
      </c>
      <c r="I417" s="1">
        <f t="shared" si="2"/>
        <v>0</v>
      </c>
    </row>
    <row r="418" spans="1:11" x14ac:dyDescent="0.25">
      <c r="A418" s="1">
        <v>1</v>
      </c>
      <c r="B418" s="2">
        <v>43888</v>
      </c>
      <c r="C418" s="1">
        <v>19</v>
      </c>
      <c r="D418" s="1">
        <v>2</v>
      </c>
      <c r="E418" s="1">
        <v>30</v>
      </c>
      <c r="F418" s="1">
        <v>1</v>
      </c>
      <c r="G418" s="1">
        <v>11</v>
      </c>
      <c r="H418" s="1">
        <v>24</v>
      </c>
      <c r="I418" s="1">
        <f t="shared" si="2"/>
        <v>13</v>
      </c>
    </row>
    <row r="419" spans="1:11" x14ac:dyDescent="0.25">
      <c r="C419" s="1">
        <v>19</v>
      </c>
      <c r="D419" s="1">
        <v>2</v>
      </c>
      <c r="E419" s="1">
        <v>30</v>
      </c>
      <c r="F419" s="1">
        <v>2</v>
      </c>
      <c r="G419" s="1">
        <v>24</v>
      </c>
      <c r="H419" s="1">
        <v>24</v>
      </c>
      <c r="I419" s="1">
        <f t="shared" si="2"/>
        <v>0</v>
      </c>
    </row>
    <row r="420" spans="1:11" x14ac:dyDescent="0.25">
      <c r="C420" s="1">
        <v>19</v>
      </c>
      <c r="D420" s="1">
        <v>2</v>
      </c>
      <c r="E420" s="1">
        <v>30</v>
      </c>
      <c r="F420" s="1">
        <v>3</v>
      </c>
      <c r="G420" s="1">
        <v>24</v>
      </c>
      <c r="H420" s="1">
        <v>24</v>
      </c>
      <c r="I420" s="1">
        <f t="shared" si="2"/>
        <v>0</v>
      </c>
    </row>
    <row r="421" spans="1:11" x14ac:dyDescent="0.25">
      <c r="C421" s="1">
        <v>19</v>
      </c>
      <c r="D421" s="1">
        <v>2</v>
      </c>
      <c r="E421" s="1">
        <v>30</v>
      </c>
      <c r="F421" s="1">
        <v>4</v>
      </c>
      <c r="G421" s="1">
        <v>24</v>
      </c>
      <c r="H421" s="1">
        <v>25</v>
      </c>
      <c r="I421" s="1">
        <f t="shared" si="2"/>
        <v>1</v>
      </c>
    </row>
    <row r="422" spans="1:11" x14ac:dyDescent="0.25">
      <c r="C422" s="1">
        <v>19</v>
      </c>
      <c r="D422" s="1">
        <v>2</v>
      </c>
      <c r="E422" s="1">
        <v>10</v>
      </c>
      <c r="F422" s="1">
        <v>5</v>
      </c>
      <c r="G422" s="1">
        <v>28</v>
      </c>
      <c r="H422" s="1">
        <v>37</v>
      </c>
      <c r="I422" s="1">
        <f t="shared" si="2"/>
        <v>9</v>
      </c>
      <c r="J422" s="7">
        <f>(I422+I423+I424+I442+I441+I440+I432+I433+I431)/9</f>
        <v>44.333333333333336</v>
      </c>
      <c r="K422" s="6">
        <f>AVERAGE(I422:I442)</f>
        <v>61.61904761904762</v>
      </c>
    </row>
    <row r="423" spans="1:11" x14ac:dyDescent="0.25">
      <c r="C423" s="1">
        <v>19</v>
      </c>
      <c r="D423" s="1">
        <v>2</v>
      </c>
      <c r="E423" s="1">
        <v>10</v>
      </c>
      <c r="F423" s="1">
        <v>6</v>
      </c>
      <c r="G423" s="1">
        <v>55</v>
      </c>
      <c r="H423" s="1">
        <v>61</v>
      </c>
      <c r="I423" s="1">
        <f t="shared" si="2"/>
        <v>6</v>
      </c>
    </row>
    <row r="424" spans="1:11" x14ac:dyDescent="0.25">
      <c r="C424" s="1">
        <v>19</v>
      </c>
      <c r="D424" s="1">
        <v>2</v>
      </c>
      <c r="E424" s="1">
        <v>10</v>
      </c>
      <c r="F424" s="1">
        <v>7</v>
      </c>
      <c r="G424" s="1">
        <v>61</v>
      </c>
      <c r="H424" s="1">
        <v>84</v>
      </c>
      <c r="I424" s="1">
        <f t="shared" si="2"/>
        <v>23</v>
      </c>
    </row>
    <row r="425" spans="1:11" x14ac:dyDescent="0.25">
      <c r="C425" s="1">
        <v>19</v>
      </c>
      <c r="D425" s="1">
        <v>2</v>
      </c>
      <c r="E425" s="1">
        <v>10</v>
      </c>
      <c r="F425" s="1">
        <v>8</v>
      </c>
      <c r="G425" s="1">
        <v>84</v>
      </c>
      <c r="H425" s="1">
        <v>108</v>
      </c>
      <c r="I425" s="1">
        <f t="shared" si="2"/>
        <v>24</v>
      </c>
    </row>
    <row r="426" spans="1:11" x14ac:dyDescent="0.25">
      <c r="C426" s="1">
        <v>19</v>
      </c>
      <c r="D426" s="1">
        <v>2</v>
      </c>
      <c r="E426" s="1">
        <v>10</v>
      </c>
      <c r="F426" s="1">
        <v>9</v>
      </c>
      <c r="G426" s="1">
        <v>108</v>
      </c>
      <c r="H426" s="1">
        <v>160</v>
      </c>
      <c r="I426" s="1">
        <f t="shared" si="2"/>
        <v>52</v>
      </c>
    </row>
    <row r="427" spans="1:11" x14ac:dyDescent="0.25">
      <c r="C427" s="1">
        <v>19</v>
      </c>
      <c r="D427" s="1">
        <v>2</v>
      </c>
      <c r="E427" s="1">
        <v>10</v>
      </c>
      <c r="F427" s="1">
        <v>10</v>
      </c>
      <c r="G427" s="1">
        <v>160</v>
      </c>
      <c r="H427" s="1">
        <v>247</v>
      </c>
      <c r="I427" s="1">
        <f t="shared" si="2"/>
        <v>87</v>
      </c>
    </row>
    <row r="428" spans="1:11" x14ac:dyDescent="0.25">
      <c r="C428" s="1">
        <v>19</v>
      </c>
      <c r="D428" s="1">
        <v>2</v>
      </c>
      <c r="E428" s="1">
        <v>10</v>
      </c>
      <c r="F428" s="1">
        <v>11</v>
      </c>
      <c r="G428" s="1">
        <v>271</v>
      </c>
      <c r="H428" s="1">
        <v>373</v>
      </c>
      <c r="I428" s="1">
        <f t="shared" si="2"/>
        <v>102</v>
      </c>
    </row>
    <row r="429" spans="1:11" x14ac:dyDescent="0.25">
      <c r="C429" s="1">
        <v>19</v>
      </c>
      <c r="D429" s="1">
        <v>2</v>
      </c>
      <c r="E429" s="1">
        <v>10</v>
      </c>
      <c r="F429" s="1">
        <v>12</v>
      </c>
      <c r="G429" s="1">
        <v>373</v>
      </c>
      <c r="H429" s="1">
        <v>483</v>
      </c>
      <c r="I429" s="1">
        <f t="shared" si="2"/>
        <v>110</v>
      </c>
    </row>
    <row r="430" spans="1:11" x14ac:dyDescent="0.25">
      <c r="C430" s="1">
        <v>19</v>
      </c>
      <c r="D430" s="1">
        <v>2</v>
      </c>
      <c r="E430" s="1">
        <v>10</v>
      </c>
      <c r="F430" s="1">
        <v>13</v>
      </c>
      <c r="G430" s="1">
        <v>495</v>
      </c>
      <c r="H430" s="1">
        <v>599</v>
      </c>
      <c r="I430" s="1">
        <f t="shared" si="2"/>
        <v>104</v>
      </c>
    </row>
    <row r="431" spans="1:11" x14ac:dyDescent="0.25">
      <c r="C431" s="1">
        <v>19</v>
      </c>
      <c r="D431" s="1">
        <v>2</v>
      </c>
      <c r="E431" s="1">
        <v>10</v>
      </c>
      <c r="F431" s="1">
        <v>14</v>
      </c>
      <c r="G431" s="1">
        <v>599</v>
      </c>
      <c r="H431" s="1">
        <v>662</v>
      </c>
      <c r="I431" s="1">
        <f t="shared" si="2"/>
        <v>63</v>
      </c>
    </row>
    <row r="432" spans="1:11" x14ac:dyDescent="0.25">
      <c r="C432" s="1">
        <v>19</v>
      </c>
      <c r="D432" s="1">
        <v>2</v>
      </c>
      <c r="E432" s="1">
        <v>10</v>
      </c>
      <c r="F432" s="1">
        <v>15</v>
      </c>
      <c r="G432" s="1">
        <v>662</v>
      </c>
      <c r="H432" s="1">
        <v>718</v>
      </c>
      <c r="I432" s="1">
        <f t="shared" si="2"/>
        <v>56</v>
      </c>
    </row>
    <row r="433" spans="1:11" x14ac:dyDescent="0.25">
      <c r="C433" s="1">
        <v>19</v>
      </c>
      <c r="D433" s="1">
        <v>2</v>
      </c>
      <c r="E433" s="1">
        <v>10</v>
      </c>
      <c r="F433" s="1">
        <v>16</v>
      </c>
      <c r="G433" s="1">
        <v>719</v>
      </c>
      <c r="H433" s="1">
        <v>776</v>
      </c>
      <c r="I433" s="1">
        <f t="shared" si="2"/>
        <v>57</v>
      </c>
    </row>
    <row r="434" spans="1:11" x14ac:dyDescent="0.25">
      <c r="C434" s="1">
        <v>19</v>
      </c>
      <c r="D434" s="1">
        <v>2</v>
      </c>
      <c r="E434" s="1">
        <v>10</v>
      </c>
      <c r="F434" s="1">
        <v>17</v>
      </c>
      <c r="G434" s="1">
        <v>776</v>
      </c>
      <c r="H434" s="1">
        <v>842</v>
      </c>
      <c r="I434" s="1">
        <f t="shared" si="2"/>
        <v>66</v>
      </c>
    </row>
    <row r="435" spans="1:11" x14ac:dyDescent="0.25">
      <c r="C435" s="1">
        <v>19</v>
      </c>
      <c r="D435" s="1">
        <v>2</v>
      </c>
      <c r="E435" s="1">
        <v>10</v>
      </c>
      <c r="F435" s="1">
        <v>18</v>
      </c>
      <c r="G435" s="1">
        <v>842</v>
      </c>
      <c r="H435" s="1">
        <v>907</v>
      </c>
      <c r="I435" s="1">
        <f t="shared" si="2"/>
        <v>65</v>
      </c>
    </row>
    <row r="436" spans="1:11" x14ac:dyDescent="0.25">
      <c r="C436" s="1">
        <v>19</v>
      </c>
      <c r="D436" s="1">
        <v>2</v>
      </c>
      <c r="E436" s="1">
        <v>10</v>
      </c>
      <c r="F436" s="1">
        <v>19</v>
      </c>
      <c r="G436" s="1">
        <v>907</v>
      </c>
      <c r="H436" s="1">
        <v>973</v>
      </c>
      <c r="I436" s="1">
        <f t="shared" si="2"/>
        <v>66</v>
      </c>
    </row>
    <row r="437" spans="1:11" x14ac:dyDescent="0.25">
      <c r="C437" s="1">
        <v>19</v>
      </c>
      <c r="D437" s="1">
        <v>2</v>
      </c>
      <c r="E437" s="1">
        <v>10</v>
      </c>
      <c r="F437" s="1">
        <v>20</v>
      </c>
      <c r="G437" s="1">
        <v>973</v>
      </c>
      <c r="H437" s="1">
        <v>1052</v>
      </c>
      <c r="I437" s="1">
        <f t="shared" si="2"/>
        <v>79</v>
      </c>
    </row>
    <row r="438" spans="1:11" x14ac:dyDescent="0.25">
      <c r="C438" s="1">
        <v>19</v>
      </c>
      <c r="D438" s="1">
        <v>2</v>
      </c>
      <c r="E438" s="1">
        <v>10</v>
      </c>
      <c r="F438" s="1">
        <v>21</v>
      </c>
      <c r="G438" s="1">
        <v>1052</v>
      </c>
      <c r="H438" s="1">
        <v>1115</v>
      </c>
      <c r="I438" s="1">
        <f t="shared" si="2"/>
        <v>63</v>
      </c>
    </row>
    <row r="439" spans="1:11" x14ac:dyDescent="0.25">
      <c r="C439" s="1">
        <v>19</v>
      </c>
      <c r="D439" s="1">
        <v>2</v>
      </c>
      <c r="E439" s="1">
        <v>10</v>
      </c>
      <c r="F439" s="1">
        <v>22</v>
      </c>
      <c r="G439" s="1">
        <v>1115</v>
      </c>
      <c r="H439" s="1">
        <v>1192</v>
      </c>
      <c r="I439" s="1">
        <f t="shared" si="2"/>
        <v>77</v>
      </c>
    </row>
    <row r="440" spans="1:11" x14ac:dyDescent="0.25">
      <c r="C440" s="1">
        <v>19</v>
      </c>
      <c r="D440" s="1">
        <v>2</v>
      </c>
      <c r="E440" s="1">
        <v>10</v>
      </c>
      <c r="F440" s="1">
        <v>23</v>
      </c>
      <c r="G440" s="1">
        <v>1192</v>
      </c>
      <c r="H440" s="1">
        <v>1246</v>
      </c>
      <c r="I440" s="1">
        <f t="shared" si="2"/>
        <v>54</v>
      </c>
    </row>
    <row r="441" spans="1:11" x14ac:dyDescent="0.25">
      <c r="C441" s="1">
        <v>19</v>
      </c>
      <c r="D441" s="1">
        <v>2</v>
      </c>
      <c r="E441" s="1">
        <v>10</v>
      </c>
      <c r="F441" s="1">
        <v>24</v>
      </c>
      <c r="G441" s="1">
        <v>1246</v>
      </c>
      <c r="H441" s="1">
        <v>1299</v>
      </c>
      <c r="I441" s="1">
        <f t="shared" si="2"/>
        <v>53</v>
      </c>
    </row>
    <row r="442" spans="1:11" x14ac:dyDescent="0.25">
      <c r="C442" s="1">
        <v>19</v>
      </c>
      <c r="D442" s="1">
        <v>2</v>
      </c>
      <c r="E442" s="1">
        <v>10</v>
      </c>
      <c r="F442" s="1">
        <v>25</v>
      </c>
      <c r="G442" s="1">
        <v>1299</v>
      </c>
      <c r="H442" s="1">
        <v>1377</v>
      </c>
      <c r="I442" s="1">
        <f t="shared" si="2"/>
        <v>78</v>
      </c>
    </row>
    <row r="443" spans="1:11" x14ac:dyDescent="0.25">
      <c r="A443" s="1">
        <v>1</v>
      </c>
      <c r="B443" s="2">
        <v>43888</v>
      </c>
      <c r="C443" s="1">
        <v>20</v>
      </c>
      <c r="D443" s="1">
        <v>2</v>
      </c>
      <c r="E443" s="1">
        <v>30</v>
      </c>
      <c r="F443" s="1">
        <v>1</v>
      </c>
      <c r="G443" s="1">
        <v>2</v>
      </c>
      <c r="H443" s="1">
        <v>3</v>
      </c>
      <c r="I443" s="1">
        <f t="shared" si="2"/>
        <v>1</v>
      </c>
    </row>
    <row r="444" spans="1:11" x14ac:dyDescent="0.25">
      <c r="C444" s="1">
        <v>20</v>
      </c>
      <c r="D444" s="1">
        <v>2</v>
      </c>
      <c r="E444" s="1">
        <v>30</v>
      </c>
      <c r="F444" s="1">
        <v>2</v>
      </c>
      <c r="G444" s="1">
        <v>3</v>
      </c>
      <c r="H444" s="1">
        <v>37</v>
      </c>
      <c r="I444" s="1">
        <f t="shared" si="2"/>
        <v>34</v>
      </c>
    </row>
    <row r="445" spans="1:11" x14ac:dyDescent="0.25">
      <c r="C445" s="1">
        <v>20</v>
      </c>
      <c r="D445" s="1">
        <v>2</v>
      </c>
      <c r="E445" s="1">
        <v>30</v>
      </c>
      <c r="F445" s="1">
        <v>3</v>
      </c>
      <c r="G445" s="1">
        <v>37</v>
      </c>
      <c r="H445" s="1">
        <v>49</v>
      </c>
      <c r="I445" s="1">
        <f t="shared" si="2"/>
        <v>12</v>
      </c>
    </row>
    <row r="446" spans="1:11" x14ac:dyDescent="0.25">
      <c r="C446" s="1">
        <v>20</v>
      </c>
      <c r="D446" s="1">
        <v>2</v>
      </c>
      <c r="E446" s="1">
        <v>30</v>
      </c>
      <c r="F446" s="1">
        <v>4</v>
      </c>
      <c r="G446" s="1">
        <v>49</v>
      </c>
      <c r="H446" s="1">
        <v>49</v>
      </c>
      <c r="I446" s="1">
        <f t="shared" si="2"/>
        <v>0</v>
      </c>
    </row>
    <row r="447" spans="1:11" x14ac:dyDescent="0.25">
      <c r="C447" s="1">
        <v>20</v>
      </c>
      <c r="D447" s="1">
        <v>2</v>
      </c>
      <c r="E447" s="1">
        <v>10</v>
      </c>
      <c r="F447" s="1">
        <v>5</v>
      </c>
      <c r="G447" s="1">
        <v>49</v>
      </c>
      <c r="H447" s="1">
        <v>80</v>
      </c>
      <c r="I447" s="1">
        <f t="shared" si="2"/>
        <v>31</v>
      </c>
      <c r="J447" s="7">
        <f>(I447+I448+I449+I467+I466+I465+I457+I456+I455)/9</f>
        <v>16.666666666666668</v>
      </c>
      <c r="K447" s="6">
        <f>AVERAGE(I447:I467)</f>
        <v>16.19047619047619</v>
      </c>
    </row>
    <row r="448" spans="1:11" x14ac:dyDescent="0.25">
      <c r="C448" s="1">
        <v>20</v>
      </c>
      <c r="D448" s="1">
        <v>2</v>
      </c>
      <c r="E448" s="1">
        <v>10</v>
      </c>
      <c r="F448" s="1">
        <v>6</v>
      </c>
      <c r="G448" s="1">
        <v>80</v>
      </c>
      <c r="H448" s="1">
        <v>91</v>
      </c>
      <c r="I448" s="1">
        <f t="shared" si="2"/>
        <v>11</v>
      </c>
    </row>
    <row r="449" spans="3:9" x14ac:dyDescent="0.25">
      <c r="C449" s="1">
        <v>20</v>
      </c>
      <c r="D449" s="1">
        <v>2</v>
      </c>
      <c r="E449" s="1">
        <v>10</v>
      </c>
      <c r="F449" s="1">
        <v>7</v>
      </c>
      <c r="G449" s="1">
        <v>91</v>
      </c>
      <c r="H449" s="1">
        <v>95</v>
      </c>
      <c r="I449" s="1">
        <f t="shared" si="2"/>
        <v>4</v>
      </c>
    </row>
    <row r="450" spans="3:9" x14ac:dyDescent="0.25">
      <c r="C450" s="1">
        <v>20</v>
      </c>
      <c r="D450" s="1">
        <v>2</v>
      </c>
      <c r="E450" s="1">
        <v>10</v>
      </c>
      <c r="F450" s="1">
        <v>8</v>
      </c>
      <c r="G450" s="1">
        <v>95</v>
      </c>
      <c r="H450" s="1">
        <v>113</v>
      </c>
      <c r="I450" s="1">
        <f t="shared" si="2"/>
        <v>18</v>
      </c>
    </row>
    <row r="451" spans="3:9" x14ac:dyDescent="0.25">
      <c r="C451" s="1">
        <v>20</v>
      </c>
      <c r="D451" s="1">
        <v>2</v>
      </c>
      <c r="E451" s="1">
        <v>10</v>
      </c>
      <c r="F451" s="1">
        <v>9</v>
      </c>
      <c r="G451" s="1">
        <v>113</v>
      </c>
      <c r="H451" s="1">
        <v>138</v>
      </c>
      <c r="I451" s="1">
        <f t="shared" si="2"/>
        <v>25</v>
      </c>
    </row>
    <row r="452" spans="3:9" x14ac:dyDescent="0.25">
      <c r="C452" s="1">
        <v>20</v>
      </c>
      <c r="D452" s="1">
        <v>2</v>
      </c>
      <c r="E452" s="1">
        <v>10</v>
      </c>
      <c r="F452" s="1">
        <v>10</v>
      </c>
      <c r="G452" s="1">
        <v>138</v>
      </c>
      <c r="H452" s="1">
        <v>177</v>
      </c>
      <c r="I452" s="1">
        <f t="shared" si="2"/>
        <v>39</v>
      </c>
    </row>
    <row r="453" spans="3:9" x14ac:dyDescent="0.25">
      <c r="C453" s="1">
        <v>20</v>
      </c>
      <c r="D453" s="1">
        <v>2</v>
      </c>
      <c r="E453" s="1">
        <v>10</v>
      </c>
      <c r="F453" s="1">
        <v>11</v>
      </c>
      <c r="G453" s="1">
        <v>177</v>
      </c>
      <c r="H453" s="1">
        <v>190</v>
      </c>
      <c r="I453" s="1">
        <f t="shared" si="2"/>
        <v>13</v>
      </c>
    </row>
    <row r="454" spans="3:9" x14ac:dyDescent="0.25">
      <c r="C454" s="1">
        <v>20</v>
      </c>
      <c r="D454" s="1">
        <v>2</v>
      </c>
      <c r="E454" s="1">
        <v>10</v>
      </c>
      <c r="F454" s="1">
        <v>12</v>
      </c>
      <c r="G454" s="1">
        <v>190</v>
      </c>
      <c r="H454" s="1">
        <v>205</v>
      </c>
      <c r="I454" s="1">
        <f t="shared" si="2"/>
        <v>15</v>
      </c>
    </row>
    <row r="455" spans="3:9" x14ac:dyDescent="0.25">
      <c r="C455" s="1">
        <v>20</v>
      </c>
      <c r="D455" s="1">
        <v>2</v>
      </c>
      <c r="E455" s="1">
        <v>10</v>
      </c>
      <c r="F455" s="1">
        <v>13</v>
      </c>
      <c r="G455" s="1">
        <v>205</v>
      </c>
      <c r="H455" s="1">
        <v>211</v>
      </c>
      <c r="I455" s="1">
        <f t="shared" si="2"/>
        <v>6</v>
      </c>
    </row>
    <row r="456" spans="3:9" x14ac:dyDescent="0.25">
      <c r="C456" s="1">
        <v>20</v>
      </c>
      <c r="D456" s="1">
        <v>2</v>
      </c>
      <c r="E456" s="1">
        <v>10</v>
      </c>
      <c r="F456" s="1">
        <v>14</v>
      </c>
      <c r="G456" s="1">
        <v>211</v>
      </c>
      <c r="H456" s="1">
        <v>211</v>
      </c>
      <c r="I456" s="1">
        <f t="shared" si="2"/>
        <v>0</v>
      </c>
    </row>
    <row r="457" spans="3:9" x14ac:dyDescent="0.25">
      <c r="C457" s="1">
        <v>20</v>
      </c>
      <c r="D457" s="1">
        <v>2</v>
      </c>
      <c r="E457" s="1">
        <v>10</v>
      </c>
      <c r="F457" s="1">
        <v>15</v>
      </c>
      <c r="G457" s="1">
        <v>211</v>
      </c>
      <c r="H457" s="1">
        <v>215</v>
      </c>
      <c r="I457" s="1">
        <f t="shared" si="2"/>
        <v>4</v>
      </c>
    </row>
    <row r="458" spans="3:9" x14ac:dyDescent="0.25">
      <c r="C458" s="1">
        <v>20</v>
      </c>
      <c r="D458" s="1">
        <v>2</v>
      </c>
      <c r="E458" s="1">
        <v>10</v>
      </c>
      <c r="F458" s="1">
        <v>16</v>
      </c>
      <c r="G458" s="1">
        <v>215</v>
      </c>
      <c r="H458" s="1">
        <v>215</v>
      </c>
      <c r="I458" s="1">
        <f t="shared" si="2"/>
        <v>0</v>
      </c>
    </row>
    <row r="459" spans="3:9" x14ac:dyDescent="0.25">
      <c r="C459" s="1">
        <v>20</v>
      </c>
      <c r="D459" s="1">
        <v>2</v>
      </c>
      <c r="E459" s="1">
        <v>10</v>
      </c>
      <c r="F459" s="1">
        <v>17</v>
      </c>
      <c r="G459" s="1">
        <v>215</v>
      </c>
      <c r="H459" s="1">
        <v>215</v>
      </c>
      <c r="I459" s="1">
        <f t="shared" si="2"/>
        <v>0</v>
      </c>
    </row>
    <row r="460" spans="3:9" x14ac:dyDescent="0.25">
      <c r="C460" s="1">
        <v>20</v>
      </c>
      <c r="D460" s="1">
        <v>2</v>
      </c>
      <c r="E460" s="1">
        <v>10</v>
      </c>
      <c r="F460" s="1">
        <v>18</v>
      </c>
      <c r="G460" s="1">
        <v>215</v>
      </c>
      <c r="H460" s="1">
        <v>241</v>
      </c>
      <c r="I460" s="1">
        <f t="shared" si="2"/>
        <v>26</v>
      </c>
    </row>
    <row r="461" spans="3:9" x14ac:dyDescent="0.25">
      <c r="C461" s="1">
        <v>20</v>
      </c>
      <c r="D461" s="1">
        <v>2</v>
      </c>
      <c r="E461" s="1">
        <v>10</v>
      </c>
      <c r="F461" s="1">
        <v>19</v>
      </c>
      <c r="G461" s="1">
        <v>241</v>
      </c>
      <c r="H461" s="1">
        <v>263</v>
      </c>
      <c r="I461" s="1">
        <f t="shared" si="2"/>
        <v>22</v>
      </c>
    </row>
    <row r="462" spans="3:9" x14ac:dyDescent="0.25">
      <c r="C462" s="1">
        <v>20</v>
      </c>
      <c r="D462" s="1">
        <v>2</v>
      </c>
      <c r="E462" s="1">
        <v>10</v>
      </c>
      <c r="F462" s="1">
        <v>20</v>
      </c>
      <c r="G462" s="1">
        <v>263</v>
      </c>
      <c r="H462" s="1">
        <v>277</v>
      </c>
      <c r="I462" s="1">
        <f t="shared" si="2"/>
        <v>14</v>
      </c>
    </row>
    <row r="463" spans="3:9" x14ac:dyDescent="0.25">
      <c r="C463" s="1">
        <v>20</v>
      </c>
      <c r="D463" s="1">
        <v>2</v>
      </c>
      <c r="E463" s="1">
        <v>10</v>
      </c>
      <c r="F463" s="1">
        <v>21</v>
      </c>
      <c r="G463" s="1">
        <v>277</v>
      </c>
      <c r="H463" s="1">
        <v>277</v>
      </c>
      <c r="I463" s="1">
        <f t="shared" si="2"/>
        <v>0</v>
      </c>
    </row>
    <row r="464" spans="3:9" x14ac:dyDescent="0.25">
      <c r="C464" s="1">
        <v>20</v>
      </c>
      <c r="D464" s="1">
        <v>2</v>
      </c>
      <c r="E464" s="1">
        <v>10</v>
      </c>
      <c r="F464" s="1">
        <v>22</v>
      </c>
      <c r="G464" s="1">
        <v>280</v>
      </c>
      <c r="H464" s="1">
        <v>298</v>
      </c>
      <c r="I464" s="1">
        <f t="shared" si="2"/>
        <v>18</v>
      </c>
    </row>
    <row r="465" spans="1:11" x14ac:dyDescent="0.25">
      <c r="C465" s="1">
        <v>20</v>
      </c>
      <c r="D465" s="1">
        <v>2</v>
      </c>
      <c r="E465" s="1">
        <v>10</v>
      </c>
      <c r="F465" s="1">
        <v>23</v>
      </c>
      <c r="G465" s="1">
        <v>298</v>
      </c>
      <c r="H465" s="1">
        <v>316</v>
      </c>
      <c r="I465" s="1">
        <f t="shared" si="2"/>
        <v>18</v>
      </c>
    </row>
    <row r="466" spans="1:11" x14ac:dyDescent="0.25">
      <c r="C466" s="1">
        <v>20</v>
      </c>
      <c r="D466" s="1">
        <v>2</v>
      </c>
      <c r="E466" s="1">
        <v>10</v>
      </c>
      <c r="F466" s="1">
        <v>24</v>
      </c>
      <c r="G466" s="1">
        <v>316</v>
      </c>
      <c r="H466" s="1">
        <v>352</v>
      </c>
      <c r="I466" s="1">
        <f t="shared" si="2"/>
        <v>36</v>
      </c>
    </row>
    <row r="467" spans="1:11" x14ac:dyDescent="0.25">
      <c r="C467" s="1">
        <v>20</v>
      </c>
      <c r="D467" s="1">
        <v>2</v>
      </c>
      <c r="E467" s="1">
        <v>10</v>
      </c>
      <c r="F467" s="1">
        <v>25</v>
      </c>
      <c r="G467" s="1">
        <v>352</v>
      </c>
      <c r="H467" s="1">
        <v>392</v>
      </c>
      <c r="I467" s="1">
        <f t="shared" si="2"/>
        <v>40</v>
      </c>
    </row>
    <row r="468" spans="1:11" x14ac:dyDescent="0.25">
      <c r="A468" s="1">
        <v>2</v>
      </c>
      <c r="B468" s="2">
        <v>43893</v>
      </c>
      <c r="C468" s="1">
        <v>13</v>
      </c>
      <c r="D468" s="1">
        <v>1</v>
      </c>
      <c r="E468" s="1">
        <v>30</v>
      </c>
      <c r="F468" s="1">
        <v>1</v>
      </c>
      <c r="G468" s="1">
        <v>2</v>
      </c>
      <c r="H468" s="1">
        <v>2</v>
      </c>
      <c r="I468" s="1">
        <f t="shared" si="2"/>
        <v>0</v>
      </c>
      <c r="J468" s="7">
        <f>(I472+I473+I474+I492+I491+I490+I482+I481+I483)/9</f>
        <v>46.333333333333336</v>
      </c>
      <c r="K468" s="6">
        <f>AVERAGE(I472:I492)</f>
        <v>47.61904761904762</v>
      </c>
    </row>
    <row r="469" spans="1:11" x14ac:dyDescent="0.25">
      <c r="C469" s="1">
        <v>13</v>
      </c>
      <c r="D469" s="1">
        <v>1</v>
      </c>
      <c r="E469" s="1">
        <v>30</v>
      </c>
      <c r="F469" s="1">
        <v>2</v>
      </c>
      <c r="G469" s="1">
        <v>2</v>
      </c>
      <c r="H469" s="1">
        <v>37</v>
      </c>
      <c r="I469" s="1">
        <f t="shared" si="2"/>
        <v>35</v>
      </c>
    </row>
    <row r="470" spans="1:11" x14ac:dyDescent="0.25">
      <c r="C470" s="1">
        <v>13</v>
      </c>
      <c r="D470" s="1">
        <v>1</v>
      </c>
      <c r="E470" s="1">
        <v>30</v>
      </c>
      <c r="F470" s="1">
        <v>3</v>
      </c>
      <c r="G470" s="1">
        <v>41</v>
      </c>
      <c r="H470" s="1">
        <v>90</v>
      </c>
      <c r="I470" s="1">
        <f t="shared" si="2"/>
        <v>49</v>
      </c>
    </row>
    <row r="471" spans="1:11" x14ac:dyDescent="0.25">
      <c r="C471" s="1">
        <v>13</v>
      </c>
      <c r="D471" s="1">
        <v>1</v>
      </c>
      <c r="E471" s="1">
        <v>30</v>
      </c>
      <c r="F471" s="1">
        <v>4</v>
      </c>
      <c r="G471" s="1">
        <v>98</v>
      </c>
      <c r="H471" s="1">
        <v>139</v>
      </c>
      <c r="I471" s="1">
        <f t="shared" si="2"/>
        <v>41</v>
      </c>
    </row>
    <row r="472" spans="1:11" x14ac:dyDescent="0.25">
      <c r="C472" s="1">
        <v>13</v>
      </c>
      <c r="D472" s="1">
        <v>1</v>
      </c>
      <c r="E472" s="1">
        <v>10</v>
      </c>
      <c r="F472" s="1">
        <v>5</v>
      </c>
      <c r="G472" s="1">
        <v>139</v>
      </c>
      <c r="H472" s="1">
        <v>186</v>
      </c>
      <c r="I472" s="11">
        <f t="shared" si="2"/>
        <v>47</v>
      </c>
    </row>
    <row r="473" spans="1:11" x14ac:dyDescent="0.25">
      <c r="C473" s="1">
        <v>13</v>
      </c>
      <c r="D473" s="1">
        <v>1</v>
      </c>
      <c r="E473" s="1">
        <v>10</v>
      </c>
      <c r="F473" s="1">
        <v>6</v>
      </c>
      <c r="G473" s="1">
        <v>186</v>
      </c>
      <c r="H473" s="1">
        <v>238</v>
      </c>
      <c r="I473" s="1">
        <f t="shared" si="2"/>
        <v>52</v>
      </c>
    </row>
    <row r="474" spans="1:11" x14ac:dyDescent="0.25">
      <c r="C474" s="1">
        <v>13</v>
      </c>
      <c r="D474" s="1">
        <v>1</v>
      </c>
      <c r="E474" s="1">
        <v>10</v>
      </c>
      <c r="F474" s="1">
        <v>7</v>
      </c>
      <c r="G474" s="1">
        <v>243</v>
      </c>
      <c r="H474" s="1">
        <v>270</v>
      </c>
      <c r="I474" s="1">
        <f t="shared" si="2"/>
        <v>27</v>
      </c>
    </row>
    <row r="475" spans="1:11" x14ac:dyDescent="0.25">
      <c r="C475" s="1">
        <v>13</v>
      </c>
      <c r="D475" s="1">
        <v>1</v>
      </c>
      <c r="E475" s="1">
        <v>10</v>
      </c>
      <c r="F475" s="1">
        <v>8</v>
      </c>
      <c r="G475" s="1">
        <v>270</v>
      </c>
      <c r="H475" s="1">
        <v>323</v>
      </c>
      <c r="I475" s="1">
        <f t="shared" si="2"/>
        <v>53</v>
      </c>
    </row>
    <row r="476" spans="1:11" x14ac:dyDescent="0.25">
      <c r="C476" s="1">
        <v>13</v>
      </c>
      <c r="D476" s="1">
        <v>1</v>
      </c>
      <c r="E476" s="1">
        <v>10</v>
      </c>
      <c r="F476" s="1">
        <v>9</v>
      </c>
      <c r="G476" s="1">
        <v>323</v>
      </c>
      <c r="H476" s="1">
        <v>372</v>
      </c>
      <c r="I476" s="1">
        <f t="shared" si="2"/>
        <v>49</v>
      </c>
    </row>
    <row r="477" spans="1:11" x14ac:dyDescent="0.25">
      <c r="C477" s="1">
        <v>13</v>
      </c>
      <c r="D477" s="1">
        <v>1</v>
      </c>
      <c r="E477" s="1">
        <v>10</v>
      </c>
      <c r="F477" s="1">
        <v>10</v>
      </c>
      <c r="G477" s="1">
        <v>375</v>
      </c>
      <c r="H477" s="1">
        <v>429</v>
      </c>
      <c r="I477" s="1">
        <f t="shared" si="2"/>
        <v>54</v>
      </c>
    </row>
    <row r="478" spans="1:11" x14ac:dyDescent="0.25">
      <c r="C478" s="1">
        <v>13</v>
      </c>
      <c r="D478" s="1">
        <v>1</v>
      </c>
      <c r="E478" s="1">
        <v>10</v>
      </c>
      <c r="F478" s="1">
        <v>11</v>
      </c>
      <c r="G478" s="1">
        <v>429</v>
      </c>
      <c r="H478" s="1">
        <v>471</v>
      </c>
      <c r="I478" s="1">
        <f t="shared" si="2"/>
        <v>42</v>
      </c>
    </row>
    <row r="479" spans="1:11" x14ac:dyDescent="0.25">
      <c r="C479" s="1">
        <v>13</v>
      </c>
      <c r="D479" s="1">
        <v>1</v>
      </c>
      <c r="E479" s="1">
        <v>10</v>
      </c>
      <c r="F479" s="1">
        <v>12</v>
      </c>
      <c r="G479" s="1">
        <v>473</v>
      </c>
      <c r="H479" s="1">
        <v>525</v>
      </c>
      <c r="I479" s="1">
        <f t="shared" si="2"/>
        <v>52</v>
      </c>
    </row>
    <row r="480" spans="1:11" x14ac:dyDescent="0.25">
      <c r="C480" s="1">
        <v>13</v>
      </c>
      <c r="D480" s="1">
        <v>1</v>
      </c>
      <c r="E480" s="1">
        <v>10</v>
      </c>
      <c r="F480" s="1">
        <v>13</v>
      </c>
      <c r="G480" s="1">
        <v>525</v>
      </c>
      <c r="H480" s="1">
        <v>577</v>
      </c>
      <c r="I480" s="1">
        <f t="shared" si="2"/>
        <v>52</v>
      </c>
    </row>
    <row r="481" spans="1:11" x14ac:dyDescent="0.25">
      <c r="C481" s="1">
        <v>13</v>
      </c>
      <c r="D481" s="1">
        <v>1</v>
      </c>
      <c r="E481" s="1">
        <v>10</v>
      </c>
      <c r="F481" s="1">
        <v>14</v>
      </c>
      <c r="G481" s="1">
        <v>577</v>
      </c>
      <c r="H481" s="1">
        <v>627</v>
      </c>
      <c r="I481" s="1">
        <f t="shared" si="2"/>
        <v>50</v>
      </c>
    </row>
    <row r="482" spans="1:11" x14ac:dyDescent="0.25">
      <c r="C482" s="1">
        <v>13</v>
      </c>
      <c r="D482" s="1">
        <v>1</v>
      </c>
      <c r="E482" s="1">
        <v>10</v>
      </c>
      <c r="F482" s="1">
        <v>15</v>
      </c>
      <c r="G482" s="1">
        <v>627</v>
      </c>
      <c r="H482" s="1">
        <v>679</v>
      </c>
      <c r="I482" s="1">
        <f t="shared" si="2"/>
        <v>52</v>
      </c>
    </row>
    <row r="483" spans="1:11" x14ac:dyDescent="0.25">
      <c r="C483" s="1">
        <v>13</v>
      </c>
      <c r="D483" s="1">
        <v>1</v>
      </c>
      <c r="E483" s="1">
        <v>10</v>
      </c>
      <c r="F483" s="1">
        <v>16</v>
      </c>
      <c r="G483" s="1">
        <v>679</v>
      </c>
      <c r="H483" s="1">
        <v>731</v>
      </c>
      <c r="I483" s="1">
        <f t="shared" si="2"/>
        <v>52</v>
      </c>
    </row>
    <row r="484" spans="1:11" x14ac:dyDescent="0.25">
      <c r="C484" s="1">
        <v>13</v>
      </c>
      <c r="D484" s="1">
        <v>1</v>
      </c>
      <c r="E484" s="1">
        <v>10</v>
      </c>
      <c r="F484" s="1">
        <v>17</v>
      </c>
      <c r="G484" s="1">
        <v>731</v>
      </c>
      <c r="H484" s="1">
        <v>778</v>
      </c>
      <c r="I484" s="1">
        <f t="shared" si="2"/>
        <v>47</v>
      </c>
    </row>
    <row r="485" spans="1:11" x14ac:dyDescent="0.25">
      <c r="C485" s="1">
        <v>13</v>
      </c>
      <c r="D485" s="1">
        <v>1</v>
      </c>
      <c r="E485" s="1">
        <v>10</v>
      </c>
      <c r="F485" s="1">
        <v>18</v>
      </c>
      <c r="G485" s="1">
        <v>778</v>
      </c>
      <c r="H485" s="1">
        <v>817</v>
      </c>
      <c r="I485" s="1">
        <f t="shared" si="2"/>
        <v>39</v>
      </c>
    </row>
    <row r="486" spans="1:11" x14ac:dyDescent="0.25">
      <c r="C486" s="1">
        <v>13</v>
      </c>
      <c r="D486" s="1">
        <v>1</v>
      </c>
      <c r="E486" s="1">
        <v>10</v>
      </c>
      <c r="F486" s="1">
        <v>19</v>
      </c>
      <c r="G486" s="1">
        <v>817</v>
      </c>
      <c r="H486" s="1">
        <v>867</v>
      </c>
      <c r="I486" s="1">
        <f t="shared" si="2"/>
        <v>50</v>
      </c>
    </row>
    <row r="487" spans="1:11" x14ac:dyDescent="0.25">
      <c r="C487" s="1">
        <v>13</v>
      </c>
      <c r="D487" s="1">
        <v>1</v>
      </c>
      <c r="E487" s="1">
        <v>10</v>
      </c>
      <c r="F487" s="1">
        <v>20</v>
      </c>
      <c r="G487" s="1">
        <v>870</v>
      </c>
      <c r="H487" s="1">
        <v>919</v>
      </c>
      <c r="I487" s="1">
        <f t="shared" si="2"/>
        <v>49</v>
      </c>
    </row>
    <row r="488" spans="1:11" x14ac:dyDescent="0.25">
      <c r="C488" s="1">
        <v>13</v>
      </c>
      <c r="D488" s="1">
        <v>1</v>
      </c>
      <c r="E488" s="1">
        <v>10</v>
      </c>
      <c r="F488" s="1">
        <v>21</v>
      </c>
      <c r="G488" s="1">
        <v>924</v>
      </c>
      <c r="H488" s="1">
        <v>971</v>
      </c>
      <c r="I488" s="1">
        <f t="shared" si="2"/>
        <v>47</v>
      </c>
    </row>
    <row r="489" spans="1:11" x14ac:dyDescent="0.25">
      <c r="C489" s="1">
        <v>13</v>
      </c>
      <c r="D489" s="1">
        <v>1</v>
      </c>
      <c r="E489" s="1">
        <v>10</v>
      </c>
      <c r="F489" s="1">
        <v>22</v>
      </c>
      <c r="G489" s="1">
        <v>971</v>
      </c>
      <c r="H489" s="1">
        <v>1020</v>
      </c>
      <c r="I489" s="1">
        <f t="shared" si="2"/>
        <v>49</v>
      </c>
    </row>
    <row r="490" spans="1:11" x14ac:dyDescent="0.25">
      <c r="C490" s="1">
        <v>13</v>
      </c>
      <c r="D490" s="1">
        <v>1</v>
      </c>
      <c r="E490" s="1">
        <v>10</v>
      </c>
      <c r="F490" s="1">
        <v>23</v>
      </c>
      <c r="G490" s="1">
        <v>1020</v>
      </c>
      <c r="H490" s="1">
        <v>1064</v>
      </c>
      <c r="I490" s="1">
        <f t="shared" si="2"/>
        <v>44</v>
      </c>
    </row>
    <row r="491" spans="1:11" x14ac:dyDescent="0.25">
      <c r="C491" s="1">
        <v>13</v>
      </c>
      <c r="D491" s="1">
        <v>1</v>
      </c>
      <c r="E491" s="1">
        <v>10</v>
      </c>
      <c r="F491" s="1">
        <v>24</v>
      </c>
      <c r="G491" s="1">
        <v>1066</v>
      </c>
      <c r="H491" s="1">
        <v>1115</v>
      </c>
      <c r="I491" s="1">
        <f t="shared" si="2"/>
        <v>49</v>
      </c>
    </row>
    <row r="492" spans="1:11" x14ac:dyDescent="0.25">
      <c r="C492" s="1">
        <v>13</v>
      </c>
      <c r="D492" s="1">
        <v>1</v>
      </c>
      <c r="E492" s="1">
        <v>10</v>
      </c>
      <c r="F492" s="1">
        <v>25</v>
      </c>
      <c r="G492" s="1">
        <v>1115</v>
      </c>
      <c r="H492" s="1">
        <v>1159</v>
      </c>
      <c r="I492" s="1">
        <f t="shared" si="2"/>
        <v>44</v>
      </c>
    </row>
    <row r="493" spans="1:11" x14ac:dyDescent="0.25">
      <c r="A493" s="1">
        <v>2</v>
      </c>
      <c r="B493" s="2">
        <v>43893</v>
      </c>
      <c r="C493" s="1">
        <v>14</v>
      </c>
      <c r="D493" s="1">
        <v>2</v>
      </c>
      <c r="E493" s="1">
        <v>30</v>
      </c>
      <c r="F493" s="1">
        <v>1</v>
      </c>
      <c r="G493" s="1">
        <v>5</v>
      </c>
      <c r="H493" s="1">
        <v>5</v>
      </c>
      <c r="I493" s="1">
        <f t="shared" si="2"/>
        <v>0</v>
      </c>
      <c r="J493" s="7">
        <f>(I497+I498+I499+I517+I516+I515+I508+I507+I506)/9</f>
        <v>46.333333333333336</v>
      </c>
      <c r="K493" s="6">
        <f>AVERAGE(I497:I517)</f>
        <v>46.666666666666664</v>
      </c>
    </row>
    <row r="494" spans="1:11" x14ac:dyDescent="0.25">
      <c r="C494" s="1">
        <v>14</v>
      </c>
      <c r="D494" s="1">
        <v>2</v>
      </c>
      <c r="E494" s="1">
        <v>30</v>
      </c>
      <c r="F494" s="1">
        <v>2</v>
      </c>
      <c r="G494" s="1">
        <v>5</v>
      </c>
      <c r="H494" s="1">
        <v>62</v>
      </c>
      <c r="I494" s="1">
        <f t="shared" si="2"/>
        <v>57</v>
      </c>
    </row>
    <row r="495" spans="1:11" x14ac:dyDescent="0.25">
      <c r="C495" s="1">
        <v>14</v>
      </c>
      <c r="D495" s="1">
        <v>2</v>
      </c>
      <c r="E495" s="1">
        <v>30</v>
      </c>
      <c r="F495" s="1">
        <v>3</v>
      </c>
      <c r="G495" s="1">
        <v>62</v>
      </c>
      <c r="H495" s="1">
        <v>114</v>
      </c>
      <c r="I495" s="1">
        <f t="shared" si="2"/>
        <v>52</v>
      </c>
    </row>
    <row r="496" spans="1:11" x14ac:dyDescent="0.25">
      <c r="C496" s="1">
        <v>14</v>
      </c>
      <c r="D496" s="1">
        <v>2</v>
      </c>
      <c r="E496" s="1">
        <v>30</v>
      </c>
      <c r="F496" s="1">
        <v>4</v>
      </c>
      <c r="G496" s="1">
        <v>116</v>
      </c>
      <c r="H496" s="1">
        <v>179</v>
      </c>
      <c r="I496" s="1">
        <f t="shared" si="2"/>
        <v>63</v>
      </c>
    </row>
    <row r="497" spans="3:9" x14ac:dyDescent="0.25">
      <c r="C497" s="1">
        <v>14</v>
      </c>
      <c r="D497" s="1">
        <v>2</v>
      </c>
      <c r="E497" s="1">
        <v>10</v>
      </c>
      <c r="F497" s="1">
        <v>5</v>
      </c>
      <c r="G497" s="1">
        <v>182</v>
      </c>
      <c r="H497" s="1">
        <v>233</v>
      </c>
      <c r="I497" s="11">
        <f t="shared" si="2"/>
        <v>51</v>
      </c>
    </row>
    <row r="498" spans="3:9" x14ac:dyDescent="0.25">
      <c r="C498" s="1">
        <v>14</v>
      </c>
      <c r="D498" s="1">
        <v>2</v>
      </c>
      <c r="E498" s="1">
        <v>10</v>
      </c>
      <c r="F498" s="1">
        <v>6</v>
      </c>
      <c r="G498" s="1">
        <v>233</v>
      </c>
      <c r="H498" s="1">
        <v>283</v>
      </c>
      <c r="I498" s="1">
        <f t="shared" si="2"/>
        <v>50</v>
      </c>
    </row>
    <row r="499" spans="3:9" x14ac:dyDescent="0.25">
      <c r="C499" s="1">
        <v>14</v>
      </c>
      <c r="D499" s="1">
        <v>2</v>
      </c>
      <c r="E499" s="1">
        <v>10</v>
      </c>
      <c r="F499" s="1">
        <v>7</v>
      </c>
      <c r="G499" s="1">
        <v>283</v>
      </c>
      <c r="H499" s="1">
        <v>327</v>
      </c>
      <c r="I499" s="1">
        <f t="shared" si="2"/>
        <v>44</v>
      </c>
    </row>
    <row r="500" spans="3:9" x14ac:dyDescent="0.25">
      <c r="C500" s="1">
        <v>14</v>
      </c>
      <c r="D500" s="1">
        <v>2</v>
      </c>
      <c r="E500" s="1">
        <v>10</v>
      </c>
      <c r="F500" s="1">
        <v>8</v>
      </c>
      <c r="G500" s="1">
        <v>327</v>
      </c>
      <c r="H500" s="1">
        <v>366</v>
      </c>
      <c r="I500" s="1">
        <f t="shared" si="2"/>
        <v>39</v>
      </c>
    </row>
    <row r="501" spans="3:9" x14ac:dyDescent="0.25">
      <c r="C501" s="1">
        <v>14</v>
      </c>
      <c r="D501" s="1">
        <v>2</v>
      </c>
      <c r="E501" s="1">
        <v>10</v>
      </c>
      <c r="F501" s="1">
        <v>9</v>
      </c>
      <c r="G501" s="1">
        <v>366</v>
      </c>
      <c r="H501" s="1">
        <v>411</v>
      </c>
      <c r="I501" s="1">
        <f t="shared" si="2"/>
        <v>45</v>
      </c>
    </row>
    <row r="502" spans="3:9" x14ac:dyDescent="0.25">
      <c r="C502" s="1">
        <v>14</v>
      </c>
      <c r="D502" s="1">
        <v>2</v>
      </c>
      <c r="E502" s="1">
        <v>10</v>
      </c>
      <c r="F502" s="1">
        <v>10</v>
      </c>
      <c r="G502" s="1">
        <v>411</v>
      </c>
      <c r="H502" s="1">
        <v>470</v>
      </c>
      <c r="I502" s="1">
        <f t="shared" si="2"/>
        <v>59</v>
      </c>
    </row>
    <row r="503" spans="3:9" x14ac:dyDescent="0.25">
      <c r="C503" s="1">
        <v>14</v>
      </c>
      <c r="D503" s="1">
        <v>2</v>
      </c>
      <c r="E503" s="1">
        <v>10</v>
      </c>
      <c r="F503" s="1">
        <v>11</v>
      </c>
      <c r="G503" s="1">
        <v>473</v>
      </c>
      <c r="H503" s="1">
        <v>531</v>
      </c>
      <c r="I503" s="1">
        <f t="shared" si="2"/>
        <v>58</v>
      </c>
    </row>
    <row r="504" spans="3:9" x14ac:dyDescent="0.25">
      <c r="C504" s="1">
        <v>14</v>
      </c>
      <c r="D504" s="1">
        <v>2</v>
      </c>
      <c r="E504" s="1">
        <v>10</v>
      </c>
      <c r="F504" s="1">
        <v>12</v>
      </c>
      <c r="G504" s="1">
        <v>531</v>
      </c>
      <c r="H504" s="1">
        <v>560</v>
      </c>
      <c r="I504" s="1">
        <f t="shared" si="2"/>
        <v>29</v>
      </c>
    </row>
    <row r="505" spans="3:9" x14ac:dyDescent="0.25">
      <c r="C505" s="1">
        <v>14</v>
      </c>
      <c r="D505" s="1">
        <v>2</v>
      </c>
      <c r="E505" s="1">
        <v>10</v>
      </c>
      <c r="F505" s="1">
        <v>13</v>
      </c>
      <c r="G505" s="1">
        <v>560</v>
      </c>
      <c r="H505" s="1">
        <v>618</v>
      </c>
      <c r="I505" s="1">
        <f t="shared" si="2"/>
        <v>58</v>
      </c>
    </row>
    <row r="506" spans="3:9" x14ac:dyDescent="0.25">
      <c r="C506" s="1">
        <v>14</v>
      </c>
      <c r="D506" s="1">
        <v>2</v>
      </c>
      <c r="E506" s="1">
        <v>10</v>
      </c>
      <c r="F506" s="1">
        <v>14</v>
      </c>
      <c r="G506" s="1">
        <v>618</v>
      </c>
      <c r="H506" s="1">
        <v>664</v>
      </c>
      <c r="I506" s="1">
        <f t="shared" si="2"/>
        <v>46</v>
      </c>
    </row>
    <row r="507" spans="3:9" x14ac:dyDescent="0.25">
      <c r="C507" s="1">
        <v>14</v>
      </c>
      <c r="D507" s="1">
        <v>2</v>
      </c>
      <c r="E507" s="1">
        <v>10</v>
      </c>
      <c r="F507" s="1">
        <v>15</v>
      </c>
      <c r="G507" s="1">
        <v>666</v>
      </c>
      <c r="H507" s="1">
        <v>722</v>
      </c>
      <c r="I507" s="1">
        <f t="shared" si="2"/>
        <v>56</v>
      </c>
    </row>
    <row r="508" spans="3:9" x14ac:dyDescent="0.25">
      <c r="C508" s="1">
        <v>14</v>
      </c>
      <c r="D508" s="1">
        <v>2</v>
      </c>
      <c r="E508" s="1">
        <v>10</v>
      </c>
      <c r="F508" s="1">
        <v>16</v>
      </c>
      <c r="G508" s="1">
        <v>722</v>
      </c>
      <c r="H508" s="1">
        <v>756</v>
      </c>
      <c r="I508" s="1">
        <f t="shared" si="2"/>
        <v>34</v>
      </c>
    </row>
    <row r="509" spans="3:9" x14ac:dyDescent="0.25">
      <c r="C509" s="1">
        <v>14</v>
      </c>
      <c r="D509" s="1">
        <v>2</v>
      </c>
      <c r="E509" s="1">
        <v>10</v>
      </c>
      <c r="F509" s="1">
        <v>17</v>
      </c>
      <c r="G509" s="1">
        <v>763</v>
      </c>
      <c r="H509" s="1">
        <v>771</v>
      </c>
      <c r="I509" s="1">
        <f t="shared" si="2"/>
        <v>8</v>
      </c>
    </row>
    <row r="510" spans="3:9" x14ac:dyDescent="0.25">
      <c r="C510" s="1">
        <v>14</v>
      </c>
      <c r="D510" s="1">
        <v>2</v>
      </c>
      <c r="E510" s="1">
        <v>10</v>
      </c>
      <c r="F510" s="1">
        <v>18</v>
      </c>
      <c r="G510" s="1">
        <v>771</v>
      </c>
      <c r="H510" s="1">
        <v>826</v>
      </c>
      <c r="I510" s="1">
        <f t="shared" si="2"/>
        <v>55</v>
      </c>
    </row>
    <row r="511" spans="3:9" x14ac:dyDescent="0.25">
      <c r="C511" s="1">
        <v>14</v>
      </c>
      <c r="D511" s="1">
        <v>2</v>
      </c>
      <c r="E511" s="1">
        <v>10</v>
      </c>
      <c r="F511" s="1">
        <v>19</v>
      </c>
      <c r="G511" s="1">
        <v>831</v>
      </c>
      <c r="H511" s="1">
        <v>880</v>
      </c>
      <c r="I511" s="1">
        <f t="shared" si="2"/>
        <v>49</v>
      </c>
    </row>
    <row r="512" spans="3:9" x14ac:dyDescent="0.25">
      <c r="C512" s="1">
        <v>14</v>
      </c>
      <c r="D512" s="1">
        <v>2</v>
      </c>
      <c r="E512" s="1">
        <v>10</v>
      </c>
      <c r="F512" s="1">
        <v>20</v>
      </c>
      <c r="G512" s="1">
        <v>886</v>
      </c>
      <c r="H512" s="1">
        <v>939</v>
      </c>
      <c r="I512" s="1">
        <f t="shared" si="2"/>
        <v>53</v>
      </c>
    </row>
    <row r="513" spans="1:11" x14ac:dyDescent="0.25">
      <c r="C513" s="1">
        <v>14</v>
      </c>
      <c r="D513" s="1">
        <v>2</v>
      </c>
      <c r="E513" s="1">
        <v>10</v>
      </c>
      <c r="F513" s="1">
        <v>21</v>
      </c>
      <c r="G513" s="1">
        <v>941</v>
      </c>
      <c r="H513" s="1">
        <v>988</v>
      </c>
      <c r="I513" s="1">
        <f t="shared" si="2"/>
        <v>47</v>
      </c>
    </row>
    <row r="514" spans="1:11" x14ac:dyDescent="0.25">
      <c r="C514" s="1">
        <v>14</v>
      </c>
      <c r="D514" s="1">
        <v>2</v>
      </c>
      <c r="E514" s="1">
        <v>10</v>
      </c>
      <c r="F514" s="1">
        <v>22</v>
      </c>
      <c r="G514" s="1">
        <v>988</v>
      </c>
      <c r="H514" s="1">
        <v>1051</v>
      </c>
      <c r="I514" s="1">
        <f t="shared" si="2"/>
        <v>63</v>
      </c>
    </row>
    <row r="515" spans="1:11" x14ac:dyDescent="0.25">
      <c r="C515" s="1">
        <v>14</v>
      </c>
      <c r="D515" s="1">
        <v>2</v>
      </c>
      <c r="E515" s="1">
        <v>10</v>
      </c>
      <c r="F515" s="1">
        <v>23</v>
      </c>
      <c r="G515" s="1">
        <v>1057</v>
      </c>
      <c r="H515" s="1">
        <v>1105</v>
      </c>
      <c r="I515" s="1">
        <f t="shared" si="2"/>
        <v>48</v>
      </c>
    </row>
    <row r="516" spans="1:11" x14ac:dyDescent="0.25">
      <c r="C516" s="1">
        <v>14</v>
      </c>
      <c r="D516" s="1">
        <v>2</v>
      </c>
      <c r="E516" s="1">
        <v>10</v>
      </c>
      <c r="F516" s="1">
        <v>24</v>
      </c>
      <c r="G516" s="1">
        <v>1105</v>
      </c>
      <c r="H516" s="1">
        <v>1152</v>
      </c>
      <c r="I516" s="1">
        <f t="shared" si="2"/>
        <v>47</v>
      </c>
    </row>
    <row r="517" spans="1:11" x14ac:dyDescent="0.25">
      <c r="C517" s="1">
        <v>14</v>
      </c>
      <c r="D517" s="1">
        <v>2</v>
      </c>
      <c r="E517" s="1">
        <v>10</v>
      </c>
      <c r="F517" s="1">
        <v>25</v>
      </c>
      <c r="G517" s="1">
        <v>1152</v>
      </c>
      <c r="H517" s="1">
        <v>1193</v>
      </c>
      <c r="I517" s="1">
        <f t="shared" si="2"/>
        <v>41</v>
      </c>
    </row>
    <row r="518" spans="1:11" x14ac:dyDescent="0.25">
      <c r="A518" s="1">
        <v>2</v>
      </c>
      <c r="B518" s="2">
        <v>43893</v>
      </c>
      <c r="C518" s="1">
        <v>15</v>
      </c>
      <c r="D518" s="1">
        <v>1</v>
      </c>
      <c r="E518" s="1">
        <v>30</v>
      </c>
      <c r="F518" s="1">
        <v>1</v>
      </c>
      <c r="G518" s="1">
        <v>10</v>
      </c>
      <c r="H518" s="1">
        <v>60</v>
      </c>
      <c r="I518" s="1">
        <f t="shared" si="2"/>
        <v>50</v>
      </c>
      <c r="J518" s="7">
        <f>(I522+I523+I524+I542+I541+I540+I531+I532+I533)/9</f>
        <v>46.222222222222221</v>
      </c>
      <c r="K518" s="6">
        <f>AVERAGE(I522:I542)</f>
        <v>47.761904761904759</v>
      </c>
    </row>
    <row r="519" spans="1:11" x14ac:dyDescent="0.25">
      <c r="C519" s="1">
        <v>15</v>
      </c>
      <c r="D519" s="1">
        <v>1</v>
      </c>
      <c r="E519" s="1">
        <v>30</v>
      </c>
      <c r="F519" s="1">
        <v>2</v>
      </c>
      <c r="G519" s="1">
        <v>65</v>
      </c>
      <c r="H519" s="1">
        <v>115</v>
      </c>
      <c r="I519" s="1">
        <f t="shared" si="2"/>
        <v>50</v>
      </c>
    </row>
    <row r="520" spans="1:11" x14ac:dyDescent="0.25">
      <c r="C520" s="1">
        <v>15</v>
      </c>
      <c r="D520" s="1">
        <v>1</v>
      </c>
      <c r="E520" s="1">
        <v>30</v>
      </c>
      <c r="F520" s="1">
        <v>3</v>
      </c>
      <c r="G520" s="1">
        <v>121</v>
      </c>
      <c r="H520" s="1">
        <v>155</v>
      </c>
      <c r="I520" s="1">
        <f t="shared" si="2"/>
        <v>34</v>
      </c>
    </row>
    <row r="521" spans="1:11" x14ac:dyDescent="0.25">
      <c r="C521" s="1">
        <v>15</v>
      </c>
      <c r="D521" s="1">
        <v>1</v>
      </c>
      <c r="E521" s="1">
        <v>30</v>
      </c>
      <c r="F521" s="1">
        <v>4</v>
      </c>
      <c r="G521" s="1">
        <v>155</v>
      </c>
      <c r="H521" s="1">
        <v>177</v>
      </c>
      <c r="I521" s="1">
        <f t="shared" si="2"/>
        <v>22</v>
      </c>
    </row>
    <row r="522" spans="1:11" x14ac:dyDescent="0.25">
      <c r="C522" s="1">
        <v>15</v>
      </c>
      <c r="D522" s="1">
        <v>1</v>
      </c>
      <c r="E522" s="1">
        <v>10</v>
      </c>
      <c r="F522" s="1">
        <v>5</v>
      </c>
      <c r="G522" s="1">
        <v>177</v>
      </c>
      <c r="H522" s="1">
        <v>193</v>
      </c>
      <c r="I522" s="11">
        <f t="shared" si="2"/>
        <v>16</v>
      </c>
    </row>
    <row r="523" spans="1:11" x14ac:dyDescent="0.25">
      <c r="C523" s="1">
        <v>15</v>
      </c>
      <c r="D523" s="1">
        <v>1</v>
      </c>
      <c r="E523" s="1">
        <v>10</v>
      </c>
      <c r="F523" s="1">
        <v>6</v>
      </c>
      <c r="G523" s="1">
        <v>193</v>
      </c>
      <c r="H523" s="1">
        <v>236</v>
      </c>
      <c r="I523" s="1">
        <f t="shared" si="2"/>
        <v>43</v>
      </c>
    </row>
    <row r="524" spans="1:11" x14ac:dyDescent="0.25">
      <c r="C524" s="1">
        <v>15</v>
      </c>
      <c r="D524" s="1">
        <v>1</v>
      </c>
      <c r="E524" s="1">
        <v>10</v>
      </c>
      <c r="F524" s="1">
        <v>7</v>
      </c>
      <c r="G524" s="1">
        <v>236</v>
      </c>
      <c r="H524" s="1">
        <v>273</v>
      </c>
      <c r="I524" s="1">
        <f t="shared" si="2"/>
        <v>37</v>
      </c>
    </row>
    <row r="525" spans="1:11" x14ac:dyDescent="0.25">
      <c r="C525" s="1">
        <v>15</v>
      </c>
      <c r="D525" s="1">
        <v>1</v>
      </c>
      <c r="E525" s="1">
        <v>10</v>
      </c>
      <c r="F525" s="1">
        <v>8</v>
      </c>
      <c r="G525" s="1">
        <v>237</v>
      </c>
      <c r="H525" s="1">
        <v>322</v>
      </c>
      <c r="I525" s="1">
        <f t="shared" si="2"/>
        <v>85</v>
      </c>
    </row>
    <row r="526" spans="1:11" x14ac:dyDescent="0.25">
      <c r="C526" s="1">
        <v>15</v>
      </c>
      <c r="D526" s="1">
        <v>1</v>
      </c>
      <c r="E526" s="1">
        <v>10</v>
      </c>
      <c r="F526" s="1">
        <v>9</v>
      </c>
      <c r="G526" s="1">
        <v>322</v>
      </c>
      <c r="H526" s="1">
        <v>362</v>
      </c>
      <c r="I526" s="1">
        <f t="shared" si="2"/>
        <v>40</v>
      </c>
    </row>
    <row r="527" spans="1:11" x14ac:dyDescent="0.25">
      <c r="C527" s="1">
        <v>15</v>
      </c>
      <c r="D527" s="1">
        <v>1</v>
      </c>
      <c r="E527" s="1">
        <v>10</v>
      </c>
      <c r="F527" s="1">
        <v>10</v>
      </c>
      <c r="G527" s="1">
        <v>362</v>
      </c>
      <c r="H527" s="1">
        <v>383</v>
      </c>
      <c r="I527" s="1">
        <f t="shared" si="2"/>
        <v>21</v>
      </c>
    </row>
    <row r="528" spans="1:11" x14ac:dyDescent="0.25">
      <c r="C528" s="1">
        <v>15</v>
      </c>
      <c r="D528" s="1">
        <v>1</v>
      </c>
      <c r="E528" s="1">
        <v>10</v>
      </c>
      <c r="F528" s="1">
        <v>11</v>
      </c>
      <c r="G528" s="1">
        <v>388</v>
      </c>
      <c r="H528" s="1">
        <v>416</v>
      </c>
      <c r="I528" s="1">
        <f t="shared" si="2"/>
        <v>28</v>
      </c>
    </row>
    <row r="529" spans="1:11" x14ac:dyDescent="0.25">
      <c r="C529" s="1">
        <v>15</v>
      </c>
      <c r="D529" s="1">
        <v>1</v>
      </c>
      <c r="E529" s="1">
        <v>10</v>
      </c>
      <c r="F529" s="1">
        <v>12</v>
      </c>
      <c r="G529" s="1">
        <v>416</v>
      </c>
      <c r="H529" s="1">
        <v>464</v>
      </c>
      <c r="I529" s="1">
        <f t="shared" si="2"/>
        <v>48</v>
      </c>
    </row>
    <row r="530" spans="1:11" x14ac:dyDescent="0.25">
      <c r="C530" s="1">
        <v>15</v>
      </c>
      <c r="D530" s="1">
        <v>1</v>
      </c>
      <c r="E530" s="1">
        <v>10</v>
      </c>
      <c r="F530" s="1">
        <v>13</v>
      </c>
      <c r="G530" s="1">
        <v>464</v>
      </c>
      <c r="H530" s="1">
        <v>512</v>
      </c>
      <c r="I530" s="1">
        <f t="shared" si="2"/>
        <v>48</v>
      </c>
    </row>
    <row r="531" spans="1:11" x14ac:dyDescent="0.25">
      <c r="C531" s="1">
        <v>15</v>
      </c>
      <c r="D531" s="1">
        <v>1</v>
      </c>
      <c r="E531" s="1">
        <v>10</v>
      </c>
      <c r="F531" s="1">
        <v>14</v>
      </c>
      <c r="G531" s="1">
        <v>512</v>
      </c>
      <c r="H531" s="1">
        <v>565</v>
      </c>
      <c r="I531" s="1">
        <f t="shared" si="2"/>
        <v>53</v>
      </c>
    </row>
    <row r="532" spans="1:11" x14ac:dyDescent="0.25">
      <c r="C532" s="1">
        <v>15</v>
      </c>
      <c r="D532" s="1">
        <v>1</v>
      </c>
      <c r="E532" s="1">
        <v>10</v>
      </c>
      <c r="F532" s="1">
        <v>15</v>
      </c>
      <c r="G532" s="1">
        <v>565</v>
      </c>
      <c r="H532" s="1">
        <v>595</v>
      </c>
      <c r="I532" s="1">
        <f t="shared" si="2"/>
        <v>30</v>
      </c>
    </row>
    <row r="533" spans="1:11" x14ac:dyDescent="0.25">
      <c r="C533" s="1">
        <v>15</v>
      </c>
      <c r="D533" s="1">
        <v>1</v>
      </c>
      <c r="E533" s="1">
        <v>10</v>
      </c>
      <c r="F533" s="1">
        <v>16</v>
      </c>
      <c r="G533" s="1">
        <v>595</v>
      </c>
      <c r="H533" s="1">
        <v>648</v>
      </c>
      <c r="I533" s="1">
        <f t="shared" si="2"/>
        <v>53</v>
      </c>
    </row>
    <row r="534" spans="1:11" x14ac:dyDescent="0.25">
      <c r="C534" s="1">
        <v>15</v>
      </c>
      <c r="D534" s="1">
        <v>1</v>
      </c>
      <c r="E534" s="1">
        <v>10</v>
      </c>
      <c r="F534" s="1">
        <v>17</v>
      </c>
      <c r="G534" s="1">
        <v>648</v>
      </c>
      <c r="H534" s="1">
        <v>705</v>
      </c>
      <c r="I534" s="1">
        <f t="shared" si="2"/>
        <v>57</v>
      </c>
    </row>
    <row r="535" spans="1:11" x14ac:dyDescent="0.25">
      <c r="C535" s="1">
        <v>15</v>
      </c>
      <c r="D535" s="1">
        <v>1</v>
      </c>
      <c r="E535" s="1">
        <v>10</v>
      </c>
      <c r="F535" s="1">
        <v>18</v>
      </c>
      <c r="G535" s="1">
        <v>705</v>
      </c>
      <c r="H535" s="1">
        <v>755</v>
      </c>
      <c r="I535" s="1">
        <f t="shared" si="2"/>
        <v>50</v>
      </c>
    </row>
    <row r="536" spans="1:11" x14ac:dyDescent="0.25">
      <c r="C536" s="1">
        <v>15</v>
      </c>
      <c r="D536" s="1">
        <v>1</v>
      </c>
      <c r="E536" s="1">
        <v>10</v>
      </c>
      <c r="F536" s="1">
        <v>19</v>
      </c>
      <c r="G536" s="1">
        <v>755</v>
      </c>
      <c r="H536" s="1">
        <v>816</v>
      </c>
      <c r="I536" s="1">
        <f t="shared" si="2"/>
        <v>61</v>
      </c>
    </row>
    <row r="537" spans="1:11" x14ac:dyDescent="0.25">
      <c r="C537" s="1">
        <v>15</v>
      </c>
      <c r="D537" s="1">
        <v>1</v>
      </c>
      <c r="E537" s="1">
        <v>10</v>
      </c>
      <c r="F537" s="1">
        <v>20</v>
      </c>
      <c r="G537" s="1">
        <v>816</v>
      </c>
      <c r="H537" s="1">
        <v>865</v>
      </c>
      <c r="I537" s="1">
        <f t="shared" si="2"/>
        <v>49</v>
      </c>
    </row>
    <row r="538" spans="1:11" x14ac:dyDescent="0.25">
      <c r="C538" s="1">
        <v>15</v>
      </c>
      <c r="D538" s="1">
        <v>1</v>
      </c>
      <c r="E538" s="1">
        <v>10</v>
      </c>
      <c r="F538" s="1">
        <v>21</v>
      </c>
      <c r="G538" s="1">
        <v>867</v>
      </c>
      <c r="H538" s="1">
        <v>911</v>
      </c>
      <c r="I538" s="1">
        <f t="shared" si="2"/>
        <v>44</v>
      </c>
    </row>
    <row r="539" spans="1:11" x14ac:dyDescent="0.25">
      <c r="C539" s="1">
        <v>15</v>
      </c>
      <c r="D539" s="1">
        <v>1</v>
      </c>
      <c r="E539" s="1">
        <v>10</v>
      </c>
      <c r="F539" s="1">
        <v>22</v>
      </c>
      <c r="G539" s="1">
        <v>911</v>
      </c>
      <c r="H539" s="1">
        <v>967</v>
      </c>
      <c r="I539" s="1">
        <f t="shared" si="2"/>
        <v>56</v>
      </c>
    </row>
    <row r="540" spans="1:11" x14ac:dyDescent="0.25">
      <c r="C540" s="1">
        <v>15</v>
      </c>
      <c r="D540" s="1">
        <v>1</v>
      </c>
      <c r="E540" s="1">
        <v>10</v>
      </c>
      <c r="F540" s="1">
        <v>23</v>
      </c>
      <c r="G540" s="1">
        <v>967</v>
      </c>
      <c r="H540" s="1">
        <v>1024</v>
      </c>
      <c r="I540" s="1">
        <f t="shared" si="2"/>
        <v>57</v>
      </c>
    </row>
    <row r="541" spans="1:11" x14ac:dyDescent="0.25">
      <c r="C541" s="1">
        <v>15</v>
      </c>
      <c r="D541" s="1">
        <v>1</v>
      </c>
      <c r="E541" s="1">
        <v>10</v>
      </c>
      <c r="F541" s="1">
        <v>24</v>
      </c>
      <c r="G541" s="1">
        <v>1024</v>
      </c>
      <c r="H541" s="1">
        <v>1091</v>
      </c>
      <c r="I541" s="1">
        <f t="shared" si="2"/>
        <v>67</v>
      </c>
    </row>
    <row r="542" spans="1:11" x14ac:dyDescent="0.25">
      <c r="C542" s="1">
        <v>15</v>
      </c>
      <c r="D542" s="1">
        <v>1</v>
      </c>
      <c r="E542" s="1">
        <v>10</v>
      </c>
      <c r="F542" s="1">
        <v>25</v>
      </c>
      <c r="G542" s="1">
        <v>1091</v>
      </c>
      <c r="H542" s="1">
        <v>1151</v>
      </c>
      <c r="I542" s="1">
        <f t="shared" si="2"/>
        <v>60</v>
      </c>
    </row>
    <row r="543" spans="1:11" x14ac:dyDescent="0.25">
      <c r="A543" s="1">
        <v>2</v>
      </c>
      <c r="B543" s="2">
        <v>43893</v>
      </c>
      <c r="C543" s="1">
        <v>16</v>
      </c>
      <c r="D543" s="1">
        <v>2</v>
      </c>
      <c r="E543" s="1">
        <v>30</v>
      </c>
      <c r="F543" s="1">
        <v>1</v>
      </c>
      <c r="G543" s="1">
        <v>18</v>
      </c>
      <c r="H543" s="1">
        <v>43</v>
      </c>
      <c r="I543" s="1">
        <f t="shared" si="2"/>
        <v>25</v>
      </c>
      <c r="J543" s="7">
        <f>(I547+I548+I549+I556+I555+I554+I552+I551+I550)/9</f>
        <v>22.222222222222221</v>
      </c>
      <c r="K543" s="6">
        <f>AVERAGE(I547:I556)</f>
        <v>20</v>
      </c>
    </row>
    <row r="544" spans="1:11" x14ac:dyDescent="0.25">
      <c r="C544" s="1">
        <v>16</v>
      </c>
      <c r="D544" s="1">
        <v>2</v>
      </c>
      <c r="E544" s="1">
        <v>30</v>
      </c>
      <c r="F544" s="1">
        <v>2</v>
      </c>
      <c r="G544" s="1">
        <v>43</v>
      </c>
      <c r="H544" s="1">
        <v>72</v>
      </c>
      <c r="I544" s="1">
        <f t="shared" si="2"/>
        <v>29</v>
      </c>
    </row>
    <row r="545" spans="1:11" x14ac:dyDescent="0.25">
      <c r="C545" s="1">
        <v>16</v>
      </c>
      <c r="D545" s="1">
        <v>2</v>
      </c>
      <c r="E545" s="1">
        <v>30</v>
      </c>
      <c r="F545" s="1">
        <v>3</v>
      </c>
      <c r="G545" s="1">
        <v>72</v>
      </c>
      <c r="H545" s="1">
        <v>106</v>
      </c>
      <c r="I545" s="1">
        <f t="shared" si="2"/>
        <v>34</v>
      </c>
    </row>
    <row r="546" spans="1:11" x14ac:dyDescent="0.25">
      <c r="C546" s="1">
        <v>16</v>
      </c>
      <c r="D546" s="1">
        <v>2</v>
      </c>
      <c r="E546" s="1">
        <v>30</v>
      </c>
      <c r="F546" s="1">
        <v>4</v>
      </c>
      <c r="G546" s="1">
        <v>107</v>
      </c>
      <c r="H546" s="1">
        <v>141</v>
      </c>
      <c r="I546" s="1">
        <f t="shared" si="2"/>
        <v>34</v>
      </c>
    </row>
    <row r="547" spans="1:11" x14ac:dyDescent="0.25">
      <c r="C547" s="1">
        <v>16</v>
      </c>
      <c r="D547" s="1">
        <v>2</v>
      </c>
      <c r="E547" s="1">
        <v>10</v>
      </c>
      <c r="F547" s="1">
        <v>5</v>
      </c>
      <c r="G547" s="1">
        <v>141</v>
      </c>
      <c r="H547" s="1">
        <v>189</v>
      </c>
      <c r="I547" s="11">
        <f t="shared" si="2"/>
        <v>48</v>
      </c>
    </row>
    <row r="548" spans="1:11" x14ac:dyDescent="0.25">
      <c r="C548" s="1">
        <v>16</v>
      </c>
      <c r="D548" s="1">
        <v>2</v>
      </c>
      <c r="E548" s="1">
        <v>10</v>
      </c>
      <c r="F548" s="1">
        <v>6</v>
      </c>
      <c r="G548" s="1">
        <v>192</v>
      </c>
      <c r="H548" s="1">
        <v>213</v>
      </c>
      <c r="I548" s="1">
        <f t="shared" si="2"/>
        <v>21</v>
      </c>
    </row>
    <row r="549" spans="1:11" x14ac:dyDescent="0.25">
      <c r="C549" s="1">
        <v>16</v>
      </c>
      <c r="D549" s="1">
        <v>2</v>
      </c>
      <c r="E549" s="1">
        <v>10</v>
      </c>
      <c r="F549" s="1">
        <v>7</v>
      </c>
      <c r="G549" s="1">
        <v>213</v>
      </c>
      <c r="H549" s="1">
        <v>251</v>
      </c>
      <c r="I549" s="1">
        <f t="shared" si="2"/>
        <v>38</v>
      </c>
    </row>
    <row r="550" spans="1:11" x14ac:dyDescent="0.25">
      <c r="C550" s="1">
        <v>16</v>
      </c>
      <c r="D550" s="1">
        <v>2</v>
      </c>
      <c r="E550" s="1">
        <v>10</v>
      </c>
      <c r="F550" s="1">
        <v>8</v>
      </c>
      <c r="G550" s="1">
        <v>251</v>
      </c>
      <c r="H550" s="1">
        <v>265</v>
      </c>
      <c r="I550" s="1">
        <f t="shared" si="2"/>
        <v>14</v>
      </c>
    </row>
    <row r="551" spans="1:11" x14ac:dyDescent="0.25">
      <c r="C551" s="1">
        <v>16</v>
      </c>
      <c r="D551" s="1">
        <v>2</v>
      </c>
      <c r="E551" s="1">
        <v>10</v>
      </c>
      <c r="F551" s="1">
        <v>9</v>
      </c>
      <c r="G551" s="1">
        <v>266</v>
      </c>
      <c r="H551" s="1">
        <v>303</v>
      </c>
      <c r="I551" s="1">
        <f t="shared" si="2"/>
        <v>37</v>
      </c>
    </row>
    <row r="552" spans="1:11" x14ac:dyDescent="0.25">
      <c r="C552" s="1">
        <v>16</v>
      </c>
      <c r="D552" s="1">
        <v>2</v>
      </c>
      <c r="E552" s="1">
        <v>10</v>
      </c>
      <c r="F552" s="1">
        <v>10</v>
      </c>
      <c r="G552" s="1">
        <v>304</v>
      </c>
      <c r="H552" s="1">
        <v>341</v>
      </c>
      <c r="I552" s="1">
        <f t="shared" si="2"/>
        <v>37</v>
      </c>
    </row>
    <row r="553" spans="1:11" x14ac:dyDescent="0.25">
      <c r="C553" s="1">
        <v>16</v>
      </c>
      <c r="D553" s="1">
        <v>2</v>
      </c>
      <c r="E553" s="1">
        <v>10</v>
      </c>
      <c r="F553" s="1">
        <v>11</v>
      </c>
      <c r="G553" s="1">
        <v>341</v>
      </c>
      <c r="H553" s="1">
        <v>341</v>
      </c>
      <c r="I553" s="1">
        <f t="shared" si="2"/>
        <v>0</v>
      </c>
    </row>
    <row r="554" spans="1:11" x14ac:dyDescent="0.25">
      <c r="C554" s="1">
        <v>16</v>
      </c>
      <c r="D554" s="1">
        <v>2</v>
      </c>
      <c r="E554" s="1">
        <v>10</v>
      </c>
      <c r="F554" s="1">
        <v>12</v>
      </c>
      <c r="G554" s="1">
        <v>341</v>
      </c>
      <c r="H554" s="1">
        <v>341</v>
      </c>
      <c r="I554" s="1">
        <f t="shared" si="2"/>
        <v>0</v>
      </c>
    </row>
    <row r="555" spans="1:11" x14ac:dyDescent="0.25">
      <c r="C555" s="1">
        <v>16</v>
      </c>
      <c r="D555" s="1">
        <v>2</v>
      </c>
      <c r="E555" s="1">
        <v>10</v>
      </c>
      <c r="F555" s="1">
        <v>13</v>
      </c>
      <c r="G555" s="1">
        <v>341</v>
      </c>
      <c r="H555" s="1">
        <v>341</v>
      </c>
      <c r="I555" s="1">
        <f t="shared" ref="I555:I799" si="3">H555-G555</f>
        <v>0</v>
      </c>
    </row>
    <row r="556" spans="1:11" x14ac:dyDescent="0.25">
      <c r="C556" s="1">
        <v>16</v>
      </c>
      <c r="D556" s="1">
        <v>2</v>
      </c>
      <c r="E556" s="1">
        <v>10</v>
      </c>
      <c r="F556" s="1">
        <v>14</v>
      </c>
      <c r="G556" s="1">
        <v>341</v>
      </c>
      <c r="H556" s="1">
        <v>346</v>
      </c>
      <c r="I556" s="1">
        <f t="shared" si="3"/>
        <v>5</v>
      </c>
    </row>
    <row r="557" spans="1:11" x14ac:dyDescent="0.25">
      <c r="A557" s="1">
        <v>2</v>
      </c>
      <c r="B557" s="2">
        <v>43893</v>
      </c>
      <c r="C557" s="1">
        <v>17</v>
      </c>
      <c r="D557" s="1">
        <v>1</v>
      </c>
      <c r="E557" s="1">
        <v>30</v>
      </c>
      <c r="F557" s="1">
        <v>1</v>
      </c>
      <c r="G557" s="1">
        <v>5</v>
      </c>
      <c r="H557" s="1">
        <v>56</v>
      </c>
      <c r="I557" s="1">
        <f t="shared" si="3"/>
        <v>51</v>
      </c>
      <c r="J557" s="7">
        <f>(I561+I562+I563+I572+I571+I570+I566+I567+I568)/9</f>
        <v>30.888888888888889</v>
      </c>
      <c r="K557" s="6">
        <f>AVERAGE(I561:I572)</f>
        <v>27.583333333333332</v>
      </c>
    </row>
    <row r="558" spans="1:11" x14ac:dyDescent="0.25">
      <c r="C558" s="1">
        <v>17</v>
      </c>
      <c r="D558" s="1">
        <v>1</v>
      </c>
      <c r="E558" s="1">
        <v>30</v>
      </c>
      <c r="F558" s="1">
        <v>2</v>
      </c>
      <c r="G558" s="1">
        <v>56</v>
      </c>
      <c r="H558" s="1">
        <v>115</v>
      </c>
      <c r="I558" s="1">
        <f t="shared" si="3"/>
        <v>59</v>
      </c>
    </row>
    <row r="559" spans="1:11" x14ac:dyDescent="0.25">
      <c r="C559" s="1">
        <v>17</v>
      </c>
      <c r="D559" s="1">
        <v>1</v>
      </c>
      <c r="E559" s="1">
        <v>30</v>
      </c>
      <c r="F559" s="1">
        <v>3</v>
      </c>
      <c r="G559" s="1">
        <v>118</v>
      </c>
      <c r="H559" s="1">
        <v>179</v>
      </c>
      <c r="I559" s="1">
        <f t="shared" si="3"/>
        <v>61</v>
      </c>
    </row>
    <row r="560" spans="1:11" x14ac:dyDescent="0.25">
      <c r="C560" s="1">
        <v>17</v>
      </c>
      <c r="D560" s="1">
        <v>1</v>
      </c>
      <c r="E560" s="1">
        <v>30</v>
      </c>
      <c r="F560" s="1">
        <v>4</v>
      </c>
      <c r="G560" s="1">
        <v>195</v>
      </c>
      <c r="H560" s="1">
        <v>249</v>
      </c>
      <c r="I560" s="1">
        <f t="shared" si="3"/>
        <v>54</v>
      </c>
    </row>
    <row r="561" spans="1:11" x14ac:dyDescent="0.25">
      <c r="C561" s="1">
        <v>17</v>
      </c>
      <c r="D561" s="1">
        <v>1</v>
      </c>
      <c r="E561" s="1">
        <v>10</v>
      </c>
      <c r="F561" s="1">
        <v>5</v>
      </c>
      <c r="G561" s="1">
        <v>251</v>
      </c>
      <c r="H561" s="1">
        <v>290</v>
      </c>
      <c r="I561" s="11">
        <f t="shared" si="3"/>
        <v>39</v>
      </c>
    </row>
    <row r="562" spans="1:11" x14ac:dyDescent="0.25">
      <c r="C562" s="1">
        <v>17</v>
      </c>
      <c r="D562" s="1">
        <v>1</v>
      </c>
      <c r="E562" s="1">
        <v>10</v>
      </c>
      <c r="F562" s="1">
        <v>6</v>
      </c>
      <c r="G562" s="1">
        <v>295</v>
      </c>
      <c r="H562" s="1">
        <v>329</v>
      </c>
      <c r="I562" s="1">
        <f t="shared" si="3"/>
        <v>34</v>
      </c>
    </row>
    <row r="563" spans="1:11" x14ac:dyDescent="0.25">
      <c r="C563" s="1">
        <v>17</v>
      </c>
      <c r="D563" s="1">
        <v>1</v>
      </c>
      <c r="E563" s="1">
        <v>10</v>
      </c>
      <c r="F563" s="1">
        <v>7</v>
      </c>
      <c r="G563" s="1">
        <v>329</v>
      </c>
      <c r="H563" s="1">
        <v>345</v>
      </c>
      <c r="I563" s="1">
        <f t="shared" si="3"/>
        <v>16</v>
      </c>
    </row>
    <row r="564" spans="1:11" x14ac:dyDescent="0.25">
      <c r="C564" s="1">
        <v>17</v>
      </c>
      <c r="D564" s="1">
        <v>1</v>
      </c>
      <c r="E564" s="1">
        <v>10</v>
      </c>
      <c r="F564" s="1">
        <v>8</v>
      </c>
      <c r="G564" s="1">
        <v>346</v>
      </c>
      <c r="H564" s="1">
        <v>357</v>
      </c>
      <c r="I564" s="1">
        <f t="shared" si="3"/>
        <v>11</v>
      </c>
    </row>
    <row r="565" spans="1:11" x14ac:dyDescent="0.25">
      <c r="C565" s="1">
        <v>17</v>
      </c>
      <c r="D565" s="1">
        <v>1</v>
      </c>
      <c r="E565" s="1">
        <v>10</v>
      </c>
      <c r="F565" s="1">
        <v>9</v>
      </c>
      <c r="G565" s="1">
        <v>357</v>
      </c>
      <c r="H565" s="1">
        <v>361</v>
      </c>
      <c r="I565" s="1">
        <f t="shared" si="3"/>
        <v>4</v>
      </c>
    </row>
    <row r="566" spans="1:11" x14ac:dyDescent="0.25">
      <c r="C566" s="1">
        <v>17</v>
      </c>
      <c r="D566" s="1">
        <v>1</v>
      </c>
      <c r="E566" s="1">
        <v>10</v>
      </c>
      <c r="F566" s="1">
        <v>10</v>
      </c>
      <c r="G566" s="1">
        <v>361</v>
      </c>
      <c r="H566" s="1">
        <v>361</v>
      </c>
      <c r="I566" s="1">
        <f t="shared" si="3"/>
        <v>0</v>
      </c>
    </row>
    <row r="567" spans="1:11" x14ac:dyDescent="0.25">
      <c r="C567" s="1">
        <v>17</v>
      </c>
      <c r="D567" s="1">
        <v>1</v>
      </c>
      <c r="E567" s="1">
        <v>10</v>
      </c>
      <c r="F567" s="1">
        <v>11</v>
      </c>
      <c r="G567" s="1">
        <v>361</v>
      </c>
      <c r="H567" s="1">
        <v>361</v>
      </c>
      <c r="I567" s="1">
        <f t="shared" si="3"/>
        <v>0</v>
      </c>
    </row>
    <row r="568" spans="1:11" x14ac:dyDescent="0.25">
      <c r="C568" s="1">
        <v>17</v>
      </c>
      <c r="D568" s="1">
        <v>1</v>
      </c>
      <c r="E568" s="1">
        <v>10</v>
      </c>
      <c r="F568" s="1">
        <v>12</v>
      </c>
      <c r="G568" s="1">
        <v>361</v>
      </c>
      <c r="H568" s="1">
        <v>410</v>
      </c>
      <c r="I568" s="1">
        <f t="shared" si="3"/>
        <v>49</v>
      </c>
    </row>
    <row r="569" spans="1:11" x14ac:dyDescent="0.25">
      <c r="C569" s="1">
        <v>17</v>
      </c>
      <c r="D569" s="1">
        <v>1</v>
      </c>
      <c r="E569" s="1">
        <v>10</v>
      </c>
      <c r="F569" s="1">
        <v>13</v>
      </c>
      <c r="G569" s="1">
        <v>410</v>
      </c>
      <c r="H569" s="1">
        <v>448</v>
      </c>
      <c r="I569" s="1">
        <f t="shared" si="3"/>
        <v>38</v>
      </c>
    </row>
    <row r="570" spans="1:11" x14ac:dyDescent="0.25">
      <c r="C570" s="1">
        <v>17</v>
      </c>
      <c r="D570" s="1">
        <v>1</v>
      </c>
      <c r="E570" s="1">
        <v>10</v>
      </c>
      <c r="F570" s="1">
        <v>14</v>
      </c>
      <c r="G570" s="1">
        <v>448</v>
      </c>
      <c r="H570" s="1">
        <v>492</v>
      </c>
      <c r="I570" s="1">
        <f t="shared" si="3"/>
        <v>44</v>
      </c>
    </row>
    <row r="571" spans="1:11" x14ac:dyDescent="0.25">
      <c r="C571" s="1">
        <v>17</v>
      </c>
      <c r="D571" s="1">
        <v>1</v>
      </c>
      <c r="E571" s="1">
        <v>10</v>
      </c>
      <c r="F571" s="1">
        <v>15</v>
      </c>
      <c r="G571" s="1">
        <v>496</v>
      </c>
      <c r="H571" s="1">
        <v>537</v>
      </c>
      <c r="I571" s="1">
        <f t="shared" si="3"/>
        <v>41</v>
      </c>
    </row>
    <row r="572" spans="1:11" x14ac:dyDescent="0.25">
      <c r="C572" s="1">
        <v>17</v>
      </c>
      <c r="D572" s="1">
        <v>1</v>
      </c>
      <c r="E572" s="1">
        <v>10</v>
      </c>
      <c r="F572" s="1">
        <v>16</v>
      </c>
      <c r="G572" s="1">
        <v>538</v>
      </c>
      <c r="H572" s="1">
        <v>593</v>
      </c>
      <c r="I572" s="1">
        <f t="shared" si="3"/>
        <v>55</v>
      </c>
    </row>
    <row r="573" spans="1:11" x14ac:dyDescent="0.25">
      <c r="A573" s="1">
        <v>2</v>
      </c>
      <c r="B573" s="2">
        <v>43893</v>
      </c>
      <c r="C573" s="1">
        <v>18</v>
      </c>
      <c r="D573" s="1">
        <v>2</v>
      </c>
      <c r="E573" s="1">
        <v>30</v>
      </c>
      <c r="F573" s="1">
        <v>1</v>
      </c>
      <c r="G573" s="1">
        <v>10</v>
      </c>
      <c r="H573" s="1">
        <v>69</v>
      </c>
      <c r="I573" s="1">
        <f t="shared" si="3"/>
        <v>59</v>
      </c>
      <c r="J573" s="7">
        <f>(I577+I578+I579+I597+I596+I595+I586+I587+I588)/9</f>
        <v>28.222222222222221</v>
      </c>
      <c r="K573" s="6">
        <f>AVERAGE(I577:I597)</f>
        <v>27.857142857142858</v>
      </c>
    </row>
    <row r="574" spans="1:11" x14ac:dyDescent="0.25">
      <c r="C574" s="1">
        <v>18</v>
      </c>
      <c r="D574" s="1">
        <v>2</v>
      </c>
      <c r="E574" s="1">
        <v>30</v>
      </c>
      <c r="F574" s="1">
        <v>2</v>
      </c>
      <c r="G574" s="1">
        <v>69</v>
      </c>
      <c r="H574" s="1">
        <v>131</v>
      </c>
      <c r="I574" s="1">
        <f t="shared" si="3"/>
        <v>62</v>
      </c>
    </row>
    <row r="575" spans="1:11" x14ac:dyDescent="0.25">
      <c r="C575" s="1">
        <v>18</v>
      </c>
      <c r="D575" s="1">
        <v>2</v>
      </c>
      <c r="E575" s="1">
        <v>30</v>
      </c>
      <c r="F575" s="1">
        <v>3</v>
      </c>
      <c r="G575" s="1">
        <v>151</v>
      </c>
      <c r="H575" s="1">
        <v>200</v>
      </c>
      <c r="I575" s="1">
        <f t="shared" si="3"/>
        <v>49</v>
      </c>
    </row>
    <row r="576" spans="1:11" x14ac:dyDescent="0.25">
      <c r="C576" s="1">
        <v>18</v>
      </c>
      <c r="D576" s="1">
        <v>2</v>
      </c>
      <c r="E576" s="1">
        <v>30</v>
      </c>
      <c r="F576" s="1">
        <v>4</v>
      </c>
      <c r="G576" s="1">
        <v>200</v>
      </c>
      <c r="H576" s="1">
        <v>279</v>
      </c>
      <c r="I576" s="1">
        <f t="shared" si="3"/>
        <v>79</v>
      </c>
    </row>
    <row r="577" spans="3:9" x14ac:dyDescent="0.25">
      <c r="C577" s="1">
        <v>18</v>
      </c>
      <c r="D577" s="1">
        <v>2</v>
      </c>
      <c r="E577" s="1">
        <v>10</v>
      </c>
      <c r="F577" s="1">
        <v>5</v>
      </c>
      <c r="G577" s="1">
        <v>279</v>
      </c>
      <c r="H577" s="1">
        <v>320</v>
      </c>
      <c r="I577" s="11">
        <f t="shared" si="3"/>
        <v>41</v>
      </c>
    </row>
    <row r="578" spans="3:9" x14ac:dyDescent="0.25">
      <c r="C578" s="1">
        <v>18</v>
      </c>
      <c r="D578" s="1">
        <v>2</v>
      </c>
      <c r="E578" s="1">
        <v>10</v>
      </c>
      <c r="F578" s="1">
        <v>6</v>
      </c>
      <c r="G578" s="1">
        <v>320</v>
      </c>
      <c r="H578" s="1">
        <v>341</v>
      </c>
      <c r="I578" s="1">
        <f t="shared" si="3"/>
        <v>21</v>
      </c>
    </row>
    <row r="579" spans="3:9" x14ac:dyDescent="0.25">
      <c r="C579" s="1">
        <v>18</v>
      </c>
      <c r="D579" s="1">
        <v>2</v>
      </c>
      <c r="E579" s="1">
        <v>10</v>
      </c>
      <c r="F579" s="1">
        <v>7</v>
      </c>
      <c r="G579" s="1">
        <v>341</v>
      </c>
      <c r="H579" s="1">
        <v>375</v>
      </c>
      <c r="I579" s="1">
        <f t="shared" si="3"/>
        <v>34</v>
      </c>
    </row>
    <row r="580" spans="3:9" x14ac:dyDescent="0.25">
      <c r="C580" s="1">
        <v>18</v>
      </c>
      <c r="D580" s="1">
        <v>2</v>
      </c>
      <c r="E580" s="1">
        <v>10</v>
      </c>
      <c r="F580" s="1">
        <v>8</v>
      </c>
      <c r="G580" s="1">
        <v>375</v>
      </c>
      <c r="H580" s="1">
        <v>390</v>
      </c>
      <c r="I580" s="1">
        <f t="shared" si="3"/>
        <v>15</v>
      </c>
    </row>
    <row r="581" spans="3:9" x14ac:dyDescent="0.25">
      <c r="C581" s="1">
        <v>18</v>
      </c>
      <c r="D581" s="1">
        <v>2</v>
      </c>
      <c r="E581" s="1">
        <v>10</v>
      </c>
      <c r="F581" s="1">
        <v>9</v>
      </c>
      <c r="G581" s="1">
        <v>390</v>
      </c>
      <c r="H581" s="1">
        <v>431</v>
      </c>
      <c r="I581" s="1">
        <f t="shared" si="3"/>
        <v>41</v>
      </c>
    </row>
    <row r="582" spans="3:9" x14ac:dyDescent="0.25">
      <c r="C582" s="1">
        <v>18</v>
      </c>
      <c r="D582" s="1">
        <v>2</v>
      </c>
      <c r="E582" s="1">
        <v>10</v>
      </c>
      <c r="F582" s="1">
        <v>10</v>
      </c>
      <c r="G582" s="1">
        <v>431</v>
      </c>
      <c r="H582" s="1">
        <v>452</v>
      </c>
      <c r="I582" s="1">
        <f t="shared" si="3"/>
        <v>21</v>
      </c>
    </row>
    <row r="583" spans="3:9" x14ac:dyDescent="0.25">
      <c r="C583" s="1">
        <v>18</v>
      </c>
      <c r="D583" s="1">
        <v>2</v>
      </c>
      <c r="E583" s="1">
        <v>10</v>
      </c>
      <c r="F583" s="1">
        <v>11</v>
      </c>
      <c r="G583" s="1">
        <v>452</v>
      </c>
      <c r="H583" s="1">
        <v>489</v>
      </c>
      <c r="I583" s="1">
        <f t="shared" si="3"/>
        <v>37</v>
      </c>
    </row>
    <row r="584" spans="3:9" x14ac:dyDescent="0.25">
      <c r="C584" s="1">
        <v>18</v>
      </c>
      <c r="D584" s="1">
        <v>2</v>
      </c>
      <c r="E584" s="1">
        <v>10</v>
      </c>
      <c r="F584" s="1">
        <v>12</v>
      </c>
      <c r="G584" s="1">
        <v>489</v>
      </c>
      <c r="H584" s="1">
        <v>518</v>
      </c>
      <c r="I584" s="1">
        <f t="shared" si="3"/>
        <v>29</v>
      </c>
    </row>
    <row r="585" spans="3:9" x14ac:dyDescent="0.25">
      <c r="C585" s="1">
        <v>18</v>
      </c>
      <c r="D585" s="1">
        <v>2</v>
      </c>
      <c r="E585" s="1">
        <v>10</v>
      </c>
      <c r="F585" s="1">
        <v>13</v>
      </c>
      <c r="G585" s="1">
        <v>518</v>
      </c>
      <c r="H585" s="1">
        <v>531</v>
      </c>
      <c r="I585" s="1">
        <f t="shared" si="3"/>
        <v>13</v>
      </c>
    </row>
    <row r="586" spans="3:9" x14ac:dyDescent="0.25">
      <c r="C586" s="1">
        <v>18</v>
      </c>
      <c r="D586" s="1">
        <v>2</v>
      </c>
      <c r="E586" s="1">
        <v>10</v>
      </c>
      <c r="F586" s="1">
        <v>14</v>
      </c>
      <c r="G586" s="1">
        <v>531</v>
      </c>
      <c r="H586" s="1">
        <v>566</v>
      </c>
      <c r="I586" s="1">
        <f t="shared" si="3"/>
        <v>35</v>
      </c>
    </row>
    <row r="587" spans="3:9" x14ac:dyDescent="0.25">
      <c r="C587" s="1">
        <v>18</v>
      </c>
      <c r="D587" s="1">
        <v>2</v>
      </c>
      <c r="E587" s="1">
        <v>10</v>
      </c>
      <c r="F587" s="1">
        <v>15</v>
      </c>
      <c r="G587" s="1">
        <v>566</v>
      </c>
      <c r="H587" s="1">
        <v>580</v>
      </c>
      <c r="I587" s="1">
        <f t="shared" si="3"/>
        <v>14</v>
      </c>
    </row>
    <row r="588" spans="3:9" x14ac:dyDescent="0.25">
      <c r="C588" s="1">
        <v>18</v>
      </c>
      <c r="D588" s="1">
        <v>2</v>
      </c>
      <c r="E588" s="1">
        <v>10</v>
      </c>
      <c r="F588" s="1">
        <v>16</v>
      </c>
      <c r="G588" s="1">
        <v>580</v>
      </c>
      <c r="H588" s="1">
        <v>615</v>
      </c>
      <c r="I588" s="1">
        <f t="shared" si="3"/>
        <v>35</v>
      </c>
    </row>
    <row r="589" spans="3:9" x14ac:dyDescent="0.25">
      <c r="C589" s="1">
        <v>18</v>
      </c>
      <c r="D589" s="1">
        <v>2</v>
      </c>
      <c r="E589" s="1">
        <v>10</v>
      </c>
      <c r="F589" s="1">
        <v>17</v>
      </c>
      <c r="G589" s="1">
        <v>615</v>
      </c>
      <c r="H589" s="1">
        <v>635</v>
      </c>
      <c r="I589" s="1">
        <f t="shared" si="3"/>
        <v>20</v>
      </c>
    </row>
    <row r="590" spans="3:9" x14ac:dyDescent="0.25">
      <c r="C590" s="1">
        <v>18</v>
      </c>
      <c r="D590" s="1">
        <v>2</v>
      </c>
      <c r="E590" s="1">
        <v>10</v>
      </c>
      <c r="F590" s="1">
        <v>18</v>
      </c>
      <c r="G590" s="1">
        <v>635</v>
      </c>
      <c r="H590" s="1">
        <v>664</v>
      </c>
      <c r="I590" s="1">
        <f t="shared" si="3"/>
        <v>29</v>
      </c>
    </row>
    <row r="591" spans="3:9" x14ac:dyDescent="0.25">
      <c r="C591" s="1">
        <v>18</v>
      </c>
      <c r="D591" s="1">
        <v>2</v>
      </c>
      <c r="E591" s="1">
        <v>10</v>
      </c>
      <c r="F591" s="1">
        <v>19</v>
      </c>
      <c r="G591" s="1">
        <v>664</v>
      </c>
      <c r="H591" s="1">
        <v>694</v>
      </c>
      <c r="I591" s="1">
        <f t="shared" si="3"/>
        <v>30</v>
      </c>
    </row>
    <row r="592" spans="3:9" x14ac:dyDescent="0.25">
      <c r="C592" s="1">
        <v>18</v>
      </c>
      <c r="D592" s="1">
        <v>2</v>
      </c>
      <c r="E592" s="1">
        <v>10</v>
      </c>
      <c r="F592" s="1">
        <v>20</v>
      </c>
      <c r="G592" s="1">
        <v>694</v>
      </c>
      <c r="H592" s="1">
        <v>733</v>
      </c>
      <c r="I592" s="1">
        <f t="shared" si="3"/>
        <v>39</v>
      </c>
    </row>
    <row r="593" spans="1:11" x14ac:dyDescent="0.25">
      <c r="C593" s="1">
        <v>18</v>
      </c>
      <c r="D593" s="1">
        <v>2</v>
      </c>
      <c r="E593" s="1">
        <v>10</v>
      </c>
      <c r="F593" s="1">
        <v>21</v>
      </c>
      <c r="G593" s="1">
        <v>733</v>
      </c>
      <c r="H593" s="1">
        <v>759</v>
      </c>
      <c r="I593" s="1">
        <f t="shared" si="3"/>
        <v>26</v>
      </c>
    </row>
    <row r="594" spans="1:11" x14ac:dyDescent="0.25">
      <c r="C594" s="1">
        <v>18</v>
      </c>
      <c r="D594" s="1">
        <v>2</v>
      </c>
      <c r="E594" s="1">
        <v>10</v>
      </c>
      <c r="F594" s="1">
        <v>22</v>
      </c>
      <c r="G594" s="1">
        <v>760</v>
      </c>
      <c r="H594" s="1">
        <v>791</v>
      </c>
      <c r="I594" s="1">
        <f t="shared" si="3"/>
        <v>31</v>
      </c>
    </row>
    <row r="595" spans="1:11" x14ac:dyDescent="0.25">
      <c r="C595" s="1">
        <v>18</v>
      </c>
      <c r="D595" s="1">
        <v>2</v>
      </c>
      <c r="E595" s="1">
        <v>10</v>
      </c>
      <c r="F595" s="1">
        <v>23</v>
      </c>
      <c r="G595" s="1">
        <v>791</v>
      </c>
      <c r="H595" s="1">
        <v>820</v>
      </c>
      <c r="I595" s="1">
        <f t="shared" si="3"/>
        <v>29</v>
      </c>
    </row>
    <row r="596" spans="1:11" x14ac:dyDescent="0.25">
      <c r="C596" s="1">
        <v>18</v>
      </c>
      <c r="D596" s="1">
        <v>2</v>
      </c>
      <c r="E596" s="1">
        <v>10</v>
      </c>
      <c r="F596" s="1">
        <v>24</v>
      </c>
      <c r="G596" s="1">
        <v>820</v>
      </c>
      <c r="H596" s="1">
        <v>860</v>
      </c>
      <c r="I596" s="1">
        <f t="shared" si="3"/>
        <v>40</v>
      </c>
    </row>
    <row r="597" spans="1:11" x14ac:dyDescent="0.25">
      <c r="C597" s="1">
        <v>18</v>
      </c>
      <c r="D597" s="1">
        <v>2</v>
      </c>
      <c r="E597" s="1">
        <v>10</v>
      </c>
      <c r="F597" s="1">
        <v>25</v>
      </c>
      <c r="G597" s="1">
        <v>860</v>
      </c>
      <c r="H597" s="1">
        <v>865</v>
      </c>
      <c r="I597" s="1">
        <f t="shared" si="3"/>
        <v>5</v>
      </c>
    </row>
    <row r="598" spans="1:11" x14ac:dyDescent="0.25">
      <c r="A598" s="1">
        <v>2</v>
      </c>
      <c r="B598" s="2">
        <v>43893</v>
      </c>
      <c r="C598" s="1">
        <v>19</v>
      </c>
      <c r="D598" s="1">
        <v>2</v>
      </c>
      <c r="E598" s="1">
        <v>30</v>
      </c>
      <c r="F598" s="1">
        <v>1</v>
      </c>
      <c r="G598" s="1">
        <v>0</v>
      </c>
      <c r="H598" s="1">
        <v>40</v>
      </c>
      <c r="I598" s="1">
        <f t="shared" si="3"/>
        <v>40</v>
      </c>
      <c r="J598" s="7">
        <f>(I602+I603+I604+I622+I621+I620+I611+I612+I613)/9</f>
        <v>49.888888888888886</v>
      </c>
      <c r="K598" s="6">
        <f>AVERAGE(I602:I622)</f>
        <v>56.7</v>
      </c>
    </row>
    <row r="599" spans="1:11" x14ac:dyDescent="0.25">
      <c r="C599" s="1">
        <v>19</v>
      </c>
      <c r="D599" s="1">
        <v>2</v>
      </c>
      <c r="E599" s="1">
        <v>30</v>
      </c>
      <c r="F599" s="1">
        <v>2</v>
      </c>
      <c r="G599" s="1">
        <v>40</v>
      </c>
      <c r="H599" s="1">
        <v>76</v>
      </c>
      <c r="I599" s="1">
        <f t="shared" si="3"/>
        <v>36</v>
      </c>
    </row>
    <row r="600" spans="1:11" x14ac:dyDescent="0.25">
      <c r="C600" s="1">
        <v>19</v>
      </c>
      <c r="D600" s="1">
        <v>2</v>
      </c>
      <c r="E600" s="1">
        <v>30</v>
      </c>
      <c r="F600" s="1">
        <v>3</v>
      </c>
      <c r="G600" s="1">
        <v>83</v>
      </c>
      <c r="H600" s="1">
        <v>118</v>
      </c>
      <c r="I600" s="1">
        <f t="shared" si="3"/>
        <v>35</v>
      </c>
    </row>
    <row r="601" spans="1:11" x14ac:dyDescent="0.25">
      <c r="C601" s="1">
        <v>19</v>
      </c>
      <c r="D601" s="1">
        <v>2</v>
      </c>
      <c r="E601" s="1">
        <v>30</v>
      </c>
      <c r="F601" s="1">
        <v>4</v>
      </c>
      <c r="G601" s="1">
        <v>118</v>
      </c>
      <c r="H601" s="1">
        <v>145</v>
      </c>
      <c r="I601" s="1">
        <f t="shared" si="3"/>
        <v>27</v>
      </c>
    </row>
    <row r="602" spans="1:11" x14ac:dyDescent="0.25">
      <c r="C602" s="1">
        <v>19</v>
      </c>
      <c r="D602" s="1">
        <v>2</v>
      </c>
      <c r="E602" s="1">
        <v>10</v>
      </c>
      <c r="F602" s="1">
        <v>5</v>
      </c>
      <c r="G602" s="1">
        <v>145</v>
      </c>
      <c r="H602" s="1">
        <v>182</v>
      </c>
      <c r="I602" s="11">
        <f t="shared" si="3"/>
        <v>37</v>
      </c>
    </row>
    <row r="603" spans="1:11" x14ac:dyDescent="0.25">
      <c r="C603" s="1">
        <v>19</v>
      </c>
      <c r="D603" s="1">
        <v>2</v>
      </c>
      <c r="E603" s="1">
        <v>10</v>
      </c>
      <c r="F603" s="1">
        <v>6</v>
      </c>
      <c r="G603" s="1">
        <v>182</v>
      </c>
      <c r="H603" s="1">
        <v>196</v>
      </c>
      <c r="I603" s="1">
        <f t="shared" si="3"/>
        <v>14</v>
      </c>
    </row>
    <row r="604" spans="1:11" x14ac:dyDescent="0.25">
      <c r="C604" s="1">
        <v>19</v>
      </c>
      <c r="D604" s="1">
        <v>2</v>
      </c>
      <c r="E604" s="1">
        <v>10</v>
      </c>
      <c r="F604" s="1">
        <v>7</v>
      </c>
      <c r="G604" s="1">
        <v>196</v>
      </c>
      <c r="H604" s="1">
        <v>217</v>
      </c>
      <c r="I604" s="1">
        <f t="shared" si="3"/>
        <v>21</v>
      </c>
    </row>
    <row r="605" spans="1:11" x14ac:dyDescent="0.25">
      <c r="C605" s="1">
        <v>19</v>
      </c>
      <c r="D605" s="1">
        <v>2</v>
      </c>
      <c r="E605" s="1">
        <v>10</v>
      </c>
      <c r="F605" s="1">
        <v>8</v>
      </c>
      <c r="G605" s="1">
        <v>217</v>
      </c>
      <c r="H605" s="1">
        <v>227</v>
      </c>
      <c r="I605" s="1">
        <f t="shared" si="3"/>
        <v>10</v>
      </c>
    </row>
    <row r="606" spans="1:11" x14ac:dyDescent="0.25">
      <c r="C606" s="1">
        <v>19</v>
      </c>
      <c r="D606" s="1">
        <v>2</v>
      </c>
      <c r="E606" s="1">
        <v>10</v>
      </c>
      <c r="F606" s="1">
        <v>9</v>
      </c>
      <c r="G606" s="1">
        <v>227</v>
      </c>
      <c r="H606" s="1">
        <v>229</v>
      </c>
      <c r="I606" s="1">
        <f t="shared" si="3"/>
        <v>2</v>
      </c>
    </row>
    <row r="607" spans="1:11" x14ac:dyDescent="0.25">
      <c r="C607" s="1">
        <v>19</v>
      </c>
      <c r="D607" s="1">
        <v>2</v>
      </c>
      <c r="E607" s="1">
        <v>10</v>
      </c>
      <c r="F607" s="1">
        <v>10</v>
      </c>
      <c r="G607" s="1">
        <v>229</v>
      </c>
      <c r="H607" s="1">
        <v>387</v>
      </c>
    </row>
    <row r="608" spans="1:11" x14ac:dyDescent="0.25">
      <c r="C608" s="1">
        <v>19</v>
      </c>
      <c r="D608" s="1">
        <v>2</v>
      </c>
      <c r="E608" s="1">
        <v>10</v>
      </c>
      <c r="F608" s="1">
        <v>11</v>
      </c>
      <c r="G608" s="1">
        <v>387</v>
      </c>
      <c r="H608" s="1">
        <v>477</v>
      </c>
      <c r="I608" s="1">
        <f t="shared" si="3"/>
        <v>90</v>
      </c>
    </row>
    <row r="609" spans="1:11" x14ac:dyDescent="0.25">
      <c r="C609" s="1">
        <v>19</v>
      </c>
      <c r="D609" s="1">
        <v>2</v>
      </c>
      <c r="E609" s="1">
        <v>10</v>
      </c>
      <c r="F609" s="1">
        <v>12</v>
      </c>
      <c r="G609" s="1">
        <v>477</v>
      </c>
      <c r="H609" s="1">
        <v>558</v>
      </c>
      <c r="I609" s="1">
        <f t="shared" si="3"/>
        <v>81</v>
      </c>
    </row>
    <row r="610" spans="1:11" x14ac:dyDescent="0.25">
      <c r="C610" s="1">
        <v>19</v>
      </c>
      <c r="D610" s="1">
        <v>2</v>
      </c>
      <c r="E610" s="1">
        <v>10</v>
      </c>
      <c r="F610" s="1">
        <v>13</v>
      </c>
      <c r="G610" s="1">
        <v>558</v>
      </c>
      <c r="H610" s="1">
        <v>625</v>
      </c>
      <c r="I610" s="1">
        <f t="shared" si="3"/>
        <v>67</v>
      </c>
    </row>
    <row r="611" spans="1:11" x14ac:dyDescent="0.25">
      <c r="C611" s="1">
        <v>19</v>
      </c>
      <c r="D611" s="1">
        <v>2</v>
      </c>
      <c r="E611" s="1">
        <v>10</v>
      </c>
      <c r="F611" s="1">
        <v>14</v>
      </c>
      <c r="G611" s="1">
        <v>625</v>
      </c>
      <c r="H611" s="1">
        <v>706</v>
      </c>
      <c r="I611" s="1">
        <f t="shared" si="3"/>
        <v>81</v>
      </c>
    </row>
    <row r="612" spans="1:11" x14ac:dyDescent="0.25">
      <c r="C612" s="1">
        <v>19</v>
      </c>
      <c r="D612" s="1">
        <v>2</v>
      </c>
      <c r="E612" s="1">
        <v>10</v>
      </c>
      <c r="F612" s="1">
        <v>15</v>
      </c>
      <c r="G612" s="1">
        <v>706</v>
      </c>
      <c r="H612" s="1">
        <v>756</v>
      </c>
      <c r="I612" s="1">
        <f t="shared" si="3"/>
        <v>50</v>
      </c>
    </row>
    <row r="613" spans="1:11" x14ac:dyDescent="0.25">
      <c r="C613" s="1">
        <v>19</v>
      </c>
      <c r="D613" s="1">
        <v>2</v>
      </c>
      <c r="E613" s="1">
        <v>10</v>
      </c>
      <c r="F613" s="1">
        <v>16</v>
      </c>
      <c r="G613" s="1">
        <v>757</v>
      </c>
      <c r="H613" s="1">
        <v>811</v>
      </c>
      <c r="I613" s="1">
        <f t="shared" si="3"/>
        <v>54</v>
      </c>
    </row>
    <row r="614" spans="1:11" x14ac:dyDescent="0.25">
      <c r="C614" s="1">
        <v>19</v>
      </c>
      <c r="D614" s="1">
        <v>2</v>
      </c>
      <c r="E614" s="1">
        <v>10</v>
      </c>
      <c r="F614" s="1">
        <v>17</v>
      </c>
      <c r="G614" s="1">
        <v>811</v>
      </c>
      <c r="H614" s="1">
        <v>898</v>
      </c>
      <c r="I614" s="1">
        <f t="shared" si="3"/>
        <v>87</v>
      </c>
    </row>
    <row r="615" spans="1:11" x14ac:dyDescent="0.25">
      <c r="C615" s="1">
        <v>19</v>
      </c>
      <c r="D615" s="1">
        <v>2</v>
      </c>
      <c r="E615" s="1">
        <v>10</v>
      </c>
      <c r="F615" s="1">
        <v>18</v>
      </c>
      <c r="G615" s="1">
        <v>898</v>
      </c>
      <c r="H615" s="1">
        <v>972</v>
      </c>
      <c r="I615" s="1">
        <f t="shared" si="3"/>
        <v>74</v>
      </c>
    </row>
    <row r="616" spans="1:11" x14ac:dyDescent="0.25">
      <c r="C616" s="1">
        <v>19</v>
      </c>
      <c r="D616" s="1">
        <v>2</v>
      </c>
      <c r="E616" s="1">
        <v>10</v>
      </c>
      <c r="F616" s="1">
        <v>19</v>
      </c>
      <c r="G616" s="1">
        <v>972</v>
      </c>
      <c r="H616" s="1">
        <v>1042</v>
      </c>
      <c r="I616" s="1">
        <f t="shared" si="3"/>
        <v>70</v>
      </c>
    </row>
    <row r="617" spans="1:11" x14ac:dyDescent="0.25">
      <c r="C617" s="1">
        <v>19</v>
      </c>
      <c r="D617" s="1">
        <v>2</v>
      </c>
      <c r="E617" s="1">
        <v>10</v>
      </c>
      <c r="F617" s="1">
        <v>20</v>
      </c>
      <c r="G617" s="1">
        <v>1042</v>
      </c>
      <c r="H617" s="1">
        <v>1103</v>
      </c>
      <c r="I617" s="1">
        <f t="shared" si="3"/>
        <v>61</v>
      </c>
    </row>
    <row r="618" spans="1:11" x14ac:dyDescent="0.25">
      <c r="C618" s="1">
        <v>19</v>
      </c>
      <c r="D618" s="1">
        <v>2</v>
      </c>
      <c r="E618" s="1">
        <v>10</v>
      </c>
      <c r="F618" s="1">
        <v>21</v>
      </c>
      <c r="G618" s="1">
        <v>1103</v>
      </c>
      <c r="H618" s="1">
        <v>1172</v>
      </c>
      <c r="I618" s="1">
        <f t="shared" si="3"/>
        <v>69</v>
      </c>
    </row>
    <row r="619" spans="1:11" x14ac:dyDescent="0.25">
      <c r="C619" s="1">
        <v>19</v>
      </c>
      <c r="D619" s="1">
        <v>2</v>
      </c>
      <c r="E619" s="1">
        <v>10</v>
      </c>
      <c r="F619" s="1">
        <v>22</v>
      </c>
      <c r="G619" s="1">
        <v>1172</v>
      </c>
      <c r="H619" s="1">
        <v>1246</v>
      </c>
      <c r="I619" s="1">
        <f t="shared" si="3"/>
        <v>74</v>
      </c>
    </row>
    <row r="620" spans="1:11" x14ac:dyDescent="0.25">
      <c r="C620" s="1">
        <v>19</v>
      </c>
      <c r="D620" s="1">
        <v>2</v>
      </c>
      <c r="E620" s="1">
        <v>10</v>
      </c>
      <c r="F620" s="1">
        <v>23</v>
      </c>
      <c r="G620" s="1">
        <v>1246</v>
      </c>
      <c r="H620" s="1">
        <v>1311</v>
      </c>
      <c r="I620" s="1">
        <f t="shared" si="3"/>
        <v>65</v>
      </c>
    </row>
    <row r="621" spans="1:11" x14ac:dyDescent="0.25">
      <c r="C621" s="1">
        <v>19</v>
      </c>
      <c r="D621" s="1">
        <v>2</v>
      </c>
      <c r="E621" s="1">
        <v>10</v>
      </c>
      <c r="F621" s="1">
        <v>24</v>
      </c>
      <c r="G621" s="1">
        <v>1311</v>
      </c>
      <c r="H621" s="1">
        <v>1379</v>
      </c>
      <c r="I621" s="1">
        <f t="shared" si="3"/>
        <v>68</v>
      </c>
    </row>
    <row r="622" spans="1:11" x14ac:dyDescent="0.25">
      <c r="C622" s="1">
        <v>19</v>
      </c>
      <c r="D622" s="1">
        <v>2</v>
      </c>
      <c r="E622" s="1">
        <v>10</v>
      </c>
      <c r="F622" s="1">
        <v>25</v>
      </c>
      <c r="G622" s="1">
        <v>1379</v>
      </c>
      <c r="H622" s="1">
        <v>1438</v>
      </c>
      <c r="I622" s="1">
        <f t="shared" si="3"/>
        <v>59</v>
      </c>
    </row>
    <row r="623" spans="1:11" x14ac:dyDescent="0.25">
      <c r="A623" s="1">
        <v>2</v>
      </c>
      <c r="B623" s="2">
        <v>43893</v>
      </c>
      <c r="C623" s="1">
        <v>20</v>
      </c>
      <c r="D623" s="1">
        <v>2</v>
      </c>
      <c r="E623" s="1">
        <v>30</v>
      </c>
      <c r="F623" s="1">
        <v>1</v>
      </c>
      <c r="G623" s="1">
        <v>0</v>
      </c>
      <c r="H623" s="1">
        <v>0</v>
      </c>
      <c r="I623" s="1">
        <f t="shared" si="3"/>
        <v>0</v>
      </c>
      <c r="J623" s="7">
        <f>(I627+I628+I629+I647+I646+I645+I636+I637+I638)/9</f>
        <v>31.222222222222221</v>
      </c>
      <c r="K623" s="6">
        <f>AVERAGE(I627:I647)</f>
        <v>24.095238095238095</v>
      </c>
    </row>
    <row r="624" spans="1:11" x14ac:dyDescent="0.25">
      <c r="C624" s="1">
        <v>20</v>
      </c>
      <c r="D624" s="1">
        <v>2</v>
      </c>
      <c r="E624" s="1">
        <v>30</v>
      </c>
      <c r="F624" s="1">
        <v>2</v>
      </c>
      <c r="G624" s="1">
        <v>0</v>
      </c>
      <c r="H624" s="1">
        <v>50</v>
      </c>
      <c r="I624" s="1">
        <f t="shared" si="3"/>
        <v>50</v>
      </c>
    </row>
    <row r="625" spans="3:9" x14ac:dyDescent="0.25">
      <c r="C625" s="1">
        <v>20</v>
      </c>
      <c r="D625" s="1">
        <v>2</v>
      </c>
      <c r="E625" s="1">
        <v>30</v>
      </c>
      <c r="F625" s="1">
        <v>3</v>
      </c>
      <c r="G625" s="1">
        <v>55</v>
      </c>
      <c r="H625" s="1">
        <v>113</v>
      </c>
      <c r="I625" s="1">
        <f t="shared" si="3"/>
        <v>58</v>
      </c>
    </row>
    <row r="626" spans="3:9" x14ac:dyDescent="0.25">
      <c r="C626" s="1">
        <v>20</v>
      </c>
      <c r="D626" s="1">
        <v>2</v>
      </c>
      <c r="E626" s="1">
        <v>30</v>
      </c>
      <c r="F626" s="1">
        <v>4</v>
      </c>
      <c r="G626" s="1">
        <v>113</v>
      </c>
      <c r="H626" s="1">
        <v>165</v>
      </c>
      <c r="I626" s="1">
        <f t="shared" si="3"/>
        <v>52</v>
      </c>
    </row>
    <row r="627" spans="3:9" x14ac:dyDescent="0.25">
      <c r="C627" s="1">
        <v>20</v>
      </c>
      <c r="D627" s="1">
        <v>2</v>
      </c>
      <c r="E627" s="1">
        <v>10</v>
      </c>
      <c r="F627" s="1">
        <v>5</v>
      </c>
      <c r="G627" s="1">
        <v>165</v>
      </c>
      <c r="H627" s="1">
        <v>211</v>
      </c>
      <c r="I627" s="11">
        <f t="shared" si="3"/>
        <v>46</v>
      </c>
    </row>
    <row r="628" spans="3:9" x14ac:dyDescent="0.25">
      <c r="C628" s="1">
        <v>20</v>
      </c>
      <c r="D628" s="1">
        <v>2</v>
      </c>
      <c r="E628" s="1">
        <v>10</v>
      </c>
      <c r="F628" s="1">
        <v>6</v>
      </c>
      <c r="G628" s="1">
        <v>211</v>
      </c>
      <c r="H628" s="1">
        <v>266</v>
      </c>
      <c r="I628" s="1">
        <f t="shared" si="3"/>
        <v>55</v>
      </c>
    </row>
    <row r="629" spans="3:9" x14ac:dyDescent="0.25">
      <c r="C629" s="1">
        <v>20</v>
      </c>
      <c r="D629" s="1">
        <v>2</v>
      </c>
      <c r="E629" s="1">
        <v>10</v>
      </c>
      <c r="F629" s="1">
        <v>7</v>
      </c>
      <c r="G629" s="1">
        <v>267</v>
      </c>
      <c r="H629" s="1">
        <v>324</v>
      </c>
      <c r="I629" s="1">
        <f t="shared" si="3"/>
        <v>57</v>
      </c>
    </row>
    <row r="630" spans="3:9" x14ac:dyDescent="0.25">
      <c r="C630" s="1">
        <v>20</v>
      </c>
      <c r="D630" s="1">
        <v>2</v>
      </c>
      <c r="E630" s="1">
        <v>10</v>
      </c>
      <c r="F630" s="1">
        <v>8</v>
      </c>
      <c r="G630" s="1">
        <v>324</v>
      </c>
      <c r="H630" s="1">
        <v>357</v>
      </c>
      <c r="I630" s="1">
        <f t="shared" si="3"/>
        <v>33</v>
      </c>
    </row>
    <row r="631" spans="3:9" x14ac:dyDescent="0.25">
      <c r="C631" s="1">
        <v>20</v>
      </c>
      <c r="D631" s="1">
        <v>2</v>
      </c>
      <c r="E631" s="1">
        <v>10</v>
      </c>
      <c r="F631" s="1">
        <v>9</v>
      </c>
      <c r="G631" s="1">
        <v>367</v>
      </c>
      <c r="H631" s="1">
        <v>421</v>
      </c>
      <c r="I631" s="1">
        <f t="shared" si="3"/>
        <v>54</v>
      </c>
    </row>
    <row r="632" spans="3:9" x14ac:dyDescent="0.25">
      <c r="C632" s="1">
        <v>20</v>
      </c>
      <c r="D632" s="1">
        <v>2</v>
      </c>
      <c r="E632" s="1">
        <v>10</v>
      </c>
      <c r="F632" s="1">
        <v>10</v>
      </c>
      <c r="G632" s="1">
        <v>421</v>
      </c>
      <c r="H632" s="1">
        <v>467</v>
      </c>
      <c r="I632" s="1">
        <f t="shared" si="3"/>
        <v>46</v>
      </c>
    </row>
    <row r="633" spans="3:9" x14ac:dyDescent="0.25">
      <c r="C633" s="1">
        <v>20</v>
      </c>
      <c r="D633" s="1">
        <v>2</v>
      </c>
      <c r="E633" s="1">
        <v>10</v>
      </c>
      <c r="F633" s="1">
        <v>11</v>
      </c>
      <c r="G633" s="1">
        <v>467</v>
      </c>
      <c r="H633" s="1">
        <v>492</v>
      </c>
      <c r="I633" s="1">
        <f t="shared" si="3"/>
        <v>25</v>
      </c>
    </row>
    <row r="634" spans="3:9" x14ac:dyDescent="0.25">
      <c r="C634" s="1">
        <v>20</v>
      </c>
      <c r="D634" s="1">
        <v>2</v>
      </c>
      <c r="E634" s="1">
        <v>10</v>
      </c>
      <c r="F634" s="1">
        <v>12</v>
      </c>
      <c r="G634" s="1">
        <v>492</v>
      </c>
      <c r="H634" s="1">
        <v>550</v>
      </c>
      <c r="I634" s="1">
        <f t="shared" si="3"/>
        <v>58</v>
      </c>
    </row>
    <row r="635" spans="3:9" x14ac:dyDescent="0.25">
      <c r="C635" s="1">
        <v>20</v>
      </c>
      <c r="D635" s="1">
        <v>2</v>
      </c>
      <c r="E635" s="1">
        <v>10</v>
      </c>
      <c r="F635" s="1">
        <v>13</v>
      </c>
      <c r="G635" s="1">
        <v>550</v>
      </c>
      <c r="H635" s="1">
        <v>556</v>
      </c>
      <c r="I635" s="1">
        <f t="shared" si="3"/>
        <v>6</v>
      </c>
    </row>
    <row r="636" spans="3:9" x14ac:dyDescent="0.25">
      <c r="C636" s="1">
        <v>20</v>
      </c>
      <c r="D636" s="1">
        <v>2</v>
      </c>
      <c r="E636" s="1">
        <v>10</v>
      </c>
      <c r="F636" s="1">
        <v>14</v>
      </c>
      <c r="G636" s="1">
        <v>556</v>
      </c>
      <c r="H636" s="1">
        <v>589</v>
      </c>
      <c r="I636" s="1">
        <f t="shared" si="3"/>
        <v>33</v>
      </c>
    </row>
    <row r="637" spans="3:9" x14ac:dyDescent="0.25">
      <c r="C637" s="1">
        <v>20</v>
      </c>
      <c r="D637" s="1">
        <v>2</v>
      </c>
      <c r="E637" s="1">
        <v>10</v>
      </c>
      <c r="F637" s="1">
        <v>15</v>
      </c>
      <c r="G637" s="1">
        <v>589</v>
      </c>
      <c r="H637" s="1">
        <v>589</v>
      </c>
      <c r="I637" s="1">
        <f t="shared" si="3"/>
        <v>0</v>
      </c>
    </row>
    <row r="638" spans="3:9" x14ac:dyDescent="0.25">
      <c r="C638" s="1">
        <v>20</v>
      </c>
      <c r="D638" s="1">
        <v>2</v>
      </c>
      <c r="E638" s="1">
        <v>10</v>
      </c>
      <c r="F638" s="1">
        <v>16</v>
      </c>
      <c r="G638" s="1">
        <v>589</v>
      </c>
      <c r="H638" s="1">
        <v>589</v>
      </c>
      <c r="I638" s="1">
        <f t="shared" si="3"/>
        <v>0</v>
      </c>
    </row>
    <row r="639" spans="3:9" x14ac:dyDescent="0.25">
      <c r="C639" s="1">
        <v>20</v>
      </c>
      <c r="D639" s="1">
        <v>2</v>
      </c>
      <c r="E639" s="1">
        <v>10</v>
      </c>
      <c r="F639" s="1">
        <v>17</v>
      </c>
      <c r="G639" s="1">
        <v>589</v>
      </c>
      <c r="H639" s="1">
        <v>589</v>
      </c>
      <c r="I639" s="1">
        <f t="shared" si="3"/>
        <v>0</v>
      </c>
    </row>
    <row r="640" spans="3:9" x14ac:dyDescent="0.25">
      <c r="C640" s="1">
        <v>20</v>
      </c>
      <c r="D640" s="1">
        <v>2</v>
      </c>
      <c r="E640" s="1">
        <v>10</v>
      </c>
      <c r="F640" s="1">
        <v>18</v>
      </c>
      <c r="G640" s="1">
        <v>589</v>
      </c>
      <c r="H640" s="1">
        <v>589</v>
      </c>
      <c r="I640" s="1">
        <f t="shared" si="3"/>
        <v>0</v>
      </c>
    </row>
    <row r="641" spans="1:11" x14ac:dyDescent="0.25">
      <c r="C641" s="1">
        <v>20</v>
      </c>
      <c r="D641" s="1">
        <v>2</v>
      </c>
      <c r="E641" s="1">
        <v>10</v>
      </c>
      <c r="F641" s="1">
        <v>19</v>
      </c>
      <c r="G641" s="1">
        <v>589</v>
      </c>
      <c r="H641" s="1">
        <v>589</v>
      </c>
      <c r="I641" s="1">
        <f t="shared" si="3"/>
        <v>0</v>
      </c>
    </row>
    <row r="642" spans="1:11" x14ac:dyDescent="0.25">
      <c r="C642" s="1">
        <v>20</v>
      </c>
      <c r="D642" s="1">
        <v>2</v>
      </c>
      <c r="E642" s="1">
        <v>10</v>
      </c>
      <c r="F642" s="1">
        <v>20</v>
      </c>
      <c r="G642" s="1">
        <v>589</v>
      </c>
      <c r="H642" s="1">
        <v>589</v>
      </c>
      <c r="I642" s="1">
        <f t="shared" si="3"/>
        <v>0</v>
      </c>
    </row>
    <row r="643" spans="1:11" x14ac:dyDescent="0.25">
      <c r="C643" s="1">
        <v>20</v>
      </c>
      <c r="D643" s="1">
        <v>2</v>
      </c>
      <c r="E643" s="1">
        <v>10</v>
      </c>
      <c r="F643" s="1">
        <v>21</v>
      </c>
      <c r="G643" s="1">
        <v>589</v>
      </c>
      <c r="H643" s="1">
        <v>592</v>
      </c>
      <c r="I643" s="1">
        <f t="shared" si="3"/>
        <v>3</v>
      </c>
    </row>
    <row r="644" spans="1:11" x14ac:dyDescent="0.25">
      <c r="C644" s="1">
        <v>20</v>
      </c>
      <c r="D644" s="1">
        <v>2</v>
      </c>
      <c r="E644" s="1">
        <v>10</v>
      </c>
      <c r="F644" s="1">
        <v>22</v>
      </c>
      <c r="G644" s="1">
        <v>592</v>
      </c>
      <c r="H644" s="1">
        <v>592</v>
      </c>
      <c r="I644" s="1">
        <f t="shared" si="3"/>
        <v>0</v>
      </c>
    </row>
    <row r="645" spans="1:11" x14ac:dyDescent="0.25">
      <c r="C645" s="1">
        <v>20</v>
      </c>
      <c r="D645" s="1">
        <v>2</v>
      </c>
      <c r="E645" s="1">
        <v>10</v>
      </c>
      <c r="F645" s="1">
        <v>23</v>
      </c>
      <c r="G645" s="1">
        <v>592</v>
      </c>
      <c r="H645" s="1">
        <v>592</v>
      </c>
      <c r="I645" s="1">
        <f t="shared" si="3"/>
        <v>0</v>
      </c>
    </row>
    <row r="646" spans="1:11" x14ac:dyDescent="0.25">
      <c r="C646" s="1">
        <v>20</v>
      </c>
      <c r="D646" s="1">
        <v>2</v>
      </c>
      <c r="E646" s="1">
        <v>10</v>
      </c>
      <c r="F646" s="1">
        <v>24</v>
      </c>
      <c r="G646" s="1">
        <v>592</v>
      </c>
      <c r="H646" s="1">
        <v>640</v>
      </c>
      <c r="I646" s="1">
        <f t="shared" si="3"/>
        <v>48</v>
      </c>
    </row>
    <row r="647" spans="1:11" x14ac:dyDescent="0.25">
      <c r="C647" s="1">
        <v>20</v>
      </c>
      <c r="D647" s="1">
        <v>2</v>
      </c>
      <c r="E647" s="1">
        <v>10</v>
      </c>
      <c r="F647" s="1">
        <v>25</v>
      </c>
      <c r="G647" s="1">
        <v>641</v>
      </c>
      <c r="H647" s="1">
        <v>683</v>
      </c>
      <c r="I647" s="1">
        <f t="shared" si="3"/>
        <v>42</v>
      </c>
    </row>
    <row r="648" spans="1:11" x14ac:dyDescent="0.25">
      <c r="A648" s="1">
        <v>1</v>
      </c>
      <c r="B648" s="2">
        <v>43956</v>
      </c>
      <c r="C648" s="1">
        <v>21</v>
      </c>
      <c r="D648" s="1">
        <v>2</v>
      </c>
      <c r="E648" s="1">
        <v>30</v>
      </c>
      <c r="F648" s="1">
        <v>1</v>
      </c>
      <c r="G648" s="1">
        <v>4</v>
      </c>
      <c r="H648" s="1">
        <v>32</v>
      </c>
      <c r="I648" s="1">
        <f t="shared" si="3"/>
        <v>28</v>
      </c>
    </row>
    <row r="649" spans="1:11" x14ac:dyDescent="0.25">
      <c r="C649" s="1">
        <v>21</v>
      </c>
      <c r="D649" s="1">
        <v>2</v>
      </c>
      <c r="E649" s="1">
        <v>30</v>
      </c>
      <c r="F649" s="1">
        <v>2</v>
      </c>
      <c r="G649" s="1">
        <v>32</v>
      </c>
      <c r="H649" s="1">
        <v>56</v>
      </c>
      <c r="I649" s="1">
        <f t="shared" si="3"/>
        <v>24</v>
      </c>
    </row>
    <row r="650" spans="1:11" x14ac:dyDescent="0.25">
      <c r="C650" s="1">
        <v>21</v>
      </c>
      <c r="D650" s="1">
        <v>2</v>
      </c>
      <c r="E650" s="1">
        <v>30</v>
      </c>
      <c r="F650" s="1">
        <v>3</v>
      </c>
      <c r="G650" s="1">
        <v>61</v>
      </c>
      <c r="H650" s="1">
        <v>80</v>
      </c>
      <c r="I650" s="1">
        <f t="shared" si="3"/>
        <v>19</v>
      </c>
    </row>
    <row r="651" spans="1:11" x14ac:dyDescent="0.25">
      <c r="C651" s="1">
        <v>21</v>
      </c>
      <c r="D651" s="1">
        <v>2</v>
      </c>
      <c r="E651" s="1">
        <v>30</v>
      </c>
      <c r="F651" s="1">
        <v>4</v>
      </c>
      <c r="G651" s="1">
        <v>80</v>
      </c>
      <c r="H651" s="1">
        <v>104</v>
      </c>
      <c r="I651" s="1">
        <f t="shared" si="3"/>
        <v>24</v>
      </c>
    </row>
    <row r="652" spans="1:11" x14ac:dyDescent="0.25">
      <c r="C652" s="1">
        <v>21</v>
      </c>
      <c r="D652" s="1">
        <v>2</v>
      </c>
      <c r="E652" s="1">
        <v>10</v>
      </c>
      <c r="F652" s="1">
        <v>5</v>
      </c>
      <c r="G652" s="1">
        <v>107</v>
      </c>
      <c r="H652" s="1">
        <v>129</v>
      </c>
      <c r="I652" s="1">
        <f t="shared" si="3"/>
        <v>22</v>
      </c>
      <c r="J652" s="7">
        <f>(I652+I653+I654+I661+I660+I659+I657+I656+I655)/9</f>
        <v>15.666666666666666</v>
      </c>
      <c r="K652" s="6">
        <f>AVERAGE(I652:I661)</f>
        <v>14.1</v>
      </c>
    </row>
    <row r="653" spans="1:11" x14ac:dyDescent="0.25">
      <c r="C653" s="1">
        <v>21</v>
      </c>
      <c r="D653" s="1">
        <v>2</v>
      </c>
      <c r="E653" s="1">
        <v>10</v>
      </c>
      <c r="F653" s="1">
        <v>6</v>
      </c>
      <c r="G653" s="1">
        <v>130</v>
      </c>
      <c r="H653" s="1">
        <v>154</v>
      </c>
      <c r="I653" s="1">
        <f t="shared" si="3"/>
        <v>24</v>
      </c>
    </row>
    <row r="654" spans="1:11" x14ac:dyDescent="0.25">
      <c r="C654" s="1">
        <v>21</v>
      </c>
      <c r="D654" s="1">
        <v>2</v>
      </c>
      <c r="E654" s="1">
        <v>10</v>
      </c>
      <c r="F654" s="1">
        <v>7</v>
      </c>
      <c r="G654" s="1">
        <v>154</v>
      </c>
      <c r="H654" s="1">
        <v>156</v>
      </c>
      <c r="I654" s="1">
        <f t="shared" si="3"/>
        <v>2</v>
      </c>
    </row>
    <row r="655" spans="1:11" x14ac:dyDescent="0.25">
      <c r="C655" s="1">
        <v>21</v>
      </c>
      <c r="D655" s="1">
        <v>2</v>
      </c>
      <c r="E655" s="1">
        <v>10</v>
      </c>
      <c r="F655" s="1">
        <v>8</v>
      </c>
      <c r="G655" s="1">
        <v>158</v>
      </c>
      <c r="H655" s="1">
        <v>189</v>
      </c>
      <c r="I655" s="1">
        <f t="shared" si="3"/>
        <v>31</v>
      </c>
    </row>
    <row r="656" spans="1:11" x14ac:dyDescent="0.25">
      <c r="C656" s="1">
        <v>21</v>
      </c>
      <c r="D656" s="1">
        <v>2</v>
      </c>
      <c r="E656" s="1">
        <v>10</v>
      </c>
      <c r="F656" s="1">
        <v>9</v>
      </c>
      <c r="G656" s="1">
        <v>189</v>
      </c>
      <c r="H656" s="1">
        <v>205</v>
      </c>
      <c r="I656" s="1">
        <f t="shared" si="3"/>
        <v>16</v>
      </c>
    </row>
    <row r="657" spans="1:11" x14ac:dyDescent="0.25">
      <c r="C657" s="1">
        <v>21</v>
      </c>
      <c r="D657" s="1">
        <v>2</v>
      </c>
      <c r="E657" s="1">
        <v>10</v>
      </c>
      <c r="F657" s="1">
        <v>10</v>
      </c>
      <c r="G657" s="1">
        <v>205</v>
      </c>
      <c r="H657" s="1">
        <v>223</v>
      </c>
      <c r="I657" s="1">
        <f t="shared" si="3"/>
        <v>18</v>
      </c>
    </row>
    <row r="658" spans="1:11" x14ac:dyDescent="0.25">
      <c r="C658" s="1">
        <v>21</v>
      </c>
      <c r="D658" s="1">
        <v>2</v>
      </c>
      <c r="E658" s="1">
        <v>10</v>
      </c>
      <c r="F658" s="1">
        <v>11</v>
      </c>
      <c r="G658" s="1">
        <v>224</v>
      </c>
      <c r="H658" s="1">
        <v>224</v>
      </c>
      <c r="I658" s="1">
        <f t="shared" si="3"/>
        <v>0</v>
      </c>
    </row>
    <row r="659" spans="1:11" x14ac:dyDescent="0.25">
      <c r="C659" s="1">
        <v>21</v>
      </c>
      <c r="D659" s="1">
        <v>2</v>
      </c>
      <c r="E659" s="1">
        <v>10</v>
      </c>
      <c r="F659" s="1">
        <v>12</v>
      </c>
      <c r="G659" s="1">
        <v>229</v>
      </c>
      <c r="H659" s="1">
        <v>231</v>
      </c>
      <c r="I659" s="1">
        <f t="shared" si="3"/>
        <v>2</v>
      </c>
    </row>
    <row r="660" spans="1:11" x14ac:dyDescent="0.25">
      <c r="C660" s="1">
        <v>21</v>
      </c>
      <c r="D660" s="1">
        <v>2</v>
      </c>
      <c r="E660" s="1">
        <v>10</v>
      </c>
      <c r="F660" s="1">
        <v>13</v>
      </c>
      <c r="G660" s="1">
        <v>231</v>
      </c>
      <c r="H660" s="1">
        <v>231</v>
      </c>
      <c r="I660" s="1">
        <f t="shared" si="3"/>
        <v>0</v>
      </c>
    </row>
    <row r="661" spans="1:11" x14ac:dyDescent="0.25">
      <c r="C661" s="1">
        <v>21</v>
      </c>
      <c r="D661" s="1">
        <v>2</v>
      </c>
      <c r="E661" s="1">
        <v>10</v>
      </c>
      <c r="F661" s="1">
        <v>14</v>
      </c>
      <c r="G661" s="1">
        <v>231</v>
      </c>
      <c r="H661" s="1">
        <v>257</v>
      </c>
      <c r="I661" s="1">
        <f t="shared" si="3"/>
        <v>26</v>
      </c>
    </row>
    <row r="662" spans="1:11" x14ac:dyDescent="0.25">
      <c r="A662" s="1">
        <v>1</v>
      </c>
      <c r="B662" s="2">
        <v>43956</v>
      </c>
      <c r="C662" s="1">
        <v>22</v>
      </c>
      <c r="D662" s="1">
        <v>1</v>
      </c>
      <c r="E662" s="1">
        <v>30</v>
      </c>
      <c r="F662" s="1">
        <v>1</v>
      </c>
      <c r="G662" s="1">
        <v>1</v>
      </c>
      <c r="H662" s="1">
        <v>40</v>
      </c>
      <c r="I662" s="1">
        <f t="shared" si="3"/>
        <v>39</v>
      </c>
    </row>
    <row r="663" spans="1:11" x14ac:dyDescent="0.25">
      <c r="C663" s="1">
        <v>22</v>
      </c>
      <c r="D663" s="1">
        <v>1</v>
      </c>
      <c r="E663" s="1">
        <v>30</v>
      </c>
      <c r="F663" s="1">
        <v>2</v>
      </c>
      <c r="G663" s="1">
        <v>43</v>
      </c>
      <c r="H663" s="1">
        <v>91</v>
      </c>
      <c r="I663" s="1">
        <f t="shared" si="3"/>
        <v>48</v>
      </c>
    </row>
    <row r="664" spans="1:11" x14ac:dyDescent="0.25">
      <c r="C664" s="1">
        <v>22</v>
      </c>
      <c r="D664" s="1">
        <v>1</v>
      </c>
      <c r="E664" s="1">
        <v>30</v>
      </c>
      <c r="F664" s="1">
        <v>3</v>
      </c>
      <c r="G664" s="1">
        <v>98</v>
      </c>
      <c r="H664" s="1">
        <v>133</v>
      </c>
      <c r="I664" s="1">
        <f t="shared" si="3"/>
        <v>35</v>
      </c>
    </row>
    <row r="665" spans="1:11" x14ac:dyDescent="0.25">
      <c r="C665" s="1">
        <v>22</v>
      </c>
      <c r="D665" s="1">
        <v>1</v>
      </c>
      <c r="E665" s="1">
        <v>30</v>
      </c>
      <c r="F665" s="1">
        <v>4</v>
      </c>
      <c r="G665" s="1">
        <v>137</v>
      </c>
      <c r="H665" s="1">
        <v>189</v>
      </c>
      <c r="I665" s="1">
        <f t="shared" si="3"/>
        <v>52</v>
      </c>
    </row>
    <row r="666" spans="1:11" x14ac:dyDescent="0.25">
      <c r="C666" s="1">
        <v>22</v>
      </c>
      <c r="D666" s="1">
        <v>1</v>
      </c>
      <c r="E666" s="1">
        <v>10</v>
      </c>
      <c r="F666" s="1">
        <v>5</v>
      </c>
      <c r="G666" s="1">
        <v>189</v>
      </c>
      <c r="H666" s="1">
        <v>225</v>
      </c>
      <c r="I666" s="1">
        <f t="shared" si="3"/>
        <v>36</v>
      </c>
      <c r="J666" s="7">
        <f>(I666+I667+I668+I686+I685+I684+I677+I676+I675)/9</f>
        <v>23.555555555555557</v>
      </c>
      <c r="K666" s="6">
        <f>AVERAGE(I666:I686)</f>
        <v>26.523809523809526</v>
      </c>
    </row>
    <row r="667" spans="1:11" x14ac:dyDescent="0.25">
      <c r="C667" s="1">
        <v>22</v>
      </c>
      <c r="D667" s="1">
        <v>1</v>
      </c>
      <c r="E667" s="1">
        <v>10</v>
      </c>
      <c r="F667" s="1">
        <v>6</v>
      </c>
      <c r="G667" s="1">
        <v>225</v>
      </c>
      <c r="H667" s="1">
        <v>249</v>
      </c>
      <c r="I667" s="1">
        <f t="shared" si="3"/>
        <v>24</v>
      </c>
    </row>
    <row r="668" spans="1:11" x14ac:dyDescent="0.25">
      <c r="C668" s="1">
        <v>22</v>
      </c>
      <c r="D668" s="1">
        <v>1</v>
      </c>
      <c r="E668" s="1">
        <v>10</v>
      </c>
      <c r="F668" s="1">
        <v>7</v>
      </c>
      <c r="G668" s="1">
        <v>249</v>
      </c>
      <c r="H668" s="1">
        <v>265</v>
      </c>
      <c r="I668" s="1">
        <f t="shared" si="3"/>
        <v>16</v>
      </c>
    </row>
    <row r="669" spans="1:11" x14ac:dyDescent="0.25">
      <c r="C669" s="1">
        <v>22</v>
      </c>
      <c r="D669" s="1">
        <v>1</v>
      </c>
      <c r="E669" s="1">
        <v>10</v>
      </c>
      <c r="F669" s="1">
        <v>8</v>
      </c>
      <c r="G669" s="1">
        <v>265</v>
      </c>
      <c r="H669" s="1">
        <v>301</v>
      </c>
      <c r="I669" s="1">
        <f t="shared" si="3"/>
        <v>36</v>
      </c>
    </row>
    <row r="670" spans="1:11" x14ac:dyDescent="0.25">
      <c r="C670" s="1">
        <v>22</v>
      </c>
      <c r="D670" s="1">
        <v>1</v>
      </c>
      <c r="E670" s="1">
        <v>10</v>
      </c>
      <c r="F670" s="1">
        <v>9</v>
      </c>
      <c r="G670" s="1">
        <v>301</v>
      </c>
      <c r="H670" s="1">
        <v>343</v>
      </c>
      <c r="I670" s="1">
        <f t="shared" si="3"/>
        <v>42</v>
      </c>
    </row>
    <row r="671" spans="1:11" x14ac:dyDescent="0.25">
      <c r="C671" s="1">
        <v>22</v>
      </c>
      <c r="D671" s="1">
        <v>1</v>
      </c>
      <c r="E671" s="1">
        <v>10</v>
      </c>
      <c r="F671" s="1">
        <v>10</v>
      </c>
      <c r="G671" s="1">
        <v>343</v>
      </c>
      <c r="H671" s="1">
        <v>380</v>
      </c>
      <c r="I671" s="1">
        <f t="shared" si="3"/>
        <v>37</v>
      </c>
    </row>
    <row r="672" spans="1:11" x14ac:dyDescent="0.25">
      <c r="C672" s="1">
        <v>22</v>
      </c>
      <c r="D672" s="1">
        <v>1</v>
      </c>
      <c r="E672" s="1">
        <v>10</v>
      </c>
      <c r="F672" s="1">
        <v>11</v>
      </c>
      <c r="G672" s="1">
        <v>380</v>
      </c>
      <c r="H672" s="1">
        <v>419</v>
      </c>
      <c r="I672" s="1">
        <f t="shared" si="3"/>
        <v>39</v>
      </c>
    </row>
    <row r="673" spans="1:9" x14ac:dyDescent="0.25">
      <c r="C673" s="1">
        <v>22</v>
      </c>
      <c r="D673" s="1">
        <v>1</v>
      </c>
      <c r="E673" s="1">
        <v>10</v>
      </c>
      <c r="F673" s="1">
        <v>12</v>
      </c>
      <c r="G673" s="1">
        <v>420</v>
      </c>
      <c r="H673" s="1">
        <v>443</v>
      </c>
      <c r="I673" s="1">
        <f t="shared" si="3"/>
        <v>23</v>
      </c>
    </row>
    <row r="674" spans="1:9" x14ac:dyDescent="0.25">
      <c r="C674" s="1">
        <v>22</v>
      </c>
      <c r="D674" s="1">
        <v>1</v>
      </c>
      <c r="E674" s="1">
        <v>10</v>
      </c>
      <c r="F674" s="1">
        <v>13</v>
      </c>
      <c r="G674" s="1">
        <v>443</v>
      </c>
      <c r="H674" s="1">
        <v>479</v>
      </c>
      <c r="I674" s="1">
        <f t="shared" si="3"/>
        <v>36</v>
      </c>
    </row>
    <row r="675" spans="1:9" x14ac:dyDescent="0.25">
      <c r="C675" s="1">
        <v>22</v>
      </c>
      <c r="D675" s="1">
        <v>1</v>
      </c>
      <c r="E675" s="1">
        <v>10</v>
      </c>
      <c r="F675" s="1">
        <v>14</v>
      </c>
      <c r="G675" s="1">
        <v>479</v>
      </c>
      <c r="H675" s="1">
        <v>518</v>
      </c>
      <c r="I675" s="1">
        <f t="shared" si="3"/>
        <v>39</v>
      </c>
    </row>
    <row r="676" spans="1:9" x14ac:dyDescent="0.25">
      <c r="C676" s="1">
        <v>22</v>
      </c>
      <c r="D676" s="1">
        <v>1</v>
      </c>
      <c r="E676" s="1">
        <v>10</v>
      </c>
      <c r="F676" s="1">
        <v>15</v>
      </c>
      <c r="G676" s="1">
        <v>518</v>
      </c>
      <c r="H676" s="1">
        <v>555</v>
      </c>
      <c r="I676" s="1">
        <f t="shared" si="3"/>
        <v>37</v>
      </c>
    </row>
    <row r="677" spans="1:9" x14ac:dyDescent="0.25">
      <c r="C677" s="1">
        <v>22</v>
      </c>
      <c r="D677" s="1">
        <v>1</v>
      </c>
      <c r="E677" s="1">
        <v>10</v>
      </c>
      <c r="F677" s="1">
        <v>16</v>
      </c>
      <c r="G677" s="1">
        <v>555</v>
      </c>
      <c r="H677" s="1">
        <v>580</v>
      </c>
      <c r="I677" s="1">
        <f t="shared" si="3"/>
        <v>25</v>
      </c>
    </row>
    <row r="678" spans="1:9" x14ac:dyDescent="0.25">
      <c r="C678" s="1">
        <v>22</v>
      </c>
      <c r="D678" s="1">
        <v>1</v>
      </c>
      <c r="E678" s="1">
        <v>10</v>
      </c>
      <c r="F678" s="1">
        <v>17</v>
      </c>
      <c r="G678" s="1">
        <v>580</v>
      </c>
      <c r="H678" s="1">
        <v>615</v>
      </c>
      <c r="I678" s="1">
        <f t="shared" si="3"/>
        <v>35</v>
      </c>
    </row>
    <row r="679" spans="1:9" x14ac:dyDescent="0.25">
      <c r="C679" s="1">
        <v>22</v>
      </c>
      <c r="D679" s="1">
        <v>1</v>
      </c>
      <c r="E679" s="1">
        <v>10</v>
      </c>
      <c r="F679" s="1">
        <v>18</v>
      </c>
      <c r="G679" s="1">
        <v>617</v>
      </c>
      <c r="H679" s="1">
        <v>643</v>
      </c>
      <c r="I679" s="1">
        <f t="shared" si="3"/>
        <v>26</v>
      </c>
    </row>
    <row r="680" spans="1:9" x14ac:dyDescent="0.25">
      <c r="C680" s="1">
        <v>22</v>
      </c>
      <c r="D680" s="1">
        <v>1</v>
      </c>
      <c r="E680" s="1">
        <v>10</v>
      </c>
      <c r="F680" s="1">
        <v>19</v>
      </c>
      <c r="G680" s="1">
        <v>649</v>
      </c>
      <c r="H680" s="1">
        <v>662</v>
      </c>
      <c r="I680" s="1">
        <f t="shared" si="3"/>
        <v>13</v>
      </c>
    </row>
    <row r="681" spans="1:9" x14ac:dyDescent="0.25">
      <c r="C681" s="1">
        <v>22</v>
      </c>
      <c r="D681" s="1">
        <v>1</v>
      </c>
      <c r="E681" s="1">
        <v>10</v>
      </c>
      <c r="F681" s="1">
        <v>20</v>
      </c>
      <c r="G681" s="1">
        <v>662</v>
      </c>
      <c r="H681" s="1">
        <v>680</v>
      </c>
      <c r="I681" s="1">
        <f t="shared" si="3"/>
        <v>18</v>
      </c>
    </row>
    <row r="682" spans="1:9" x14ac:dyDescent="0.25">
      <c r="C682" s="1">
        <v>22</v>
      </c>
      <c r="D682" s="1">
        <v>1</v>
      </c>
      <c r="E682" s="1">
        <v>10</v>
      </c>
      <c r="F682" s="1">
        <v>21</v>
      </c>
      <c r="G682" s="1">
        <v>680</v>
      </c>
      <c r="H682" s="1">
        <v>706</v>
      </c>
      <c r="I682" s="1">
        <f t="shared" si="3"/>
        <v>26</v>
      </c>
    </row>
    <row r="683" spans="1:9" x14ac:dyDescent="0.25">
      <c r="C683" s="1">
        <v>22</v>
      </c>
      <c r="D683" s="1">
        <v>1</v>
      </c>
      <c r="E683" s="1">
        <v>10</v>
      </c>
      <c r="F683" s="1">
        <v>22</v>
      </c>
      <c r="G683" s="1">
        <v>713</v>
      </c>
      <c r="H683" s="1">
        <v>727</v>
      </c>
      <c r="I683" s="1">
        <f t="shared" si="3"/>
        <v>14</v>
      </c>
    </row>
    <row r="684" spans="1:9" x14ac:dyDescent="0.25">
      <c r="C684" s="1">
        <v>22</v>
      </c>
      <c r="D684" s="1">
        <v>1</v>
      </c>
      <c r="E684" s="1">
        <v>10</v>
      </c>
      <c r="F684" s="1">
        <v>23</v>
      </c>
      <c r="G684" s="1">
        <v>727</v>
      </c>
      <c r="H684" s="1">
        <v>736</v>
      </c>
      <c r="I684" s="1">
        <f t="shared" si="3"/>
        <v>9</v>
      </c>
    </row>
    <row r="685" spans="1:9" x14ac:dyDescent="0.25">
      <c r="C685" s="1">
        <v>22</v>
      </c>
      <c r="D685" s="1">
        <v>1</v>
      </c>
      <c r="E685" s="1">
        <v>10</v>
      </c>
      <c r="F685" s="1">
        <v>24</v>
      </c>
      <c r="G685" s="1">
        <v>736</v>
      </c>
      <c r="H685" s="1">
        <v>759</v>
      </c>
      <c r="I685" s="1">
        <f t="shared" si="3"/>
        <v>23</v>
      </c>
    </row>
    <row r="686" spans="1:9" x14ac:dyDescent="0.25">
      <c r="C686" s="1">
        <v>22</v>
      </c>
      <c r="D686" s="1">
        <v>1</v>
      </c>
      <c r="E686" s="1">
        <v>10</v>
      </c>
      <c r="F686" s="1">
        <v>25</v>
      </c>
      <c r="G686" s="1">
        <v>759</v>
      </c>
      <c r="H686" s="1">
        <v>762</v>
      </c>
      <c r="I686" s="1">
        <f t="shared" si="3"/>
        <v>3</v>
      </c>
    </row>
    <row r="687" spans="1:9" x14ac:dyDescent="0.25">
      <c r="A687" s="1">
        <v>1</v>
      </c>
      <c r="B687" s="4">
        <v>43956</v>
      </c>
      <c r="C687" s="3">
        <v>23</v>
      </c>
      <c r="D687" s="3">
        <v>2</v>
      </c>
      <c r="E687" s="3">
        <v>30</v>
      </c>
      <c r="F687" s="3">
        <v>1</v>
      </c>
      <c r="G687" s="3">
        <v>3</v>
      </c>
      <c r="H687" s="3">
        <v>3</v>
      </c>
      <c r="I687" s="3">
        <f>H687-G687</f>
        <v>0</v>
      </c>
    </row>
    <row r="688" spans="1:9" x14ac:dyDescent="0.25">
      <c r="B688" s="3"/>
      <c r="C688" s="3">
        <v>23</v>
      </c>
      <c r="D688" s="3">
        <v>2</v>
      </c>
      <c r="E688" s="3">
        <v>30</v>
      </c>
      <c r="F688" s="3">
        <v>2</v>
      </c>
      <c r="G688" s="3">
        <v>3</v>
      </c>
      <c r="H688" s="3">
        <v>37</v>
      </c>
      <c r="I688" s="3">
        <f t="shared" si="3"/>
        <v>34</v>
      </c>
    </row>
    <row r="689" spans="1:11" x14ac:dyDescent="0.25">
      <c r="B689" s="3"/>
      <c r="C689" s="3">
        <v>23</v>
      </c>
      <c r="D689" s="3">
        <v>2</v>
      </c>
      <c r="E689" s="3">
        <v>30</v>
      </c>
      <c r="F689" s="3">
        <v>3</v>
      </c>
      <c r="G689" s="3">
        <v>37</v>
      </c>
      <c r="H689" s="3">
        <v>69</v>
      </c>
      <c r="I689" s="3">
        <f t="shared" si="3"/>
        <v>32</v>
      </c>
    </row>
    <row r="690" spans="1:11" x14ac:dyDescent="0.25">
      <c r="B690" s="3"/>
      <c r="C690" s="3">
        <v>23</v>
      </c>
      <c r="D690" s="3">
        <v>2</v>
      </c>
      <c r="E690" s="3">
        <v>30</v>
      </c>
      <c r="F690" s="3">
        <v>4</v>
      </c>
      <c r="G690" s="3">
        <v>71</v>
      </c>
      <c r="H690" s="3">
        <v>84</v>
      </c>
      <c r="I690" s="3">
        <f t="shared" si="3"/>
        <v>13</v>
      </c>
    </row>
    <row r="691" spans="1:11" x14ac:dyDescent="0.25">
      <c r="B691" s="3"/>
      <c r="C691" s="3">
        <v>23</v>
      </c>
      <c r="D691" s="3">
        <v>2</v>
      </c>
      <c r="E691" s="3">
        <v>10</v>
      </c>
      <c r="F691" s="3">
        <v>5</v>
      </c>
      <c r="G691" s="3">
        <v>84</v>
      </c>
      <c r="H691" s="3">
        <v>119</v>
      </c>
      <c r="I691" s="3">
        <f t="shared" si="3"/>
        <v>35</v>
      </c>
      <c r="K691" s="6">
        <f>AVERAGE(I691:I692)</f>
        <v>29</v>
      </c>
    </row>
    <row r="692" spans="1:11" x14ac:dyDescent="0.25">
      <c r="B692" s="3"/>
      <c r="C692" s="3">
        <v>23</v>
      </c>
      <c r="D692" s="3">
        <v>2</v>
      </c>
      <c r="E692" s="3">
        <v>10</v>
      </c>
      <c r="F692" s="3">
        <v>6</v>
      </c>
      <c r="G692" s="3">
        <v>119</v>
      </c>
      <c r="H692" s="3">
        <v>142</v>
      </c>
      <c r="I692" s="3">
        <f t="shared" si="3"/>
        <v>23</v>
      </c>
    </row>
    <row r="693" spans="1:11" x14ac:dyDescent="0.25">
      <c r="A693" s="1">
        <v>1</v>
      </c>
      <c r="B693" s="2">
        <v>43956</v>
      </c>
      <c r="C693" s="1">
        <v>24</v>
      </c>
      <c r="D693" s="1">
        <v>1</v>
      </c>
      <c r="E693" s="1">
        <v>30</v>
      </c>
      <c r="F693" s="1">
        <v>1</v>
      </c>
      <c r="G693" s="1">
        <v>3</v>
      </c>
      <c r="H693" s="1">
        <v>3</v>
      </c>
      <c r="I693" s="1">
        <f t="shared" si="3"/>
        <v>0</v>
      </c>
    </row>
    <row r="694" spans="1:11" x14ac:dyDescent="0.25">
      <c r="C694" s="1">
        <v>24</v>
      </c>
      <c r="D694" s="1">
        <v>1</v>
      </c>
      <c r="E694" s="1">
        <v>30</v>
      </c>
      <c r="F694" s="1">
        <v>2</v>
      </c>
      <c r="G694" s="1">
        <v>12</v>
      </c>
      <c r="H694" s="1">
        <v>59</v>
      </c>
      <c r="I694" s="1">
        <f t="shared" si="3"/>
        <v>47</v>
      </c>
    </row>
    <row r="695" spans="1:11" x14ac:dyDescent="0.25">
      <c r="C695" s="1">
        <v>24</v>
      </c>
      <c r="D695" s="1">
        <v>1</v>
      </c>
      <c r="E695" s="1">
        <v>30</v>
      </c>
      <c r="F695" s="1">
        <v>3</v>
      </c>
      <c r="G695" s="1">
        <v>65</v>
      </c>
      <c r="H695" s="1">
        <v>110</v>
      </c>
      <c r="I695" s="1">
        <f t="shared" si="3"/>
        <v>45</v>
      </c>
    </row>
    <row r="696" spans="1:11" x14ac:dyDescent="0.25">
      <c r="C696" s="1">
        <v>24</v>
      </c>
      <c r="D696" s="1">
        <v>1</v>
      </c>
      <c r="E696" s="1">
        <v>30</v>
      </c>
      <c r="F696" s="1">
        <v>4</v>
      </c>
      <c r="G696" s="1">
        <v>121</v>
      </c>
      <c r="H696" s="1">
        <v>170</v>
      </c>
      <c r="I696" s="1">
        <f t="shared" si="3"/>
        <v>49</v>
      </c>
    </row>
    <row r="697" spans="1:11" x14ac:dyDescent="0.25">
      <c r="C697" s="1">
        <v>24</v>
      </c>
      <c r="D697" s="1">
        <v>1</v>
      </c>
      <c r="E697" s="1">
        <v>10</v>
      </c>
      <c r="F697" s="1">
        <v>5</v>
      </c>
      <c r="G697" s="1">
        <v>181</v>
      </c>
      <c r="H697" s="1">
        <v>220</v>
      </c>
      <c r="I697" s="1">
        <f t="shared" si="3"/>
        <v>39</v>
      </c>
      <c r="J697" s="7">
        <f>(I697+I698+I699+I717+I716+I715+I708+I707+I706)/9</f>
        <v>35.222222222222221</v>
      </c>
      <c r="K697" s="6">
        <f>AVERAGE(I697:I717)</f>
        <v>37.61904761904762</v>
      </c>
    </row>
    <row r="698" spans="1:11" x14ac:dyDescent="0.25">
      <c r="C698" s="1">
        <v>24</v>
      </c>
      <c r="D698" s="1">
        <v>1</v>
      </c>
      <c r="E698" s="1">
        <v>10</v>
      </c>
      <c r="F698" s="1">
        <v>6</v>
      </c>
      <c r="G698" s="1">
        <v>222</v>
      </c>
      <c r="H698" s="1">
        <v>267</v>
      </c>
      <c r="I698" s="1">
        <f t="shared" si="3"/>
        <v>45</v>
      </c>
    </row>
    <row r="699" spans="1:11" x14ac:dyDescent="0.25">
      <c r="C699" s="1">
        <v>24</v>
      </c>
      <c r="D699" s="1">
        <v>1</v>
      </c>
      <c r="E699" s="1">
        <v>10</v>
      </c>
      <c r="F699" s="1">
        <v>7</v>
      </c>
      <c r="G699" s="1">
        <v>269</v>
      </c>
      <c r="H699" s="1">
        <v>321</v>
      </c>
      <c r="I699" s="1">
        <f t="shared" si="3"/>
        <v>52</v>
      </c>
    </row>
    <row r="700" spans="1:11" x14ac:dyDescent="0.25">
      <c r="C700" s="1">
        <v>24</v>
      </c>
      <c r="D700" s="1">
        <v>1</v>
      </c>
      <c r="E700" s="1">
        <v>10</v>
      </c>
      <c r="F700" s="1">
        <v>8</v>
      </c>
      <c r="G700" s="1">
        <v>321</v>
      </c>
      <c r="H700" s="1">
        <v>354</v>
      </c>
      <c r="I700" s="1">
        <f t="shared" si="3"/>
        <v>33</v>
      </c>
    </row>
    <row r="701" spans="1:11" x14ac:dyDescent="0.25">
      <c r="C701" s="1">
        <v>24</v>
      </c>
      <c r="D701" s="1">
        <v>1</v>
      </c>
      <c r="E701" s="1">
        <v>10</v>
      </c>
      <c r="F701" s="1">
        <v>9</v>
      </c>
      <c r="G701" s="1">
        <v>354</v>
      </c>
      <c r="H701" s="1">
        <v>389</v>
      </c>
      <c r="I701" s="1">
        <f t="shared" si="3"/>
        <v>35</v>
      </c>
    </row>
    <row r="702" spans="1:11" x14ac:dyDescent="0.25">
      <c r="C702" s="1">
        <v>24</v>
      </c>
      <c r="D702" s="1">
        <v>1</v>
      </c>
      <c r="E702" s="1">
        <v>10</v>
      </c>
      <c r="F702" s="1">
        <v>10</v>
      </c>
      <c r="G702" s="1">
        <v>389</v>
      </c>
      <c r="H702" s="1">
        <v>412</v>
      </c>
      <c r="I702" s="1">
        <f t="shared" si="3"/>
        <v>23</v>
      </c>
    </row>
    <row r="703" spans="1:11" x14ac:dyDescent="0.25">
      <c r="C703" s="1">
        <v>24</v>
      </c>
      <c r="D703" s="1">
        <v>1</v>
      </c>
      <c r="E703" s="1">
        <v>10</v>
      </c>
      <c r="F703" s="1">
        <v>11</v>
      </c>
      <c r="G703" s="1">
        <v>412</v>
      </c>
      <c r="H703" s="1">
        <v>450</v>
      </c>
      <c r="I703" s="1">
        <f t="shared" si="3"/>
        <v>38</v>
      </c>
    </row>
    <row r="704" spans="1:11" x14ac:dyDescent="0.25">
      <c r="C704" s="1">
        <v>24</v>
      </c>
      <c r="D704" s="1">
        <v>1</v>
      </c>
      <c r="E704" s="1">
        <v>10</v>
      </c>
      <c r="F704" s="1">
        <v>12</v>
      </c>
      <c r="G704" s="1">
        <v>450</v>
      </c>
      <c r="H704" s="1">
        <v>457</v>
      </c>
      <c r="I704" s="1">
        <f t="shared" si="3"/>
        <v>7</v>
      </c>
    </row>
    <row r="705" spans="1:9" x14ac:dyDescent="0.25">
      <c r="C705" s="1">
        <v>24</v>
      </c>
      <c r="D705" s="1">
        <v>1</v>
      </c>
      <c r="E705" s="1">
        <v>10</v>
      </c>
      <c r="F705" s="1">
        <v>13</v>
      </c>
      <c r="G705" s="1">
        <v>457</v>
      </c>
      <c r="H705" s="1">
        <v>492</v>
      </c>
      <c r="I705" s="1">
        <f t="shared" si="3"/>
        <v>35</v>
      </c>
    </row>
    <row r="706" spans="1:9" x14ac:dyDescent="0.25">
      <c r="C706" s="1">
        <v>24</v>
      </c>
      <c r="D706" s="1">
        <v>1</v>
      </c>
      <c r="E706" s="1">
        <v>10</v>
      </c>
      <c r="F706" s="1">
        <v>14</v>
      </c>
      <c r="G706" s="1">
        <v>492</v>
      </c>
      <c r="H706" s="1">
        <v>507</v>
      </c>
      <c r="I706" s="1">
        <f t="shared" si="3"/>
        <v>15</v>
      </c>
    </row>
    <row r="707" spans="1:9" x14ac:dyDescent="0.25">
      <c r="C707" s="1">
        <v>24</v>
      </c>
      <c r="D707" s="1">
        <v>1</v>
      </c>
      <c r="E707" s="1">
        <v>10</v>
      </c>
      <c r="F707" s="1">
        <v>15</v>
      </c>
      <c r="G707" s="1">
        <v>507</v>
      </c>
      <c r="H707" s="1">
        <v>507</v>
      </c>
      <c r="I707" s="1">
        <f t="shared" si="3"/>
        <v>0</v>
      </c>
    </row>
    <row r="708" spans="1:9" x14ac:dyDescent="0.25">
      <c r="C708" s="1">
        <v>24</v>
      </c>
      <c r="D708" s="1">
        <v>1</v>
      </c>
      <c r="E708" s="1">
        <v>10</v>
      </c>
      <c r="F708" s="1">
        <v>16</v>
      </c>
      <c r="G708" s="1">
        <v>507</v>
      </c>
      <c r="H708" s="1">
        <v>540</v>
      </c>
      <c r="I708" s="1">
        <f t="shared" si="3"/>
        <v>33</v>
      </c>
    </row>
    <row r="709" spans="1:9" x14ac:dyDescent="0.25">
      <c r="C709" s="1">
        <v>24</v>
      </c>
      <c r="D709" s="1">
        <v>1</v>
      </c>
      <c r="E709" s="1">
        <v>10</v>
      </c>
      <c r="F709" s="1">
        <v>17</v>
      </c>
      <c r="G709" s="1">
        <v>543</v>
      </c>
      <c r="H709" s="1">
        <v>590</v>
      </c>
      <c r="I709" s="1">
        <f t="shared" si="3"/>
        <v>47</v>
      </c>
    </row>
    <row r="710" spans="1:9" x14ac:dyDescent="0.25">
      <c r="C710" s="1">
        <v>24</v>
      </c>
      <c r="D710" s="1">
        <v>1</v>
      </c>
      <c r="E710" s="1">
        <v>10</v>
      </c>
      <c r="F710" s="1">
        <v>18</v>
      </c>
      <c r="G710" s="1">
        <v>590</v>
      </c>
      <c r="H710" s="1">
        <v>638</v>
      </c>
      <c r="I710" s="1">
        <f t="shared" si="3"/>
        <v>48</v>
      </c>
    </row>
    <row r="711" spans="1:9" x14ac:dyDescent="0.25">
      <c r="C711" s="1">
        <v>24</v>
      </c>
      <c r="D711" s="1">
        <v>1</v>
      </c>
      <c r="E711" s="1">
        <v>10</v>
      </c>
      <c r="F711" s="1">
        <v>19</v>
      </c>
      <c r="G711" s="1">
        <v>638</v>
      </c>
      <c r="H711" s="1">
        <v>690</v>
      </c>
      <c r="I711" s="1">
        <f t="shared" si="3"/>
        <v>52</v>
      </c>
    </row>
    <row r="712" spans="1:9" x14ac:dyDescent="0.25">
      <c r="C712" s="1">
        <v>24</v>
      </c>
      <c r="D712" s="1">
        <v>1</v>
      </c>
      <c r="E712" s="1">
        <v>10</v>
      </c>
      <c r="F712" s="1">
        <v>20</v>
      </c>
      <c r="G712" s="1">
        <v>693</v>
      </c>
      <c r="H712" s="1">
        <v>754</v>
      </c>
      <c r="I712" s="1">
        <f t="shared" si="3"/>
        <v>61</v>
      </c>
    </row>
    <row r="713" spans="1:9" x14ac:dyDescent="0.25">
      <c r="C713" s="1">
        <v>24</v>
      </c>
      <c r="D713" s="1">
        <v>1</v>
      </c>
      <c r="E713" s="1">
        <v>10</v>
      </c>
      <c r="F713" s="1">
        <v>21</v>
      </c>
      <c r="G713" s="1">
        <v>758</v>
      </c>
      <c r="H713" s="1">
        <v>807</v>
      </c>
      <c r="I713" s="1">
        <f t="shared" si="3"/>
        <v>49</v>
      </c>
    </row>
    <row r="714" spans="1:9" x14ac:dyDescent="0.25">
      <c r="C714" s="1">
        <v>24</v>
      </c>
      <c r="D714" s="1">
        <v>1</v>
      </c>
      <c r="E714" s="1">
        <v>10</v>
      </c>
      <c r="F714" s="1">
        <v>22</v>
      </c>
      <c r="G714" s="1">
        <v>813</v>
      </c>
      <c r="H714" s="1">
        <v>858</v>
      </c>
      <c r="I714" s="1">
        <f t="shared" si="3"/>
        <v>45</v>
      </c>
    </row>
    <row r="715" spans="1:9" x14ac:dyDescent="0.25">
      <c r="C715" s="1">
        <v>24</v>
      </c>
      <c r="D715" s="1">
        <v>1</v>
      </c>
      <c r="E715" s="1">
        <v>10</v>
      </c>
      <c r="F715" s="1">
        <v>23</v>
      </c>
      <c r="G715" s="1">
        <v>858</v>
      </c>
      <c r="H715" s="1">
        <v>910</v>
      </c>
      <c r="I715" s="1">
        <f t="shared" si="3"/>
        <v>52</v>
      </c>
    </row>
    <row r="716" spans="1:9" x14ac:dyDescent="0.25">
      <c r="C716" s="1">
        <v>24</v>
      </c>
      <c r="D716" s="1">
        <v>1</v>
      </c>
      <c r="E716" s="1">
        <v>10</v>
      </c>
      <c r="F716" s="1">
        <v>24</v>
      </c>
      <c r="G716" s="1">
        <v>910</v>
      </c>
      <c r="H716" s="1">
        <v>954</v>
      </c>
      <c r="I716" s="1">
        <f t="shared" si="3"/>
        <v>44</v>
      </c>
    </row>
    <row r="717" spans="1:9" x14ac:dyDescent="0.25">
      <c r="C717" s="1">
        <v>24</v>
      </c>
      <c r="D717" s="1">
        <v>1</v>
      </c>
      <c r="E717" s="1">
        <v>10</v>
      </c>
      <c r="F717" s="1">
        <v>25</v>
      </c>
      <c r="G717" s="1">
        <v>956</v>
      </c>
      <c r="H717" s="1">
        <v>993</v>
      </c>
      <c r="I717" s="1">
        <f t="shared" si="3"/>
        <v>37</v>
      </c>
    </row>
    <row r="718" spans="1:9" x14ac:dyDescent="0.25">
      <c r="A718" s="1">
        <v>1</v>
      </c>
      <c r="B718" s="2">
        <v>43956</v>
      </c>
      <c r="C718" s="1">
        <v>25</v>
      </c>
      <c r="D718" s="1">
        <v>1</v>
      </c>
      <c r="E718" s="1">
        <v>30</v>
      </c>
      <c r="F718" s="1">
        <v>1</v>
      </c>
      <c r="G718" s="1">
        <v>0</v>
      </c>
      <c r="H718" s="1">
        <v>45</v>
      </c>
      <c r="I718" s="1">
        <f t="shared" si="3"/>
        <v>45</v>
      </c>
    </row>
    <row r="719" spans="1:9" x14ac:dyDescent="0.25">
      <c r="C719" s="1">
        <v>25</v>
      </c>
      <c r="D719" s="1">
        <v>1</v>
      </c>
      <c r="E719" s="1">
        <v>30</v>
      </c>
      <c r="F719" s="1">
        <v>2</v>
      </c>
      <c r="G719" s="1">
        <v>47</v>
      </c>
      <c r="H719" s="1">
        <v>96</v>
      </c>
      <c r="I719" s="1">
        <f t="shared" si="3"/>
        <v>49</v>
      </c>
    </row>
    <row r="720" spans="1:9" x14ac:dyDescent="0.25">
      <c r="C720" s="1">
        <v>25</v>
      </c>
      <c r="D720" s="1">
        <v>1</v>
      </c>
      <c r="E720" s="1">
        <v>30</v>
      </c>
      <c r="F720" s="1">
        <v>3</v>
      </c>
      <c r="G720" s="1">
        <v>102</v>
      </c>
      <c r="H720" s="1">
        <v>149</v>
      </c>
      <c r="I720" s="1">
        <f t="shared" si="3"/>
        <v>47</v>
      </c>
    </row>
    <row r="721" spans="3:11" x14ac:dyDescent="0.25">
      <c r="C721" s="1">
        <v>25</v>
      </c>
      <c r="D721" s="1">
        <v>1</v>
      </c>
      <c r="E721" s="1">
        <v>30</v>
      </c>
      <c r="F721" s="1">
        <v>4</v>
      </c>
      <c r="G721" s="1">
        <v>151</v>
      </c>
      <c r="H721" s="1">
        <v>191</v>
      </c>
      <c r="I721" s="1">
        <f t="shared" si="3"/>
        <v>40</v>
      </c>
    </row>
    <row r="722" spans="3:11" x14ac:dyDescent="0.25">
      <c r="C722" s="1">
        <v>25</v>
      </c>
      <c r="D722" s="1">
        <v>1</v>
      </c>
      <c r="E722" s="1">
        <v>10</v>
      </c>
      <c r="F722" s="1">
        <v>5</v>
      </c>
      <c r="G722" s="1">
        <v>197</v>
      </c>
      <c r="H722" s="1">
        <v>245</v>
      </c>
      <c r="I722" s="1">
        <f t="shared" si="3"/>
        <v>48</v>
      </c>
      <c r="J722" s="7">
        <f>(I722+I723+I724+I742+I741+I740+I733+I732+I731)/9</f>
        <v>43</v>
      </c>
      <c r="K722" s="6">
        <f>AVERAGE(I722:I742)</f>
        <v>38.952380952380949</v>
      </c>
    </row>
    <row r="723" spans="3:11" x14ac:dyDescent="0.25">
      <c r="C723" s="1">
        <v>25</v>
      </c>
      <c r="D723" s="1">
        <v>1</v>
      </c>
      <c r="E723" s="1">
        <v>10</v>
      </c>
      <c r="F723" s="1">
        <v>6</v>
      </c>
      <c r="G723" s="1">
        <v>250</v>
      </c>
      <c r="H723" s="1">
        <v>270</v>
      </c>
      <c r="I723" s="1">
        <f t="shared" si="3"/>
        <v>20</v>
      </c>
    </row>
    <row r="724" spans="3:11" x14ac:dyDescent="0.25">
      <c r="C724" s="1">
        <v>25</v>
      </c>
      <c r="D724" s="1">
        <v>1</v>
      </c>
      <c r="E724" s="1">
        <v>10</v>
      </c>
      <c r="F724" s="1">
        <v>7</v>
      </c>
      <c r="G724" s="1">
        <v>270</v>
      </c>
      <c r="H724" s="1">
        <v>313</v>
      </c>
      <c r="I724" s="1">
        <f t="shared" si="3"/>
        <v>43</v>
      </c>
    </row>
    <row r="725" spans="3:11" x14ac:dyDescent="0.25">
      <c r="C725" s="1">
        <v>25</v>
      </c>
      <c r="D725" s="1">
        <v>1</v>
      </c>
      <c r="E725" s="1">
        <v>10</v>
      </c>
      <c r="F725" s="1">
        <v>8</v>
      </c>
      <c r="G725" s="1">
        <v>313</v>
      </c>
      <c r="H725" s="1">
        <v>341</v>
      </c>
      <c r="I725" s="1">
        <f t="shared" si="3"/>
        <v>28</v>
      </c>
    </row>
    <row r="726" spans="3:11" x14ac:dyDescent="0.25">
      <c r="C726" s="1">
        <v>25</v>
      </c>
      <c r="D726" s="1">
        <v>1</v>
      </c>
      <c r="E726" s="1">
        <v>10</v>
      </c>
      <c r="F726" s="1">
        <v>9</v>
      </c>
      <c r="G726" s="1">
        <v>341</v>
      </c>
      <c r="H726" s="1">
        <v>344</v>
      </c>
      <c r="I726" s="1">
        <f t="shared" si="3"/>
        <v>3</v>
      </c>
    </row>
    <row r="727" spans="3:11" x14ac:dyDescent="0.25">
      <c r="C727" s="1">
        <v>25</v>
      </c>
      <c r="D727" s="1">
        <v>1</v>
      </c>
      <c r="E727" s="1">
        <v>10</v>
      </c>
      <c r="F727" s="1">
        <v>10</v>
      </c>
      <c r="G727" s="1">
        <v>344</v>
      </c>
      <c r="H727" s="1">
        <v>389</v>
      </c>
      <c r="I727" s="1">
        <f t="shared" si="3"/>
        <v>45</v>
      </c>
    </row>
    <row r="728" spans="3:11" x14ac:dyDescent="0.25">
      <c r="C728" s="1">
        <v>25</v>
      </c>
      <c r="D728" s="1">
        <v>1</v>
      </c>
      <c r="E728" s="1">
        <v>10</v>
      </c>
      <c r="F728" s="1">
        <v>11</v>
      </c>
      <c r="G728" s="1">
        <v>393</v>
      </c>
      <c r="H728" s="1">
        <v>437</v>
      </c>
      <c r="I728" s="1">
        <f t="shared" si="3"/>
        <v>44</v>
      </c>
    </row>
    <row r="729" spans="3:11" x14ac:dyDescent="0.25">
      <c r="C729" s="1">
        <v>25</v>
      </c>
      <c r="D729" s="1">
        <v>1</v>
      </c>
      <c r="E729" s="1">
        <v>10</v>
      </c>
      <c r="F729" s="1">
        <v>12</v>
      </c>
      <c r="G729" s="1">
        <v>437</v>
      </c>
      <c r="H729" s="1">
        <v>475</v>
      </c>
      <c r="I729" s="1">
        <f t="shared" si="3"/>
        <v>38</v>
      </c>
    </row>
    <row r="730" spans="3:11" x14ac:dyDescent="0.25">
      <c r="C730" s="1">
        <v>25</v>
      </c>
      <c r="D730" s="1">
        <v>1</v>
      </c>
      <c r="E730" s="1">
        <v>10</v>
      </c>
      <c r="F730" s="1">
        <v>13</v>
      </c>
      <c r="G730" s="1">
        <v>475</v>
      </c>
      <c r="H730" s="1">
        <v>507</v>
      </c>
      <c r="I730" s="1">
        <f t="shared" si="3"/>
        <v>32</v>
      </c>
    </row>
    <row r="731" spans="3:11" x14ac:dyDescent="0.25">
      <c r="C731" s="1">
        <v>25</v>
      </c>
      <c r="D731" s="1">
        <v>1</v>
      </c>
      <c r="E731" s="1">
        <v>10</v>
      </c>
      <c r="F731" s="1">
        <v>14</v>
      </c>
      <c r="G731" s="1">
        <v>507</v>
      </c>
      <c r="H731" s="1">
        <v>559</v>
      </c>
      <c r="I731" s="1">
        <f t="shared" si="3"/>
        <v>52</v>
      </c>
    </row>
    <row r="732" spans="3:11" x14ac:dyDescent="0.25">
      <c r="C732" s="1">
        <v>25</v>
      </c>
      <c r="D732" s="1">
        <v>1</v>
      </c>
      <c r="E732" s="1">
        <v>10</v>
      </c>
      <c r="F732" s="1">
        <v>15</v>
      </c>
      <c r="G732" s="1">
        <v>559</v>
      </c>
      <c r="H732" s="1">
        <v>604</v>
      </c>
      <c r="I732" s="1">
        <f t="shared" si="3"/>
        <v>45</v>
      </c>
    </row>
    <row r="733" spans="3:11" x14ac:dyDescent="0.25">
      <c r="C733" s="1">
        <v>25</v>
      </c>
      <c r="D733" s="1">
        <v>1</v>
      </c>
      <c r="E733" s="1">
        <v>10</v>
      </c>
      <c r="F733" s="1">
        <v>16</v>
      </c>
      <c r="G733" s="1">
        <v>604</v>
      </c>
      <c r="H733" s="1">
        <v>650</v>
      </c>
      <c r="I733" s="1">
        <f t="shared" si="3"/>
        <v>46</v>
      </c>
    </row>
    <row r="734" spans="3:11" x14ac:dyDescent="0.25">
      <c r="C734" s="1">
        <v>25</v>
      </c>
      <c r="D734" s="1">
        <v>1</v>
      </c>
      <c r="E734" s="1">
        <v>10</v>
      </c>
      <c r="F734" s="1">
        <v>17</v>
      </c>
      <c r="G734" s="1">
        <v>650</v>
      </c>
      <c r="H734" s="1">
        <v>698</v>
      </c>
      <c r="I734" s="1">
        <f t="shared" si="3"/>
        <v>48</v>
      </c>
    </row>
    <row r="735" spans="3:11" x14ac:dyDescent="0.25">
      <c r="C735" s="1">
        <v>25</v>
      </c>
      <c r="D735" s="1">
        <v>1</v>
      </c>
      <c r="E735" s="1">
        <v>10</v>
      </c>
      <c r="F735" s="1">
        <v>18</v>
      </c>
      <c r="G735" s="1">
        <v>698</v>
      </c>
      <c r="H735" s="1">
        <v>738</v>
      </c>
      <c r="I735" s="1">
        <f t="shared" si="3"/>
        <v>40</v>
      </c>
    </row>
    <row r="736" spans="3:11" x14ac:dyDescent="0.25">
      <c r="C736" s="1">
        <v>25</v>
      </c>
      <c r="D736" s="1">
        <v>1</v>
      </c>
      <c r="E736" s="1">
        <v>10</v>
      </c>
      <c r="F736" s="1">
        <v>19</v>
      </c>
      <c r="G736" s="1">
        <v>742</v>
      </c>
      <c r="H736" s="1">
        <v>790</v>
      </c>
      <c r="I736" s="1">
        <f t="shared" si="3"/>
        <v>48</v>
      </c>
    </row>
    <row r="737" spans="1:11" x14ac:dyDescent="0.25">
      <c r="C737" s="1">
        <v>25</v>
      </c>
      <c r="D737" s="1">
        <v>1</v>
      </c>
      <c r="E737" s="1">
        <v>10</v>
      </c>
      <c r="F737" s="1">
        <v>20</v>
      </c>
      <c r="G737" s="1">
        <v>790</v>
      </c>
      <c r="H737" s="1">
        <v>827</v>
      </c>
      <c r="I737" s="1">
        <f t="shared" si="3"/>
        <v>37</v>
      </c>
    </row>
    <row r="738" spans="1:11" x14ac:dyDescent="0.25">
      <c r="C738" s="1">
        <v>25</v>
      </c>
      <c r="D738" s="1">
        <v>1</v>
      </c>
      <c r="E738" s="1">
        <v>10</v>
      </c>
      <c r="F738" s="1">
        <v>21</v>
      </c>
      <c r="G738" s="1">
        <v>827</v>
      </c>
      <c r="H738" s="1">
        <v>876</v>
      </c>
      <c r="I738" s="1">
        <f t="shared" si="3"/>
        <v>49</v>
      </c>
    </row>
    <row r="739" spans="1:11" x14ac:dyDescent="0.25">
      <c r="C739" s="1">
        <v>25</v>
      </c>
      <c r="D739" s="1">
        <v>1</v>
      </c>
      <c r="E739" s="1">
        <v>10</v>
      </c>
      <c r="F739" s="1">
        <v>22</v>
      </c>
      <c r="G739" s="1">
        <v>877</v>
      </c>
      <c r="H739" s="1">
        <v>896</v>
      </c>
      <c r="I739" s="1">
        <f t="shared" si="3"/>
        <v>19</v>
      </c>
    </row>
    <row r="740" spans="1:11" x14ac:dyDescent="0.25">
      <c r="C740" s="1">
        <v>25</v>
      </c>
      <c r="D740" s="1">
        <v>1</v>
      </c>
      <c r="E740" s="1">
        <v>10</v>
      </c>
      <c r="F740" s="1">
        <v>23</v>
      </c>
      <c r="G740" s="1">
        <v>897</v>
      </c>
      <c r="H740" s="1">
        <v>922</v>
      </c>
      <c r="I740" s="1">
        <f t="shared" si="3"/>
        <v>25</v>
      </c>
    </row>
    <row r="741" spans="1:11" x14ac:dyDescent="0.25">
      <c r="C741" s="1">
        <v>25</v>
      </c>
      <c r="D741" s="1">
        <v>1</v>
      </c>
      <c r="E741" s="1">
        <v>10</v>
      </c>
      <c r="F741" s="1">
        <v>24</v>
      </c>
      <c r="G741" s="1">
        <v>922</v>
      </c>
      <c r="H741" s="1">
        <v>980</v>
      </c>
      <c r="I741" s="1">
        <f t="shared" si="3"/>
        <v>58</v>
      </c>
    </row>
    <row r="742" spans="1:11" x14ac:dyDescent="0.25">
      <c r="C742" s="1">
        <v>25</v>
      </c>
      <c r="D742" s="1">
        <v>1</v>
      </c>
      <c r="E742" s="1">
        <v>10</v>
      </c>
      <c r="F742" s="1">
        <v>25</v>
      </c>
      <c r="G742" s="1">
        <v>981</v>
      </c>
      <c r="H742" s="1">
        <v>1031</v>
      </c>
      <c r="I742" s="1">
        <f t="shared" si="3"/>
        <v>50</v>
      </c>
    </row>
    <row r="743" spans="1:11" x14ac:dyDescent="0.25">
      <c r="A743" s="1">
        <v>1</v>
      </c>
      <c r="B743" s="2">
        <v>43956</v>
      </c>
      <c r="C743" s="1">
        <v>26</v>
      </c>
      <c r="D743" s="1">
        <v>2</v>
      </c>
      <c r="E743" s="1">
        <v>30</v>
      </c>
      <c r="F743" s="1">
        <v>1</v>
      </c>
      <c r="G743" s="1">
        <v>17</v>
      </c>
      <c r="H743" s="1">
        <v>62</v>
      </c>
      <c r="I743" s="1">
        <f t="shared" si="3"/>
        <v>45</v>
      </c>
    </row>
    <row r="744" spans="1:11" x14ac:dyDescent="0.25">
      <c r="C744" s="1">
        <v>26</v>
      </c>
      <c r="D744" s="1">
        <v>2</v>
      </c>
      <c r="E744" s="1">
        <v>30</v>
      </c>
      <c r="F744" s="1">
        <v>2</v>
      </c>
      <c r="G744" s="1">
        <v>67</v>
      </c>
      <c r="H744" s="1">
        <v>95</v>
      </c>
      <c r="I744" s="1">
        <f t="shared" si="3"/>
        <v>28</v>
      </c>
    </row>
    <row r="745" spans="1:11" x14ac:dyDescent="0.25">
      <c r="C745" s="1">
        <v>26</v>
      </c>
      <c r="D745" s="1">
        <v>2</v>
      </c>
      <c r="E745" s="1">
        <v>30</v>
      </c>
      <c r="F745" s="1">
        <v>3</v>
      </c>
      <c r="G745" s="1">
        <v>100</v>
      </c>
      <c r="H745" s="1">
        <v>142</v>
      </c>
      <c r="I745" s="1">
        <f t="shared" si="3"/>
        <v>42</v>
      </c>
    </row>
    <row r="746" spans="1:11" x14ac:dyDescent="0.25">
      <c r="C746" s="1">
        <v>26</v>
      </c>
      <c r="D746" s="1">
        <v>2</v>
      </c>
      <c r="E746" s="1">
        <v>30</v>
      </c>
      <c r="F746" s="1">
        <v>4</v>
      </c>
      <c r="G746" s="1">
        <v>144</v>
      </c>
      <c r="H746" s="1">
        <v>199</v>
      </c>
      <c r="I746" s="1">
        <f t="shared" si="3"/>
        <v>55</v>
      </c>
    </row>
    <row r="747" spans="1:11" x14ac:dyDescent="0.25">
      <c r="C747" s="1">
        <v>26</v>
      </c>
      <c r="D747" s="1">
        <v>2</v>
      </c>
      <c r="E747" s="1">
        <v>10</v>
      </c>
      <c r="F747" s="1">
        <v>5</v>
      </c>
      <c r="G747" s="1">
        <v>200</v>
      </c>
      <c r="H747" s="1">
        <v>239</v>
      </c>
      <c r="I747" s="1">
        <f t="shared" si="3"/>
        <v>39</v>
      </c>
      <c r="J747" s="7">
        <f>(I747+I748+I749+I762+I761+I760+I755+I754+I753)/9</f>
        <v>18.333333333333332</v>
      </c>
      <c r="K747" s="6">
        <f>AVERAGE(I747:I762)</f>
        <v>17.1875</v>
      </c>
    </row>
    <row r="748" spans="1:11" x14ac:dyDescent="0.25">
      <c r="C748" s="1">
        <v>26</v>
      </c>
      <c r="D748" s="1">
        <v>2</v>
      </c>
      <c r="E748" s="1">
        <v>10</v>
      </c>
      <c r="F748" s="1">
        <v>6</v>
      </c>
      <c r="G748" s="1">
        <v>242</v>
      </c>
      <c r="H748" s="1">
        <v>278</v>
      </c>
      <c r="I748" s="1">
        <f t="shared" si="3"/>
        <v>36</v>
      </c>
    </row>
    <row r="749" spans="1:11" x14ac:dyDescent="0.25">
      <c r="C749" s="1">
        <v>26</v>
      </c>
      <c r="D749" s="1">
        <v>2</v>
      </c>
      <c r="E749" s="1">
        <v>10</v>
      </c>
      <c r="F749" s="1">
        <v>7</v>
      </c>
      <c r="G749" s="1">
        <v>278</v>
      </c>
      <c r="H749" s="1">
        <v>325</v>
      </c>
      <c r="I749" s="1">
        <f t="shared" si="3"/>
        <v>47</v>
      </c>
    </row>
    <row r="750" spans="1:11" x14ac:dyDescent="0.25">
      <c r="C750" s="1">
        <v>26</v>
      </c>
      <c r="D750" s="1">
        <v>2</v>
      </c>
      <c r="E750" s="1">
        <v>10</v>
      </c>
      <c r="F750" s="1">
        <v>8</v>
      </c>
      <c r="G750" s="1">
        <v>332</v>
      </c>
      <c r="H750" s="1">
        <v>374</v>
      </c>
      <c r="I750" s="1">
        <f t="shared" si="3"/>
        <v>42</v>
      </c>
    </row>
    <row r="751" spans="1:11" x14ac:dyDescent="0.25">
      <c r="C751" s="1">
        <v>26</v>
      </c>
      <c r="D751" s="1">
        <v>2</v>
      </c>
      <c r="E751" s="1">
        <v>10</v>
      </c>
      <c r="F751" s="1">
        <v>9</v>
      </c>
      <c r="G751" s="1">
        <v>381</v>
      </c>
      <c r="H751" s="1">
        <v>416</v>
      </c>
      <c r="I751" s="1">
        <f t="shared" si="3"/>
        <v>35</v>
      </c>
    </row>
    <row r="752" spans="1:11" x14ac:dyDescent="0.25">
      <c r="C752" s="1">
        <v>26</v>
      </c>
      <c r="D752" s="1">
        <v>2</v>
      </c>
      <c r="E752" s="1">
        <v>10</v>
      </c>
      <c r="F752" s="1">
        <v>10</v>
      </c>
      <c r="G752" s="1">
        <v>418</v>
      </c>
      <c r="H752" s="1">
        <v>418</v>
      </c>
      <c r="I752" s="1">
        <f t="shared" si="3"/>
        <v>0</v>
      </c>
    </row>
    <row r="753" spans="1:11" x14ac:dyDescent="0.25">
      <c r="C753" s="1">
        <v>26</v>
      </c>
      <c r="D753" s="1">
        <v>2</v>
      </c>
      <c r="E753" s="1">
        <v>10</v>
      </c>
      <c r="F753" s="1">
        <v>11</v>
      </c>
      <c r="G753" s="1">
        <v>418</v>
      </c>
      <c r="H753" s="1">
        <v>418</v>
      </c>
      <c r="I753" s="1">
        <f t="shared" si="3"/>
        <v>0</v>
      </c>
    </row>
    <row r="754" spans="1:11" x14ac:dyDescent="0.25">
      <c r="C754" s="1">
        <v>26</v>
      </c>
      <c r="D754" s="1">
        <v>2</v>
      </c>
      <c r="E754" s="1">
        <v>10</v>
      </c>
      <c r="F754" s="1">
        <v>12</v>
      </c>
      <c r="G754" s="1">
        <v>418</v>
      </c>
      <c r="H754" s="1">
        <v>445</v>
      </c>
      <c r="I754" s="1">
        <f t="shared" si="3"/>
        <v>27</v>
      </c>
    </row>
    <row r="755" spans="1:11" x14ac:dyDescent="0.25">
      <c r="C755" s="1">
        <v>26</v>
      </c>
      <c r="D755" s="1">
        <v>2</v>
      </c>
      <c r="E755" s="1">
        <v>10</v>
      </c>
      <c r="F755" s="1">
        <v>13</v>
      </c>
      <c r="G755" s="1">
        <v>453</v>
      </c>
      <c r="H755" s="1">
        <v>468</v>
      </c>
      <c r="I755" s="1">
        <f t="shared" si="3"/>
        <v>15</v>
      </c>
    </row>
    <row r="756" spans="1:11" x14ac:dyDescent="0.25">
      <c r="C756" s="1">
        <v>26</v>
      </c>
      <c r="D756" s="1">
        <v>2</v>
      </c>
      <c r="E756" s="1">
        <v>10</v>
      </c>
      <c r="F756" s="1">
        <v>14</v>
      </c>
      <c r="G756" s="1">
        <v>469</v>
      </c>
      <c r="H756" s="1">
        <v>469</v>
      </c>
      <c r="I756" s="1">
        <f t="shared" si="3"/>
        <v>0</v>
      </c>
    </row>
    <row r="757" spans="1:11" x14ac:dyDescent="0.25">
      <c r="C757" s="1">
        <v>26</v>
      </c>
      <c r="D757" s="1">
        <v>2</v>
      </c>
      <c r="E757" s="1">
        <v>10</v>
      </c>
      <c r="F757" s="1">
        <v>15</v>
      </c>
      <c r="G757" s="1">
        <v>469</v>
      </c>
      <c r="H757" s="1">
        <v>476</v>
      </c>
      <c r="I757" s="1">
        <f t="shared" si="3"/>
        <v>7</v>
      </c>
    </row>
    <row r="758" spans="1:11" x14ac:dyDescent="0.25">
      <c r="C758" s="1">
        <v>26</v>
      </c>
      <c r="D758" s="1">
        <v>2</v>
      </c>
      <c r="E758" s="1">
        <v>10</v>
      </c>
      <c r="F758" s="1">
        <v>16</v>
      </c>
      <c r="G758" s="1">
        <v>476</v>
      </c>
      <c r="H758" s="1">
        <v>494</v>
      </c>
      <c r="I758" s="1">
        <f t="shared" si="3"/>
        <v>18</v>
      </c>
    </row>
    <row r="759" spans="1:11" x14ac:dyDescent="0.25">
      <c r="C759" s="1">
        <v>26</v>
      </c>
      <c r="D759" s="1">
        <v>2</v>
      </c>
      <c r="E759" s="1">
        <v>10</v>
      </c>
      <c r="F759" s="1">
        <v>17</v>
      </c>
      <c r="G759" s="1">
        <v>496</v>
      </c>
      <c r="H759" s="1">
        <v>504</v>
      </c>
      <c r="I759" s="1">
        <f t="shared" si="3"/>
        <v>8</v>
      </c>
    </row>
    <row r="760" spans="1:11" x14ac:dyDescent="0.25">
      <c r="C760" s="1">
        <v>26</v>
      </c>
      <c r="D760" s="1">
        <v>2</v>
      </c>
      <c r="E760" s="1">
        <v>10</v>
      </c>
      <c r="F760" s="1">
        <v>18</v>
      </c>
      <c r="G760" s="1">
        <v>504</v>
      </c>
      <c r="H760" s="1">
        <v>504</v>
      </c>
      <c r="I760" s="1">
        <f t="shared" si="3"/>
        <v>0</v>
      </c>
    </row>
    <row r="761" spans="1:11" x14ac:dyDescent="0.25">
      <c r="C761" s="1">
        <v>26</v>
      </c>
      <c r="D761" s="1">
        <v>2</v>
      </c>
      <c r="E761" s="1">
        <v>10</v>
      </c>
      <c r="F761" s="1">
        <v>19</v>
      </c>
      <c r="G761" s="1">
        <v>504</v>
      </c>
      <c r="H761" s="1">
        <v>504</v>
      </c>
      <c r="I761" s="1">
        <f t="shared" si="3"/>
        <v>0</v>
      </c>
    </row>
    <row r="762" spans="1:11" x14ac:dyDescent="0.25">
      <c r="C762" s="1">
        <v>26</v>
      </c>
      <c r="D762" s="1">
        <v>2</v>
      </c>
      <c r="E762" s="1">
        <v>10</v>
      </c>
      <c r="F762" s="1">
        <v>20</v>
      </c>
      <c r="G762" s="1">
        <v>504</v>
      </c>
      <c r="H762" s="1">
        <v>505</v>
      </c>
      <c r="I762" s="1">
        <f t="shared" si="3"/>
        <v>1</v>
      </c>
    </row>
    <row r="763" spans="1:11" x14ac:dyDescent="0.25">
      <c r="A763" s="1">
        <v>2</v>
      </c>
      <c r="B763" s="2">
        <v>43965</v>
      </c>
      <c r="C763" s="1">
        <v>21</v>
      </c>
      <c r="D763" s="1">
        <v>2</v>
      </c>
      <c r="E763" s="1">
        <v>30</v>
      </c>
      <c r="F763" s="1">
        <v>1</v>
      </c>
      <c r="G763" s="1">
        <v>1</v>
      </c>
      <c r="H763" s="1">
        <v>45</v>
      </c>
      <c r="I763" s="1">
        <f t="shared" si="3"/>
        <v>44</v>
      </c>
      <c r="J763" s="7">
        <f>(I767+I768+I769+I787+I786+I785+I776+I777+I778)/9</f>
        <v>27.888888888888889</v>
      </c>
      <c r="K763" s="6">
        <f>AVERAGE(I767:I787)</f>
        <v>28.238095238095237</v>
      </c>
    </row>
    <row r="764" spans="1:11" x14ac:dyDescent="0.25">
      <c r="C764" s="1">
        <v>21</v>
      </c>
      <c r="D764" s="1">
        <v>2</v>
      </c>
      <c r="E764" s="1">
        <v>30</v>
      </c>
      <c r="F764" s="1">
        <v>2</v>
      </c>
      <c r="G764" s="1">
        <v>51</v>
      </c>
      <c r="H764" s="1">
        <v>100</v>
      </c>
      <c r="I764" s="1">
        <f t="shared" si="3"/>
        <v>49</v>
      </c>
    </row>
    <row r="765" spans="1:11" x14ac:dyDescent="0.25">
      <c r="C765" s="1">
        <v>21</v>
      </c>
      <c r="D765" s="1">
        <v>2</v>
      </c>
      <c r="E765" s="1">
        <v>30</v>
      </c>
      <c r="F765" s="1">
        <v>3</v>
      </c>
      <c r="G765" s="1">
        <v>100</v>
      </c>
      <c r="H765" s="1">
        <v>132</v>
      </c>
      <c r="I765" s="1">
        <f t="shared" si="3"/>
        <v>32</v>
      </c>
    </row>
    <row r="766" spans="1:11" x14ac:dyDescent="0.25">
      <c r="C766" s="1">
        <v>21</v>
      </c>
      <c r="D766" s="1">
        <v>2</v>
      </c>
      <c r="E766" s="1">
        <v>30</v>
      </c>
      <c r="F766" s="1">
        <v>4</v>
      </c>
      <c r="G766" s="1">
        <v>142</v>
      </c>
      <c r="H766" s="1">
        <v>185</v>
      </c>
      <c r="I766" s="1">
        <f t="shared" si="3"/>
        <v>43</v>
      </c>
    </row>
    <row r="767" spans="1:11" x14ac:dyDescent="0.25">
      <c r="C767" s="1">
        <v>21</v>
      </c>
      <c r="D767" s="1">
        <v>2</v>
      </c>
      <c r="E767" s="1">
        <v>10</v>
      </c>
      <c r="F767" s="1">
        <v>5</v>
      </c>
      <c r="G767" s="1">
        <v>187</v>
      </c>
      <c r="H767" s="1">
        <v>213</v>
      </c>
      <c r="I767" s="11">
        <f t="shared" si="3"/>
        <v>26</v>
      </c>
    </row>
    <row r="768" spans="1:11" x14ac:dyDescent="0.25">
      <c r="C768" s="1">
        <v>21</v>
      </c>
      <c r="D768" s="1">
        <v>2</v>
      </c>
      <c r="E768" s="1">
        <v>10</v>
      </c>
      <c r="F768" s="1">
        <v>6</v>
      </c>
      <c r="G768" s="1">
        <v>213</v>
      </c>
      <c r="H768" s="1">
        <v>249</v>
      </c>
      <c r="I768" s="1">
        <f t="shared" si="3"/>
        <v>36</v>
      </c>
    </row>
    <row r="769" spans="3:9" x14ac:dyDescent="0.25">
      <c r="C769" s="1">
        <v>21</v>
      </c>
      <c r="D769" s="1">
        <v>2</v>
      </c>
      <c r="E769" s="1">
        <v>10</v>
      </c>
      <c r="F769" s="1">
        <v>7</v>
      </c>
      <c r="G769" s="1">
        <v>249</v>
      </c>
      <c r="H769" s="1">
        <v>262</v>
      </c>
      <c r="I769" s="1">
        <f t="shared" si="3"/>
        <v>13</v>
      </c>
    </row>
    <row r="770" spans="3:9" x14ac:dyDescent="0.25">
      <c r="C770" s="1">
        <v>21</v>
      </c>
      <c r="D770" s="1">
        <v>2</v>
      </c>
      <c r="E770" s="1">
        <v>10</v>
      </c>
      <c r="F770" s="1">
        <v>8</v>
      </c>
      <c r="G770" s="1">
        <v>262</v>
      </c>
      <c r="H770" s="1">
        <v>282</v>
      </c>
      <c r="I770" s="1">
        <f t="shared" si="3"/>
        <v>20</v>
      </c>
    </row>
    <row r="771" spans="3:9" x14ac:dyDescent="0.25">
      <c r="C771" s="1">
        <v>21</v>
      </c>
      <c r="D771" s="1">
        <v>2</v>
      </c>
      <c r="E771" s="1">
        <v>10</v>
      </c>
      <c r="F771" s="1">
        <v>9</v>
      </c>
      <c r="G771" s="1">
        <v>282</v>
      </c>
      <c r="H771" s="1">
        <v>312</v>
      </c>
      <c r="I771" s="1">
        <f t="shared" si="3"/>
        <v>30</v>
      </c>
    </row>
    <row r="772" spans="3:9" x14ac:dyDescent="0.25">
      <c r="C772" s="1">
        <v>21</v>
      </c>
      <c r="D772" s="1">
        <v>2</v>
      </c>
      <c r="E772" s="1">
        <v>10</v>
      </c>
      <c r="F772" s="1">
        <v>10</v>
      </c>
      <c r="G772" s="1">
        <v>312</v>
      </c>
      <c r="H772" s="1">
        <v>339</v>
      </c>
      <c r="I772" s="1">
        <f t="shared" si="3"/>
        <v>27</v>
      </c>
    </row>
    <row r="773" spans="3:9" x14ac:dyDescent="0.25">
      <c r="C773" s="1">
        <v>21</v>
      </c>
      <c r="D773" s="1">
        <v>2</v>
      </c>
      <c r="E773" s="1">
        <v>10</v>
      </c>
      <c r="F773" s="1">
        <v>11</v>
      </c>
      <c r="G773" s="1">
        <v>339</v>
      </c>
      <c r="H773" s="1">
        <v>349</v>
      </c>
      <c r="I773" s="1">
        <f t="shared" si="3"/>
        <v>10</v>
      </c>
    </row>
    <row r="774" spans="3:9" x14ac:dyDescent="0.25">
      <c r="C774" s="1">
        <v>21</v>
      </c>
      <c r="D774" s="1">
        <v>2</v>
      </c>
      <c r="E774" s="1">
        <v>10</v>
      </c>
      <c r="F774" s="1">
        <v>12</v>
      </c>
      <c r="G774" s="1">
        <v>349</v>
      </c>
      <c r="H774" s="1">
        <v>355</v>
      </c>
      <c r="I774" s="1">
        <f t="shared" si="3"/>
        <v>6</v>
      </c>
    </row>
    <row r="775" spans="3:9" x14ac:dyDescent="0.25">
      <c r="C775" s="1">
        <v>21</v>
      </c>
      <c r="D775" s="1">
        <v>2</v>
      </c>
      <c r="E775" s="1">
        <v>10</v>
      </c>
      <c r="F775" s="1">
        <v>13</v>
      </c>
      <c r="G775" s="1">
        <v>355</v>
      </c>
      <c r="H775" s="1">
        <v>383</v>
      </c>
      <c r="I775" s="1">
        <f t="shared" si="3"/>
        <v>28</v>
      </c>
    </row>
    <row r="776" spans="3:9" x14ac:dyDescent="0.25">
      <c r="C776" s="1">
        <v>21</v>
      </c>
      <c r="D776" s="1">
        <v>2</v>
      </c>
      <c r="E776" s="1">
        <v>10</v>
      </c>
      <c r="F776" s="1">
        <v>14</v>
      </c>
      <c r="G776" s="1">
        <v>383</v>
      </c>
      <c r="H776" s="1">
        <v>401</v>
      </c>
      <c r="I776" s="1">
        <f t="shared" si="3"/>
        <v>18</v>
      </c>
    </row>
    <row r="777" spans="3:9" x14ac:dyDescent="0.25">
      <c r="C777" s="1">
        <v>21</v>
      </c>
      <c r="D777" s="1">
        <v>2</v>
      </c>
      <c r="E777" s="1">
        <v>10</v>
      </c>
      <c r="F777" s="1">
        <v>15</v>
      </c>
      <c r="G777" s="1">
        <v>401</v>
      </c>
      <c r="H777" s="1">
        <v>414</v>
      </c>
      <c r="I777" s="1">
        <f t="shared" si="3"/>
        <v>13</v>
      </c>
    </row>
    <row r="778" spans="3:9" x14ac:dyDescent="0.25">
      <c r="C778" s="1">
        <v>21</v>
      </c>
      <c r="D778" s="1">
        <v>2</v>
      </c>
      <c r="E778" s="1">
        <v>10</v>
      </c>
      <c r="F778" s="1">
        <v>16</v>
      </c>
      <c r="G778" s="1">
        <v>414</v>
      </c>
      <c r="H778" s="1">
        <v>414</v>
      </c>
      <c r="I778" s="1">
        <f t="shared" si="3"/>
        <v>0</v>
      </c>
    </row>
    <row r="779" spans="3:9" x14ac:dyDescent="0.25">
      <c r="C779" s="1">
        <v>21</v>
      </c>
      <c r="D779" s="1">
        <v>2</v>
      </c>
      <c r="E779" s="1">
        <v>10</v>
      </c>
      <c r="F779" s="1">
        <v>17</v>
      </c>
      <c r="G779" s="1">
        <v>414</v>
      </c>
      <c r="H779" s="1">
        <v>414</v>
      </c>
      <c r="I779" s="1">
        <f t="shared" si="3"/>
        <v>0</v>
      </c>
    </row>
    <row r="780" spans="3:9" x14ac:dyDescent="0.25">
      <c r="C780" s="1">
        <v>21</v>
      </c>
      <c r="D780" s="1">
        <v>2</v>
      </c>
      <c r="E780" s="1">
        <v>10</v>
      </c>
      <c r="F780" s="1">
        <v>18</v>
      </c>
      <c r="G780" s="1">
        <v>414</v>
      </c>
      <c r="H780" s="1">
        <v>445</v>
      </c>
      <c r="I780" s="1">
        <f t="shared" si="3"/>
        <v>31</v>
      </c>
    </row>
    <row r="781" spans="3:9" x14ac:dyDescent="0.25">
      <c r="C781" s="1">
        <v>21</v>
      </c>
      <c r="D781" s="1">
        <v>2</v>
      </c>
      <c r="E781" s="1">
        <v>10</v>
      </c>
      <c r="F781" s="1">
        <v>19</v>
      </c>
      <c r="G781" s="1">
        <v>445</v>
      </c>
      <c r="H781" s="1">
        <v>489</v>
      </c>
      <c r="I781" s="1">
        <f t="shared" si="3"/>
        <v>44</v>
      </c>
    </row>
    <row r="782" spans="3:9" x14ac:dyDescent="0.25">
      <c r="C782" s="1">
        <v>21</v>
      </c>
      <c r="D782" s="1">
        <v>2</v>
      </c>
      <c r="E782" s="1">
        <v>10</v>
      </c>
      <c r="F782" s="1">
        <v>20</v>
      </c>
      <c r="G782" s="1">
        <v>489</v>
      </c>
      <c r="H782" s="1">
        <v>536</v>
      </c>
      <c r="I782" s="1">
        <f t="shared" si="3"/>
        <v>47</v>
      </c>
    </row>
    <row r="783" spans="3:9" x14ac:dyDescent="0.25">
      <c r="C783" s="1">
        <v>21</v>
      </c>
      <c r="D783" s="1">
        <v>2</v>
      </c>
      <c r="E783" s="1">
        <v>10</v>
      </c>
      <c r="F783" s="1">
        <v>21</v>
      </c>
      <c r="G783" s="1">
        <v>536</v>
      </c>
      <c r="H783" s="1">
        <v>586</v>
      </c>
      <c r="I783" s="1">
        <f t="shared" si="3"/>
        <v>50</v>
      </c>
    </row>
    <row r="784" spans="3:9" x14ac:dyDescent="0.25">
      <c r="C784" s="1">
        <v>21</v>
      </c>
      <c r="D784" s="1">
        <v>2</v>
      </c>
      <c r="E784" s="1">
        <v>10</v>
      </c>
      <c r="F784" s="1">
        <v>22</v>
      </c>
      <c r="G784" s="1">
        <v>586</v>
      </c>
      <c r="H784" s="1">
        <v>635</v>
      </c>
      <c r="I784" s="1">
        <f t="shared" si="3"/>
        <v>49</v>
      </c>
    </row>
    <row r="785" spans="1:11" x14ac:dyDescent="0.25">
      <c r="C785" s="1">
        <v>21</v>
      </c>
      <c r="D785" s="1">
        <v>2</v>
      </c>
      <c r="E785" s="1">
        <v>10</v>
      </c>
      <c r="F785" s="1">
        <v>23</v>
      </c>
      <c r="G785" s="1">
        <v>635</v>
      </c>
      <c r="H785" s="1">
        <v>686</v>
      </c>
      <c r="I785" s="1">
        <f t="shared" si="3"/>
        <v>51</v>
      </c>
    </row>
    <row r="786" spans="1:11" x14ac:dyDescent="0.25">
      <c r="C786" s="1">
        <v>21</v>
      </c>
      <c r="D786" s="1">
        <v>2</v>
      </c>
      <c r="E786" s="1">
        <v>10</v>
      </c>
      <c r="F786" s="1">
        <v>24</v>
      </c>
      <c r="G786" s="1">
        <v>689</v>
      </c>
      <c r="H786" s="1">
        <v>738</v>
      </c>
      <c r="I786" s="1">
        <f t="shared" si="3"/>
        <v>49</v>
      </c>
    </row>
    <row r="787" spans="1:11" x14ac:dyDescent="0.25">
      <c r="C787" s="1">
        <v>21</v>
      </c>
      <c r="D787" s="1">
        <v>2</v>
      </c>
      <c r="E787" s="1">
        <v>10</v>
      </c>
      <c r="F787" s="1">
        <v>25</v>
      </c>
      <c r="G787" s="1">
        <v>738</v>
      </c>
      <c r="H787" s="1">
        <v>783</v>
      </c>
      <c r="I787" s="1">
        <f t="shared" si="3"/>
        <v>45</v>
      </c>
    </row>
    <row r="788" spans="1:11" x14ac:dyDescent="0.25">
      <c r="A788" s="1">
        <v>2</v>
      </c>
      <c r="B788" s="2">
        <v>43965</v>
      </c>
      <c r="C788" s="1">
        <v>22</v>
      </c>
      <c r="D788" s="1">
        <v>1</v>
      </c>
      <c r="E788" s="1">
        <v>30</v>
      </c>
      <c r="F788" s="1">
        <v>1</v>
      </c>
      <c r="G788" s="1">
        <v>1</v>
      </c>
      <c r="H788" s="1">
        <v>1</v>
      </c>
      <c r="I788" s="1">
        <f t="shared" si="3"/>
        <v>0</v>
      </c>
      <c r="J788" s="7">
        <f>(I792+I793+I794+I812+I811+I810+I801+I802+I803)/9</f>
        <v>44.444444444444443</v>
      </c>
      <c r="K788" s="6">
        <f>AVERAGE(I792:I812)</f>
        <v>42.61904761904762</v>
      </c>
    </row>
    <row r="789" spans="1:11" x14ac:dyDescent="0.25">
      <c r="C789" s="1">
        <v>22</v>
      </c>
      <c r="D789" s="1">
        <v>1</v>
      </c>
      <c r="E789" s="1">
        <v>30</v>
      </c>
      <c r="F789" s="1">
        <v>2</v>
      </c>
      <c r="G789" s="1">
        <v>3</v>
      </c>
      <c r="H789" s="1">
        <v>66</v>
      </c>
      <c r="I789" s="1">
        <f t="shared" si="3"/>
        <v>63</v>
      </c>
    </row>
    <row r="790" spans="1:11" x14ac:dyDescent="0.25">
      <c r="C790" s="1">
        <v>22</v>
      </c>
      <c r="D790" s="1">
        <v>1</v>
      </c>
      <c r="E790" s="1">
        <v>30</v>
      </c>
      <c r="F790" s="1">
        <v>3</v>
      </c>
      <c r="G790" s="1">
        <v>66</v>
      </c>
      <c r="H790" s="1">
        <v>116</v>
      </c>
      <c r="I790" s="1">
        <f t="shared" si="3"/>
        <v>50</v>
      </c>
    </row>
    <row r="791" spans="1:11" x14ac:dyDescent="0.25">
      <c r="C791" s="1">
        <v>22</v>
      </c>
      <c r="D791" s="1">
        <v>1</v>
      </c>
      <c r="E791" s="1">
        <v>30</v>
      </c>
      <c r="F791" s="1">
        <v>4</v>
      </c>
      <c r="G791" s="1">
        <v>117</v>
      </c>
      <c r="H791" s="1">
        <v>171</v>
      </c>
      <c r="I791" s="1">
        <f t="shared" si="3"/>
        <v>54</v>
      </c>
    </row>
    <row r="792" spans="1:11" x14ac:dyDescent="0.25">
      <c r="C792" s="1">
        <v>22</v>
      </c>
      <c r="D792" s="1">
        <v>1</v>
      </c>
      <c r="E792" s="1">
        <v>10</v>
      </c>
      <c r="F792" s="1">
        <v>5</v>
      </c>
      <c r="G792" s="1">
        <v>171</v>
      </c>
      <c r="H792" s="1">
        <v>226</v>
      </c>
      <c r="I792" s="11">
        <f t="shared" si="3"/>
        <v>55</v>
      </c>
    </row>
    <row r="793" spans="1:11" x14ac:dyDescent="0.25">
      <c r="C793" s="1">
        <v>22</v>
      </c>
      <c r="D793" s="1">
        <v>1</v>
      </c>
      <c r="E793" s="1">
        <v>10</v>
      </c>
      <c r="F793" s="1">
        <v>6</v>
      </c>
      <c r="G793" s="1">
        <v>226</v>
      </c>
      <c r="H793" s="1">
        <v>272</v>
      </c>
      <c r="I793" s="1">
        <f t="shared" si="3"/>
        <v>46</v>
      </c>
    </row>
    <row r="794" spans="1:11" x14ac:dyDescent="0.25">
      <c r="C794" s="1">
        <v>22</v>
      </c>
      <c r="D794" s="1">
        <v>1</v>
      </c>
      <c r="E794" s="1">
        <v>10</v>
      </c>
      <c r="F794" s="1">
        <v>7</v>
      </c>
      <c r="G794" s="1">
        <v>272</v>
      </c>
      <c r="H794" s="1">
        <v>296</v>
      </c>
      <c r="I794" s="1">
        <f t="shared" si="3"/>
        <v>24</v>
      </c>
    </row>
    <row r="795" spans="1:11" x14ac:dyDescent="0.25">
      <c r="C795" s="1">
        <v>22</v>
      </c>
      <c r="D795" s="1">
        <v>1</v>
      </c>
      <c r="E795" s="1">
        <v>10</v>
      </c>
      <c r="F795" s="1">
        <v>8</v>
      </c>
      <c r="G795" s="1">
        <v>297</v>
      </c>
      <c r="H795" s="1">
        <v>352</v>
      </c>
      <c r="I795" s="1">
        <f t="shared" si="3"/>
        <v>55</v>
      </c>
    </row>
    <row r="796" spans="1:11" x14ac:dyDescent="0.25">
      <c r="C796" s="1">
        <v>22</v>
      </c>
      <c r="D796" s="1">
        <v>1</v>
      </c>
      <c r="E796" s="1">
        <v>10</v>
      </c>
      <c r="F796" s="1">
        <v>9</v>
      </c>
      <c r="G796" s="1">
        <v>358</v>
      </c>
      <c r="H796" s="1">
        <v>420</v>
      </c>
      <c r="I796" s="1">
        <f t="shared" si="3"/>
        <v>62</v>
      </c>
    </row>
    <row r="797" spans="1:11" x14ac:dyDescent="0.25">
      <c r="C797" s="1">
        <v>22</v>
      </c>
      <c r="D797" s="1">
        <v>1</v>
      </c>
      <c r="E797" s="1">
        <v>10</v>
      </c>
      <c r="F797" s="1">
        <v>10</v>
      </c>
      <c r="G797" s="1">
        <v>420</v>
      </c>
      <c r="H797" s="1">
        <v>481</v>
      </c>
      <c r="I797" s="1">
        <f t="shared" si="3"/>
        <v>61</v>
      </c>
    </row>
    <row r="798" spans="1:11" x14ac:dyDescent="0.25">
      <c r="C798" s="1">
        <v>22</v>
      </c>
      <c r="D798" s="1">
        <v>1</v>
      </c>
      <c r="E798" s="1">
        <v>10</v>
      </c>
      <c r="F798" s="1">
        <v>11</v>
      </c>
      <c r="G798" s="1">
        <v>510</v>
      </c>
      <c r="H798" s="1">
        <v>551</v>
      </c>
      <c r="I798" s="1">
        <f t="shared" si="3"/>
        <v>41</v>
      </c>
    </row>
    <row r="799" spans="1:11" x14ac:dyDescent="0.25">
      <c r="C799" s="1">
        <v>22</v>
      </c>
      <c r="D799" s="1">
        <v>1</v>
      </c>
      <c r="E799" s="1">
        <v>10</v>
      </c>
      <c r="F799" s="1">
        <v>12</v>
      </c>
      <c r="G799" s="1">
        <v>551</v>
      </c>
      <c r="H799" s="1">
        <v>579</v>
      </c>
      <c r="I799" s="1">
        <f t="shared" si="3"/>
        <v>28</v>
      </c>
    </row>
    <row r="800" spans="1:11" x14ac:dyDescent="0.25">
      <c r="C800" s="1">
        <v>22</v>
      </c>
      <c r="D800" s="1">
        <v>1</v>
      </c>
      <c r="E800" s="1">
        <v>10</v>
      </c>
      <c r="F800" s="1">
        <v>13</v>
      </c>
      <c r="G800" s="1">
        <v>579</v>
      </c>
      <c r="H800" s="1">
        <v>599</v>
      </c>
      <c r="I800" s="1">
        <f t="shared" ref="I800:I908" si="4">H800-G800</f>
        <v>20</v>
      </c>
    </row>
    <row r="801" spans="1:11" x14ac:dyDescent="0.25">
      <c r="C801" s="1">
        <v>22</v>
      </c>
      <c r="D801" s="1">
        <v>1</v>
      </c>
      <c r="E801" s="1">
        <v>10</v>
      </c>
      <c r="F801" s="1">
        <v>14</v>
      </c>
      <c r="G801" s="1">
        <v>599</v>
      </c>
      <c r="H801" s="1">
        <v>617</v>
      </c>
      <c r="I801" s="1">
        <f t="shared" si="4"/>
        <v>18</v>
      </c>
    </row>
    <row r="802" spans="1:11" x14ac:dyDescent="0.25">
      <c r="C802" s="1">
        <v>22</v>
      </c>
      <c r="D802" s="1">
        <v>1</v>
      </c>
      <c r="E802" s="1">
        <v>10</v>
      </c>
      <c r="F802" s="1">
        <v>15</v>
      </c>
      <c r="G802" s="1">
        <v>632</v>
      </c>
      <c r="H802" s="1">
        <v>683</v>
      </c>
      <c r="I802" s="1">
        <f t="shared" si="4"/>
        <v>51</v>
      </c>
    </row>
    <row r="803" spans="1:11" x14ac:dyDescent="0.25">
      <c r="C803" s="1">
        <v>22</v>
      </c>
      <c r="D803" s="1">
        <v>1</v>
      </c>
      <c r="E803" s="1">
        <v>10</v>
      </c>
      <c r="F803" s="1">
        <v>16</v>
      </c>
      <c r="G803" s="1">
        <v>683</v>
      </c>
      <c r="H803" s="1">
        <v>716</v>
      </c>
      <c r="I803" s="1">
        <f t="shared" si="4"/>
        <v>33</v>
      </c>
    </row>
    <row r="804" spans="1:11" x14ac:dyDescent="0.25">
      <c r="C804" s="1">
        <v>22</v>
      </c>
      <c r="D804" s="1">
        <v>1</v>
      </c>
      <c r="E804" s="1">
        <v>10</v>
      </c>
      <c r="F804" s="1">
        <v>17</v>
      </c>
      <c r="G804" s="1">
        <v>724</v>
      </c>
      <c r="H804" s="1">
        <v>778</v>
      </c>
      <c r="I804" s="1">
        <f t="shared" si="4"/>
        <v>54</v>
      </c>
    </row>
    <row r="805" spans="1:11" x14ac:dyDescent="0.25">
      <c r="C805" s="1">
        <v>22</v>
      </c>
      <c r="D805" s="1">
        <v>1</v>
      </c>
      <c r="E805" s="1">
        <v>10</v>
      </c>
      <c r="F805" s="1">
        <v>18</v>
      </c>
      <c r="G805" s="1">
        <v>784</v>
      </c>
      <c r="H805" s="1">
        <v>833</v>
      </c>
      <c r="I805" s="1">
        <f t="shared" si="4"/>
        <v>49</v>
      </c>
    </row>
    <row r="806" spans="1:11" x14ac:dyDescent="0.25">
      <c r="C806" s="1">
        <v>22</v>
      </c>
      <c r="D806" s="1">
        <v>1</v>
      </c>
      <c r="E806" s="1">
        <v>10</v>
      </c>
      <c r="F806" s="1">
        <v>19</v>
      </c>
      <c r="G806" s="1">
        <v>833</v>
      </c>
      <c r="H806" s="1">
        <v>869</v>
      </c>
      <c r="I806" s="1">
        <f t="shared" si="4"/>
        <v>36</v>
      </c>
    </row>
    <row r="807" spans="1:11" x14ac:dyDescent="0.25">
      <c r="C807" s="1">
        <v>22</v>
      </c>
      <c r="D807" s="1">
        <v>1</v>
      </c>
      <c r="E807" s="1">
        <v>10</v>
      </c>
      <c r="F807" s="1">
        <v>20</v>
      </c>
      <c r="G807" s="1">
        <v>869</v>
      </c>
      <c r="H807" s="1">
        <v>901</v>
      </c>
      <c r="I807" s="1">
        <f t="shared" si="4"/>
        <v>32</v>
      </c>
    </row>
    <row r="808" spans="1:11" x14ac:dyDescent="0.25">
      <c r="C808" s="1">
        <v>22</v>
      </c>
      <c r="D808" s="1">
        <v>1</v>
      </c>
      <c r="E808" s="1">
        <v>10</v>
      </c>
      <c r="F808" s="1">
        <v>21</v>
      </c>
      <c r="G808" s="1">
        <v>901</v>
      </c>
      <c r="H808" s="1">
        <v>947</v>
      </c>
      <c r="I808" s="1">
        <f t="shared" si="4"/>
        <v>46</v>
      </c>
    </row>
    <row r="809" spans="1:11" x14ac:dyDescent="0.25">
      <c r="C809" s="1">
        <v>22</v>
      </c>
      <c r="D809" s="1">
        <v>1</v>
      </c>
      <c r="E809" s="1">
        <v>10</v>
      </c>
      <c r="F809" s="1">
        <v>22</v>
      </c>
      <c r="G809" s="1">
        <v>947</v>
      </c>
      <c r="H809" s="1">
        <v>958</v>
      </c>
      <c r="I809" s="1">
        <f t="shared" si="4"/>
        <v>11</v>
      </c>
    </row>
    <row r="810" spans="1:11" x14ac:dyDescent="0.25">
      <c r="C810" s="1">
        <v>22</v>
      </c>
      <c r="D810" s="1">
        <v>1</v>
      </c>
      <c r="E810" s="1">
        <v>10</v>
      </c>
      <c r="F810" s="1">
        <v>23</v>
      </c>
      <c r="G810" s="1">
        <v>958</v>
      </c>
      <c r="H810" s="1">
        <v>1013</v>
      </c>
      <c r="I810" s="1">
        <f t="shared" si="4"/>
        <v>55</v>
      </c>
    </row>
    <row r="811" spans="1:11" x14ac:dyDescent="0.25">
      <c r="C811" s="1">
        <v>22</v>
      </c>
      <c r="D811" s="1">
        <v>1</v>
      </c>
      <c r="E811" s="1">
        <v>10</v>
      </c>
      <c r="F811" s="1">
        <v>24</v>
      </c>
      <c r="G811" s="1">
        <v>1013</v>
      </c>
      <c r="H811" s="1">
        <v>1075</v>
      </c>
      <c r="I811" s="1">
        <f t="shared" si="4"/>
        <v>62</v>
      </c>
    </row>
    <row r="812" spans="1:11" x14ac:dyDescent="0.25">
      <c r="C812" s="1">
        <v>22</v>
      </c>
      <c r="D812" s="1">
        <v>1</v>
      </c>
      <c r="E812" s="1">
        <v>10</v>
      </c>
      <c r="F812" s="1">
        <v>25</v>
      </c>
      <c r="G812" s="1">
        <v>1075</v>
      </c>
      <c r="H812" s="1">
        <v>1131</v>
      </c>
      <c r="I812" s="1">
        <f t="shared" si="4"/>
        <v>56</v>
      </c>
    </row>
    <row r="813" spans="1:11" x14ac:dyDescent="0.25">
      <c r="A813" s="1">
        <v>2</v>
      </c>
      <c r="B813" s="2">
        <v>43965</v>
      </c>
      <c r="C813" s="1">
        <v>23</v>
      </c>
      <c r="D813" s="1">
        <v>2</v>
      </c>
      <c r="E813" s="1">
        <v>30</v>
      </c>
      <c r="F813" s="1">
        <v>1</v>
      </c>
      <c r="G813" s="1">
        <v>2</v>
      </c>
      <c r="H813" s="1">
        <v>43</v>
      </c>
      <c r="I813" s="1">
        <f t="shared" si="4"/>
        <v>41</v>
      </c>
      <c r="J813" s="7">
        <f>(I817+I818+I819+I837+I836+I835+I826+I827+I828)/9</f>
        <v>43.666666666666664</v>
      </c>
      <c r="K813" s="6">
        <f>AVERAGE(I817:I837)</f>
        <v>45.047619047619051</v>
      </c>
    </row>
    <row r="814" spans="1:11" x14ac:dyDescent="0.25">
      <c r="C814" s="1">
        <v>23</v>
      </c>
      <c r="D814" s="1">
        <v>2</v>
      </c>
      <c r="E814" s="1">
        <v>30</v>
      </c>
      <c r="F814" s="1">
        <v>2</v>
      </c>
      <c r="G814" s="1">
        <v>51</v>
      </c>
      <c r="H814" s="1">
        <v>107</v>
      </c>
      <c r="I814" s="1">
        <f t="shared" si="4"/>
        <v>56</v>
      </c>
    </row>
    <row r="815" spans="1:11" x14ac:dyDescent="0.25">
      <c r="C815" s="1">
        <v>23</v>
      </c>
      <c r="D815" s="1">
        <v>2</v>
      </c>
      <c r="E815" s="1">
        <v>30</v>
      </c>
      <c r="F815" s="1">
        <v>3</v>
      </c>
      <c r="G815" s="1">
        <v>107</v>
      </c>
      <c r="H815" s="1">
        <v>168</v>
      </c>
      <c r="I815" s="1">
        <f t="shared" si="4"/>
        <v>61</v>
      </c>
    </row>
    <row r="816" spans="1:11" x14ac:dyDescent="0.25">
      <c r="C816" s="1">
        <v>23</v>
      </c>
      <c r="D816" s="1">
        <v>2</v>
      </c>
      <c r="E816" s="1">
        <v>30</v>
      </c>
      <c r="F816" s="1">
        <v>4</v>
      </c>
      <c r="G816" s="1">
        <v>170</v>
      </c>
      <c r="H816" s="1">
        <v>228</v>
      </c>
      <c r="I816" s="1">
        <f t="shared" si="4"/>
        <v>58</v>
      </c>
    </row>
    <row r="817" spans="3:9" x14ac:dyDescent="0.25">
      <c r="C817" s="1">
        <v>23</v>
      </c>
      <c r="D817" s="1">
        <v>2</v>
      </c>
      <c r="E817" s="1">
        <v>10</v>
      </c>
      <c r="F817" s="1">
        <v>5</v>
      </c>
      <c r="G817" s="1">
        <v>230</v>
      </c>
      <c r="H817" s="1">
        <v>268</v>
      </c>
      <c r="I817" s="11">
        <f t="shared" si="4"/>
        <v>38</v>
      </c>
    </row>
    <row r="818" spans="3:9" x14ac:dyDescent="0.25">
      <c r="C818" s="1">
        <v>23</v>
      </c>
      <c r="D818" s="1">
        <v>2</v>
      </c>
      <c r="E818" s="1">
        <v>10</v>
      </c>
      <c r="F818" s="1">
        <v>6</v>
      </c>
      <c r="G818" s="1">
        <v>268</v>
      </c>
      <c r="H818" s="1">
        <v>318</v>
      </c>
      <c r="I818" s="1">
        <f t="shared" si="4"/>
        <v>50</v>
      </c>
    </row>
    <row r="819" spans="3:9" x14ac:dyDescent="0.25">
      <c r="C819" s="1">
        <v>23</v>
      </c>
      <c r="D819" s="1">
        <v>2</v>
      </c>
      <c r="E819" s="1">
        <v>10</v>
      </c>
      <c r="F819" s="1">
        <v>7</v>
      </c>
      <c r="G819" s="1">
        <v>318</v>
      </c>
      <c r="H819" s="1">
        <v>358</v>
      </c>
      <c r="I819" s="1">
        <f t="shared" si="4"/>
        <v>40</v>
      </c>
    </row>
    <row r="820" spans="3:9" x14ac:dyDescent="0.25">
      <c r="C820" s="1">
        <v>23</v>
      </c>
      <c r="D820" s="1">
        <v>2</v>
      </c>
      <c r="E820" s="1">
        <v>10</v>
      </c>
      <c r="F820" s="1">
        <v>8</v>
      </c>
      <c r="G820" s="1">
        <v>358</v>
      </c>
      <c r="H820" s="1">
        <v>407</v>
      </c>
      <c r="I820" s="1">
        <f t="shared" si="4"/>
        <v>49</v>
      </c>
    </row>
    <row r="821" spans="3:9" x14ac:dyDescent="0.25">
      <c r="C821" s="1">
        <v>23</v>
      </c>
      <c r="D821" s="1">
        <v>2</v>
      </c>
      <c r="E821" s="1">
        <v>10</v>
      </c>
      <c r="F821" s="1">
        <v>9</v>
      </c>
      <c r="G821" s="1">
        <v>407</v>
      </c>
      <c r="H821" s="1">
        <v>446</v>
      </c>
      <c r="I821" s="1">
        <f t="shared" si="4"/>
        <v>39</v>
      </c>
    </row>
    <row r="822" spans="3:9" x14ac:dyDescent="0.25">
      <c r="C822" s="1">
        <v>23</v>
      </c>
      <c r="D822" s="1">
        <v>2</v>
      </c>
      <c r="E822" s="1">
        <v>10</v>
      </c>
      <c r="F822" s="1">
        <v>10</v>
      </c>
      <c r="G822" s="1">
        <v>446</v>
      </c>
      <c r="H822" s="1">
        <v>467</v>
      </c>
      <c r="I822" s="1">
        <f t="shared" si="4"/>
        <v>21</v>
      </c>
    </row>
    <row r="823" spans="3:9" x14ac:dyDescent="0.25">
      <c r="C823" s="1">
        <v>23</v>
      </c>
      <c r="D823" s="1">
        <v>2</v>
      </c>
      <c r="E823" s="1">
        <v>10</v>
      </c>
      <c r="F823" s="1">
        <v>11</v>
      </c>
      <c r="G823" s="1">
        <v>467</v>
      </c>
      <c r="H823" s="1">
        <v>488</v>
      </c>
      <c r="I823" s="1">
        <f t="shared" si="4"/>
        <v>21</v>
      </c>
    </row>
    <row r="824" spans="3:9" x14ac:dyDescent="0.25">
      <c r="C824" s="1">
        <v>23</v>
      </c>
      <c r="D824" s="1">
        <v>2</v>
      </c>
      <c r="E824" s="1">
        <v>10</v>
      </c>
      <c r="F824" s="1">
        <v>12</v>
      </c>
      <c r="G824" s="1">
        <v>488</v>
      </c>
      <c r="H824" s="1">
        <v>547</v>
      </c>
      <c r="I824" s="1">
        <f t="shared" si="4"/>
        <v>59</v>
      </c>
    </row>
    <row r="825" spans="3:9" x14ac:dyDescent="0.25">
      <c r="C825" s="1">
        <v>23</v>
      </c>
      <c r="D825" s="1">
        <v>2</v>
      </c>
      <c r="E825" s="1">
        <v>10</v>
      </c>
      <c r="F825" s="1">
        <v>13</v>
      </c>
      <c r="G825" s="1">
        <v>547</v>
      </c>
      <c r="H825" s="1">
        <v>608</v>
      </c>
      <c r="I825" s="1">
        <f t="shared" si="4"/>
        <v>61</v>
      </c>
    </row>
    <row r="826" spans="3:9" x14ac:dyDescent="0.25">
      <c r="C826" s="1">
        <v>23</v>
      </c>
      <c r="D826" s="1">
        <v>2</v>
      </c>
      <c r="E826" s="1">
        <v>10</v>
      </c>
      <c r="F826" s="1">
        <v>14</v>
      </c>
      <c r="G826" s="1">
        <v>608</v>
      </c>
      <c r="H826" s="1">
        <v>644</v>
      </c>
      <c r="I826" s="1">
        <f t="shared" si="4"/>
        <v>36</v>
      </c>
    </row>
    <row r="827" spans="3:9" x14ac:dyDescent="0.25">
      <c r="C827" s="1">
        <v>23</v>
      </c>
      <c r="D827" s="1">
        <v>2</v>
      </c>
      <c r="E827" s="1">
        <v>10</v>
      </c>
      <c r="F827" s="1">
        <v>15</v>
      </c>
      <c r="G827" s="1">
        <v>647</v>
      </c>
      <c r="H827" s="1">
        <v>680</v>
      </c>
      <c r="I827" s="1">
        <f t="shared" si="4"/>
        <v>33</v>
      </c>
    </row>
    <row r="828" spans="3:9" x14ac:dyDescent="0.25">
      <c r="C828" s="1">
        <v>23</v>
      </c>
      <c r="D828" s="1">
        <v>2</v>
      </c>
      <c r="E828" s="1">
        <v>10</v>
      </c>
      <c r="F828" s="1">
        <v>16</v>
      </c>
      <c r="G828" s="1">
        <v>680</v>
      </c>
      <c r="H828" s="1">
        <v>730</v>
      </c>
      <c r="I828" s="1">
        <f t="shared" si="4"/>
        <v>50</v>
      </c>
    </row>
    <row r="829" spans="3:9" x14ac:dyDescent="0.25">
      <c r="C829" s="1">
        <v>23</v>
      </c>
      <c r="D829" s="1">
        <v>2</v>
      </c>
      <c r="E829" s="1">
        <v>10</v>
      </c>
      <c r="F829" s="1">
        <v>17</v>
      </c>
      <c r="G829" s="1">
        <v>730</v>
      </c>
      <c r="H829" s="1">
        <v>779</v>
      </c>
      <c r="I829" s="1">
        <f t="shared" si="4"/>
        <v>49</v>
      </c>
    </row>
    <row r="830" spans="3:9" x14ac:dyDescent="0.25">
      <c r="C830" s="1">
        <v>23</v>
      </c>
      <c r="D830" s="1">
        <v>2</v>
      </c>
      <c r="E830" s="1">
        <v>10</v>
      </c>
      <c r="F830" s="1">
        <v>18</v>
      </c>
      <c r="G830" s="1">
        <v>780</v>
      </c>
      <c r="H830" s="1">
        <v>839</v>
      </c>
      <c r="I830" s="1">
        <f t="shared" si="4"/>
        <v>59</v>
      </c>
    </row>
    <row r="831" spans="3:9" x14ac:dyDescent="0.25">
      <c r="C831" s="1">
        <v>23</v>
      </c>
      <c r="D831" s="1">
        <v>2</v>
      </c>
      <c r="E831" s="1">
        <v>10</v>
      </c>
      <c r="F831" s="1">
        <v>19</v>
      </c>
      <c r="G831" s="1">
        <v>839</v>
      </c>
      <c r="H831" s="1">
        <v>869</v>
      </c>
      <c r="I831" s="1">
        <f t="shared" si="4"/>
        <v>30</v>
      </c>
    </row>
    <row r="832" spans="3:9" x14ac:dyDescent="0.25">
      <c r="C832" s="1">
        <v>23</v>
      </c>
      <c r="D832" s="1">
        <v>2</v>
      </c>
      <c r="E832" s="1">
        <v>10</v>
      </c>
      <c r="F832" s="1">
        <v>20</v>
      </c>
      <c r="G832" s="1">
        <v>869</v>
      </c>
      <c r="H832" s="1">
        <v>922</v>
      </c>
      <c r="I832" s="1">
        <f t="shared" si="4"/>
        <v>53</v>
      </c>
    </row>
    <row r="833" spans="1:11" x14ac:dyDescent="0.25">
      <c r="C833" s="1">
        <v>23</v>
      </c>
      <c r="D833" s="1">
        <v>2</v>
      </c>
      <c r="E833" s="1">
        <v>10</v>
      </c>
      <c r="F833" s="1">
        <v>21</v>
      </c>
      <c r="G833" s="1">
        <v>924</v>
      </c>
      <c r="H833" s="1">
        <v>981</v>
      </c>
      <c r="I833" s="1">
        <f t="shared" si="4"/>
        <v>57</v>
      </c>
    </row>
    <row r="834" spans="1:11" x14ac:dyDescent="0.25">
      <c r="C834" s="1">
        <v>23</v>
      </c>
      <c r="D834" s="1">
        <v>2</v>
      </c>
      <c r="E834" s="1">
        <v>10</v>
      </c>
      <c r="F834" s="1">
        <v>22</v>
      </c>
      <c r="G834" s="1">
        <v>981</v>
      </c>
      <c r="H834" s="1">
        <v>1036</v>
      </c>
      <c r="I834" s="1">
        <f t="shared" si="4"/>
        <v>55</v>
      </c>
    </row>
    <row r="835" spans="1:11" x14ac:dyDescent="0.25">
      <c r="C835" s="1">
        <v>23</v>
      </c>
      <c r="D835" s="1">
        <v>2</v>
      </c>
      <c r="E835" s="1">
        <v>10</v>
      </c>
      <c r="F835" s="1">
        <v>23</v>
      </c>
      <c r="G835" s="1">
        <v>1036</v>
      </c>
      <c r="H835" s="1">
        <v>1058</v>
      </c>
      <c r="I835" s="1">
        <f t="shared" si="4"/>
        <v>22</v>
      </c>
    </row>
    <row r="836" spans="1:11" x14ac:dyDescent="0.25">
      <c r="C836" s="1">
        <v>23</v>
      </c>
      <c r="D836" s="1">
        <v>2</v>
      </c>
      <c r="E836" s="1">
        <v>10</v>
      </c>
      <c r="F836" s="1">
        <v>24</v>
      </c>
      <c r="G836" s="1">
        <v>1058</v>
      </c>
      <c r="H836" s="1">
        <v>1121</v>
      </c>
      <c r="I836" s="1">
        <f t="shared" si="4"/>
        <v>63</v>
      </c>
    </row>
    <row r="837" spans="1:11" x14ac:dyDescent="0.25">
      <c r="C837" s="1">
        <v>23</v>
      </c>
      <c r="D837" s="1">
        <v>2</v>
      </c>
      <c r="E837" s="1">
        <v>10</v>
      </c>
      <c r="F837" s="1">
        <v>25</v>
      </c>
      <c r="G837" s="1">
        <v>1121</v>
      </c>
      <c r="H837" s="1">
        <v>1182</v>
      </c>
      <c r="I837" s="1">
        <f t="shared" si="4"/>
        <v>61</v>
      </c>
    </row>
    <row r="838" spans="1:11" x14ac:dyDescent="0.25">
      <c r="A838" s="1">
        <v>2</v>
      </c>
      <c r="B838" s="2">
        <v>43965</v>
      </c>
      <c r="C838" s="1">
        <v>24</v>
      </c>
      <c r="D838" s="1">
        <v>1</v>
      </c>
      <c r="E838" s="1">
        <v>30</v>
      </c>
      <c r="F838" s="1">
        <v>1</v>
      </c>
      <c r="G838" s="1">
        <v>1</v>
      </c>
      <c r="H838" s="1">
        <v>66</v>
      </c>
      <c r="I838" s="1">
        <f t="shared" si="4"/>
        <v>65</v>
      </c>
      <c r="J838" s="7">
        <f>(I842+I843+I844+I862+I861+I860+I851+I852+I853)/9</f>
        <v>44.222222222222221</v>
      </c>
      <c r="K838" s="6">
        <f>AVERAGE(I842:I862)</f>
        <v>45.047619047619051</v>
      </c>
    </row>
    <row r="839" spans="1:11" x14ac:dyDescent="0.25">
      <c r="C839" s="1">
        <v>24</v>
      </c>
      <c r="D839" s="1">
        <v>1</v>
      </c>
      <c r="E839" s="1">
        <v>30</v>
      </c>
      <c r="F839" s="1">
        <v>2</v>
      </c>
      <c r="G839" s="1">
        <v>71</v>
      </c>
      <c r="H839" s="1">
        <v>126</v>
      </c>
      <c r="I839" s="1">
        <f t="shared" si="4"/>
        <v>55</v>
      </c>
    </row>
    <row r="840" spans="1:11" x14ac:dyDescent="0.25">
      <c r="C840" s="1">
        <v>24</v>
      </c>
      <c r="D840" s="1">
        <v>1</v>
      </c>
      <c r="E840" s="1">
        <v>30</v>
      </c>
      <c r="F840" s="1">
        <v>3</v>
      </c>
      <c r="G840" s="1">
        <v>130</v>
      </c>
      <c r="H840" s="1">
        <v>181</v>
      </c>
      <c r="I840" s="1">
        <f t="shared" si="4"/>
        <v>51</v>
      </c>
    </row>
    <row r="841" spans="1:11" x14ac:dyDescent="0.25">
      <c r="C841" s="1">
        <v>24</v>
      </c>
      <c r="D841" s="1">
        <v>1</v>
      </c>
      <c r="E841" s="1">
        <v>30</v>
      </c>
      <c r="F841" s="1">
        <v>4</v>
      </c>
      <c r="G841" s="1">
        <v>186</v>
      </c>
      <c r="H841" s="1">
        <v>232</v>
      </c>
      <c r="I841" s="1">
        <f t="shared" si="4"/>
        <v>46</v>
      </c>
    </row>
    <row r="842" spans="1:11" x14ac:dyDescent="0.25">
      <c r="C842" s="1">
        <v>24</v>
      </c>
      <c r="D842" s="1">
        <v>1</v>
      </c>
      <c r="E842" s="1">
        <v>10</v>
      </c>
      <c r="F842" s="1">
        <v>5</v>
      </c>
      <c r="G842" s="1">
        <v>235</v>
      </c>
      <c r="H842" s="1">
        <v>282</v>
      </c>
      <c r="I842" s="11">
        <f t="shared" si="4"/>
        <v>47</v>
      </c>
    </row>
    <row r="843" spans="1:11" x14ac:dyDescent="0.25">
      <c r="C843" s="1">
        <v>24</v>
      </c>
      <c r="D843" s="1">
        <v>1</v>
      </c>
      <c r="E843" s="1">
        <v>10</v>
      </c>
      <c r="F843" s="1">
        <v>6</v>
      </c>
      <c r="G843" s="1">
        <v>282</v>
      </c>
      <c r="H843" s="1">
        <v>330</v>
      </c>
      <c r="I843" s="1">
        <f t="shared" si="4"/>
        <v>48</v>
      </c>
    </row>
    <row r="844" spans="1:11" x14ac:dyDescent="0.25">
      <c r="C844" s="1">
        <v>24</v>
      </c>
      <c r="D844" s="1">
        <v>1</v>
      </c>
      <c r="E844" s="1">
        <v>10</v>
      </c>
      <c r="F844" s="1">
        <v>7</v>
      </c>
      <c r="G844" s="1">
        <v>330</v>
      </c>
      <c r="H844" s="1">
        <v>353</v>
      </c>
      <c r="I844" s="1">
        <f t="shared" si="4"/>
        <v>23</v>
      </c>
    </row>
    <row r="845" spans="1:11" x14ac:dyDescent="0.25">
      <c r="C845" s="1">
        <v>24</v>
      </c>
      <c r="D845" s="1">
        <v>1</v>
      </c>
      <c r="E845" s="1">
        <v>10</v>
      </c>
      <c r="F845" s="1">
        <v>8</v>
      </c>
      <c r="G845" s="1">
        <v>353</v>
      </c>
      <c r="H845" s="1">
        <v>398</v>
      </c>
      <c r="I845" s="1">
        <f t="shared" si="4"/>
        <v>45</v>
      </c>
    </row>
    <row r="846" spans="1:11" x14ac:dyDescent="0.25">
      <c r="C846" s="1">
        <v>24</v>
      </c>
      <c r="D846" s="1">
        <v>1</v>
      </c>
      <c r="E846" s="1">
        <v>10</v>
      </c>
      <c r="F846" s="1">
        <v>9</v>
      </c>
      <c r="G846" s="1">
        <v>398</v>
      </c>
      <c r="H846" s="1">
        <v>442</v>
      </c>
      <c r="I846" s="1">
        <f t="shared" si="4"/>
        <v>44</v>
      </c>
    </row>
    <row r="847" spans="1:11" x14ac:dyDescent="0.25">
      <c r="C847" s="1">
        <v>24</v>
      </c>
      <c r="D847" s="1">
        <v>1</v>
      </c>
      <c r="E847" s="1">
        <v>10</v>
      </c>
      <c r="F847" s="1">
        <v>10</v>
      </c>
      <c r="G847" s="1">
        <v>442</v>
      </c>
      <c r="H847" s="1">
        <v>478</v>
      </c>
      <c r="I847" s="1">
        <f t="shared" si="4"/>
        <v>36</v>
      </c>
    </row>
    <row r="848" spans="1:11" x14ac:dyDescent="0.25">
      <c r="C848" s="1">
        <v>24</v>
      </c>
      <c r="D848" s="1">
        <v>1</v>
      </c>
      <c r="E848" s="1">
        <v>10</v>
      </c>
      <c r="F848" s="1">
        <v>11</v>
      </c>
      <c r="G848" s="1">
        <v>478</v>
      </c>
      <c r="H848" s="1">
        <v>504</v>
      </c>
      <c r="I848" s="1">
        <f t="shared" si="4"/>
        <v>26</v>
      </c>
    </row>
    <row r="849" spans="1:11" x14ac:dyDescent="0.25">
      <c r="C849" s="1">
        <v>24</v>
      </c>
      <c r="D849" s="1">
        <v>1</v>
      </c>
      <c r="E849" s="1">
        <v>10</v>
      </c>
      <c r="F849" s="1">
        <v>12</v>
      </c>
      <c r="G849" s="1">
        <v>504</v>
      </c>
      <c r="H849" s="1">
        <v>554</v>
      </c>
      <c r="I849" s="1">
        <f t="shared" si="4"/>
        <v>50</v>
      </c>
    </row>
    <row r="850" spans="1:11" x14ac:dyDescent="0.25">
      <c r="C850" s="1">
        <v>24</v>
      </c>
      <c r="D850" s="1">
        <v>1</v>
      </c>
      <c r="E850" s="1">
        <v>10</v>
      </c>
      <c r="F850" s="1">
        <v>13</v>
      </c>
      <c r="G850" s="1">
        <v>554</v>
      </c>
      <c r="H850" s="1">
        <v>604</v>
      </c>
      <c r="I850" s="1">
        <f t="shared" si="4"/>
        <v>50</v>
      </c>
    </row>
    <row r="851" spans="1:11" x14ac:dyDescent="0.25">
      <c r="C851" s="1">
        <v>24</v>
      </c>
      <c r="D851" s="1">
        <v>1</v>
      </c>
      <c r="E851" s="1">
        <v>10</v>
      </c>
      <c r="F851" s="1">
        <v>14</v>
      </c>
      <c r="G851" s="1">
        <v>604</v>
      </c>
      <c r="H851" s="1">
        <v>647</v>
      </c>
      <c r="I851" s="1">
        <f t="shared" si="4"/>
        <v>43</v>
      </c>
    </row>
    <row r="852" spans="1:11" x14ac:dyDescent="0.25">
      <c r="C852" s="1">
        <v>24</v>
      </c>
      <c r="D852" s="1">
        <v>1</v>
      </c>
      <c r="E852" s="1">
        <v>10</v>
      </c>
      <c r="F852" s="1">
        <v>15</v>
      </c>
      <c r="G852" s="1">
        <v>647</v>
      </c>
      <c r="H852" s="1">
        <v>678</v>
      </c>
      <c r="I852" s="1">
        <f t="shared" si="4"/>
        <v>31</v>
      </c>
    </row>
    <row r="853" spans="1:11" x14ac:dyDescent="0.25">
      <c r="C853" s="1">
        <v>24</v>
      </c>
      <c r="D853" s="1">
        <v>1</v>
      </c>
      <c r="E853" s="1">
        <v>10</v>
      </c>
      <c r="F853" s="1">
        <v>16</v>
      </c>
      <c r="G853" s="1">
        <v>678</v>
      </c>
      <c r="H853" s="1">
        <v>736</v>
      </c>
      <c r="I853" s="1">
        <f t="shared" si="4"/>
        <v>58</v>
      </c>
    </row>
    <row r="854" spans="1:11" x14ac:dyDescent="0.25">
      <c r="C854" s="1">
        <v>24</v>
      </c>
      <c r="D854" s="1">
        <v>1</v>
      </c>
      <c r="E854" s="1">
        <v>10</v>
      </c>
      <c r="F854" s="1">
        <v>17</v>
      </c>
      <c r="G854" s="1">
        <v>736</v>
      </c>
      <c r="H854" s="1">
        <v>786</v>
      </c>
      <c r="I854" s="1">
        <f t="shared" si="4"/>
        <v>50</v>
      </c>
    </row>
    <row r="855" spans="1:11" x14ac:dyDescent="0.25">
      <c r="C855" s="1">
        <v>24</v>
      </c>
      <c r="D855" s="1">
        <v>1</v>
      </c>
      <c r="E855" s="1">
        <v>10</v>
      </c>
      <c r="F855" s="1">
        <v>18</v>
      </c>
      <c r="G855" s="1">
        <v>786</v>
      </c>
      <c r="H855" s="1">
        <v>823</v>
      </c>
      <c r="I855" s="1">
        <f t="shared" si="4"/>
        <v>37</v>
      </c>
    </row>
    <row r="856" spans="1:11" x14ac:dyDescent="0.25">
      <c r="C856" s="1">
        <v>24</v>
      </c>
      <c r="D856" s="1">
        <v>1</v>
      </c>
      <c r="E856" s="1">
        <v>10</v>
      </c>
      <c r="F856" s="1">
        <v>19</v>
      </c>
      <c r="G856" s="1">
        <v>823</v>
      </c>
      <c r="H856" s="1">
        <v>877</v>
      </c>
      <c r="I856" s="1">
        <f t="shared" si="4"/>
        <v>54</v>
      </c>
    </row>
    <row r="857" spans="1:11" x14ac:dyDescent="0.25">
      <c r="C857" s="1">
        <v>24</v>
      </c>
      <c r="D857" s="1">
        <v>1</v>
      </c>
      <c r="E857" s="1">
        <v>10</v>
      </c>
      <c r="F857" s="1">
        <v>20</v>
      </c>
      <c r="G857" s="1">
        <v>877</v>
      </c>
      <c r="H857" s="1">
        <v>927</v>
      </c>
      <c r="I857" s="1">
        <f t="shared" si="4"/>
        <v>50</v>
      </c>
    </row>
    <row r="858" spans="1:11" x14ac:dyDescent="0.25">
      <c r="C858" s="1">
        <v>24</v>
      </c>
      <c r="D858" s="1">
        <v>1</v>
      </c>
      <c r="E858" s="1">
        <v>10</v>
      </c>
      <c r="F858" s="1">
        <v>21</v>
      </c>
      <c r="G858" s="1">
        <v>927</v>
      </c>
      <c r="H858" s="1">
        <v>986</v>
      </c>
      <c r="I858" s="1">
        <f t="shared" si="4"/>
        <v>59</v>
      </c>
    </row>
    <row r="859" spans="1:11" x14ac:dyDescent="0.25">
      <c r="C859" s="1">
        <v>24</v>
      </c>
      <c r="D859" s="1">
        <v>1</v>
      </c>
      <c r="E859" s="1">
        <v>10</v>
      </c>
      <c r="F859" s="1">
        <v>22</v>
      </c>
      <c r="G859" s="1">
        <v>986</v>
      </c>
      <c r="H859" s="1">
        <v>1033</v>
      </c>
      <c r="I859" s="1">
        <f t="shared" si="4"/>
        <v>47</v>
      </c>
    </row>
    <row r="860" spans="1:11" x14ac:dyDescent="0.25">
      <c r="C860" s="1">
        <v>24</v>
      </c>
      <c r="D860" s="1">
        <v>1</v>
      </c>
      <c r="E860" s="1">
        <v>10</v>
      </c>
      <c r="F860" s="1">
        <v>23</v>
      </c>
      <c r="G860" s="1">
        <v>1033</v>
      </c>
      <c r="H860" s="1">
        <v>1084</v>
      </c>
      <c r="I860" s="1">
        <f t="shared" si="4"/>
        <v>51</v>
      </c>
    </row>
    <row r="861" spans="1:11" x14ac:dyDescent="0.25">
      <c r="C861" s="1">
        <v>24</v>
      </c>
      <c r="D861" s="1">
        <v>1</v>
      </c>
      <c r="E861" s="1">
        <v>10</v>
      </c>
      <c r="F861" s="1">
        <v>24</v>
      </c>
      <c r="G861" s="1">
        <v>1084</v>
      </c>
      <c r="H861" s="1">
        <v>1131</v>
      </c>
      <c r="I861" s="1">
        <f t="shared" si="4"/>
        <v>47</v>
      </c>
    </row>
    <row r="862" spans="1:11" x14ac:dyDescent="0.25">
      <c r="C862" s="1">
        <v>24</v>
      </c>
      <c r="D862" s="1">
        <v>1</v>
      </c>
      <c r="E862" s="1">
        <v>10</v>
      </c>
      <c r="F862" s="1">
        <v>25</v>
      </c>
      <c r="G862" s="1">
        <v>1131</v>
      </c>
      <c r="H862" s="1">
        <v>1181</v>
      </c>
      <c r="I862" s="1">
        <f t="shared" si="4"/>
        <v>50</v>
      </c>
    </row>
    <row r="863" spans="1:11" x14ac:dyDescent="0.25">
      <c r="A863" s="1">
        <v>2</v>
      </c>
      <c r="B863" s="2">
        <v>43965</v>
      </c>
      <c r="C863" s="1">
        <v>25</v>
      </c>
      <c r="D863" s="1">
        <v>1</v>
      </c>
      <c r="E863" s="1">
        <v>30</v>
      </c>
      <c r="F863" s="1">
        <v>1</v>
      </c>
      <c r="G863" s="1">
        <v>50</v>
      </c>
      <c r="H863" s="1">
        <v>101</v>
      </c>
      <c r="I863" s="1">
        <f t="shared" si="4"/>
        <v>51</v>
      </c>
      <c r="J863" s="7">
        <f>(I867+I868+I869+I887+I886+I885+I876+I877+I878)/9</f>
        <v>42</v>
      </c>
      <c r="K863" s="6">
        <f>AVERAGE(I867:I887)</f>
        <v>49.285714285714285</v>
      </c>
    </row>
    <row r="864" spans="1:11" x14ac:dyDescent="0.25">
      <c r="C864" s="1">
        <v>25</v>
      </c>
      <c r="D864" s="1">
        <v>1</v>
      </c>
      <c r="E864" s="1">
        <v>30</v>
      </c>
      <c r="F864" s="1">
        <v>2</v>
      </c>
      <c r="G864" s="1">
        <v>101</v>
      </c>
      <c r="H864" s="1">
        <v>151</v>
      </c>
      <c r="I864" s="1">
        <f t="shared" si="4"/>
        <v>50</v>
      </c>
    </row>
    <row r="865" spans="3:9" x14ac:dyDescent="0.25">
      <c r="C865" s="1">
        <v>25</v>
      </c>
      <c r="D865" s="1">
        <v>1</v>
      </c>
      <c r="E865" s="1">
        <v>30</v>
      </c>
      <c r="F865" s="1">
        <v>3</v>
      </c>
      <c r="G865" s="1">
        <v>152</v>
      </c>
      <c r="H865" s="1">
        <v>189</v>
      </c>
      <c r="I865" s="1">
        <f t="shared" si="4"/>
        <v>37</v>
      </c>
    </row>
    <row r="866" spans="3:9" x14ac:dyDescent="0.25">
      <c r="C866" s="1">
        <v>25</v>
      </c>
      <c r="D866" s="1">
        <v>1</v>
      </c>
      <c r="E866" s="1">
        <v>30</v>
      </c>
      <c r="F866" s="1">
        <v>4</v>
      </c>
      <c r="G866" s="1">
        <v>191</v>
      </c>
      <c r="H866" s="1">
        <v>235</v>
      </c>
      <c r="I866" s="1">
        <f t="shared" si="4"/>
        <v>44</v>
      </c>
    </row>
    <row r="867" spans="3:9" x14ac:dyDescent="0.25">
      <c r="C867" s="1">
        <v>25</v>
      </c>
      <c r="D867" s="1">
        <v>1</v>
      </c>
      <c r="E867" s="1">
        <v>10</v>
      </c>
      <c r="F867" s="1">
        <v>5</v>
      </c>
      <c r="G867" s="1">
        <v>238</v>
      </c>
      <c r="H867" s="1">
        <v>283</v>
      </c>
      <c r="I867" s="11">
        <f t="shared" si="4"/>
        <v>45</v>
      </c>
    </row>
    <row r="868" spans="3:9" x14ac:dyDescent="0.25">
      <c r="C868" s="1">
        <v>25</v>
      </c>
      <c r="D868" s="1">
        <v>1</v>
      </c>
      <c r="E868" s="1">
        <v>10</v>
      </c>
      <c r="F868" s="1">
        <v>6</v>
      </c>
      <c r="G868" s="1">
        <v>288</v>
      </c>
      <c r="H868" s="1">
        <v>331</v>
      </c>
      <c r="I868" s="1">
        <f t="shared" si="4"/>
        <v>43</v>
      </c>
    </row>
    <row r="869" spans="3:9" x14ac:dyDescent="0.25">
      <c r="C869" s="1">
        <v>25</v>
      </c>
      <c r="D869" s="1">
        <v>1</v>
      </c>
      <c r="E869" s="1">
        <v>10</v>
      </c>
      <c r="F869" s="1">
        <v>7</v>
      </c>
      <c r="G869" s="1">
        <v>334</v>
      </c>
      <c r="H869" s="1">
        <v>359</v>
      </c>
      <c r="I869" s="1">
        <f t="shared" si="4"/>
        <v>25</v>
      </c>
    </row>
    <row r="870" spans="3:9" x14ac:dyDescent="0.25">
      <c r="C870" s="1">
        <v>25</v>
      </c>
      <c r="D870" s="1">
        <v>1</v>
      </c>
      <c r="E870" s="1">
        <v>10</v>
      </c>
      <c r="F870" s="1">
        <v>8</v>
      </c>
      <c r="G870" s="1">
        <v>360</v>
      </c>
      <c r="H870" s="1">
        <v>406</v>
      </c>
      <c r="I870" s="1">
        <f t="shared" si="4"/>
        <v>46</v>
      </c>
    </row>
    <row r="871" spans="3:9" x14ac:dyDescent="0.25">
      <c r="C871" s="1">
        <v>25</v>
      </c>
      <c r="D871" s="1">
        <v>1</v>
      </c>
      <c r="E871" s="1">
        <v>10</v>
      </c>
      <c r="F871" s="1">
        <v>9</v>
      </c>
      <c r="G871" s="1">
        <v>406</v>
      </c>
      <c r="H871" s="1">
        <v>442</v>
      </c>
      <c r="I871" s="1">
        <f t="shared" si="4"/>
        <v>36</v>
      </c>
    </row>
    <row r="872" spans="3:9" x14ac:dyDescent="0.25">
      <c r="C872" s="1">
        <v>25</v>
      </c>
      <c r="D872" s="1">
        <v>1</v>
      </c>
      <c r="E872" s="1">
        <v>10</v>
      </c>
      <c r="F872" s="1">
        <v>10</v>
      </c>
      <c r="G872" s="1">
        <v>406</v>
      </c>
      <c r="H872" s="1">
        <v>442</v>
      </c>
      <c r="I872" s="1">
        <f t="shared" si="4"/>
        <v>36</v>
      </c>
    </row>
    <row r="873" spans="3:9" x14ac:dyDescent="0.25">
      <c r="C873" s="1">
        <v>25</v>
      </c>
      <c r="D873" s="1">
        <v>1</v>
      </c>
      <c r="E873" s="1">
        <v>10</v>
      </c>
      <c r="F873" s="1">
        <v>11</v>
      </c>
      <c r="G873" s="1">
        <v>444</v>
      </c>
      <c r="H873" s="1">
        <v>483</v>
      </c>
      <c r="I873" s="1">
        <f t="shared" si="4"/>
        <v>39</v>
      </c>
    </row>
    <row r="874" spans="3:9" x14ac:dyDescent="0.25">
      <c r="C874" s="1">
        <v>25</v>
      </c>
      <c r="D874" s="1">
        <v>1</v>
      </c>
      <c r="E874" s="1">
        <v>10</v>
      </c>
      <c r="F874" s="1">
        <v>12</v>
      </c>
      <c r="G874" s="1">
        <v>483</v>
      </c>
      <c r="H874" s="1">
        <v>532</v>
      </c>
      <c r="I874" s="1">
        <f t="shared" si="4"/>
        <v>49</v>
      </c>
    </row>
    <row r="875" spans="3:9" x14ac:dyDescent="0.25">
      <c r="C875" s="1">
        <v>25</v>
      </c>
      <c r="D875" s="1">
        <v>1</v>
      </c>
      <c r="E875" s="1">
        <v>10</v>
      </c>
      <c r="F875" s="1">
        <v>13</v>
      </c>
      <c r="G875" s="1">
        <v>536</v>
      </c>
      <c r="H875" s="1">
        <v>584</v>
      </c>
      <c r="I875" s="1">
        <f t="shared" si="4"/>
        <v>48</v>
      </c>
    </row>
    <row r="876" spans="3:9" x14ac:dyDescent="0.25">
      <c r="C876" s="1">
        <v>25</v>
      </c>
      <c r="D876" s="1">
        <v>1</v>
      </c>
      <c r="E876" s="1">
        <v>10</v>
      </c>
      <c r="F876" s="1">
        <v>14</v>
      </c>
      <c r="G876" s="1">
        <v>584</v>
      </c>
      <c r="H876" s="1">
        <v>626</v>
      </c>
      <c r="I876" s="1">
        <f t="shared" si="4"/>
        <v>42</v>
      </c>
    </row>
    <row r="877" spans="3:9" x14ac:dyDescent="0.25">
      <c r="C877" s="1">
        <v>25</v>
      </c>
      <c r="D877" s="1">
        <v>1</v>
      </c>
      <c r="E877" s="1">
        <v>10</v>
      </c>
      <c r="F877" s="1">
        <v>15</v>
      </c>
      <c r="G877" s="1">
        <v>628</v>
      </c>
      <c r="H877" s="1">
        <v>666</v>
      </c>
      <c r="I877" s="1">
        <f t="shared" si="4"/>
        <v>38</v>
      </c>
    </row>
    <row r="878" spans="3:9" x14ac:dyDescent="0.25">
      <c r="C878" s="1">
        <v>25</v>
      </c>
      <c r="D878" s="1">
        <v>1</v>
      </c>
      <c r="E878" s="1">
        <v>10</v>
      </c>
      <c r="F878" s="1">
        <v>16</v>
      </c>
      <c r="G878" s="1">
        <v>666</v>
      </c>
      <c r="H878" s="1">
        <v>716</v>
      </c>
      <c r="I878" s="1">
        <f t="shared" si="4"/>
        <v>50</v>
      </c>
    </row>
    <row r="879" spans="3:9" x14ac:dyDescent="0.25">
      <c r="C879" s="1">
        <v>25</v>
      </c>
      <c r="D879" s="1">
        <v>1</v>
      </c>
      <c r="E879" s="1">
        <v>10</v>
      </c>
      <c r="F879" s="1">
        <v>17</v>
      </c>
      <c r="G879" s="1">
        <v>716</v>
      </c>
      <c r="H879" s="1">
        <v>763</v>
      </c>
      <c r="I879" s="1">
        <f t="shared" si="4"/>
        <v>47</v>
      </c>
    </row>
    <row r="880" spans="3:9" x14ac:dyDescent="0.25">
      <c r="C880" s="1">
        <v>25</v>
      </c>
      <c r="D880" s="1">
        <v>1</v>
      </c>
      <c r="E880" s="1">
        <v>10</v>
      </c>
      <c r="F880" s="1">
        <v>18</v>
      </c>
      <c r="G880" s="1">
        <v>763</v>
      </c>
      <c r="H880" s="1">
        <v>805</v>
      </c>
      <c r="I880" s="1">
        <f t="shared" si="4"/>
        <v>42</v>
      </c>
    </row>
    <row r="881" spans="1:11" x14ac:dyDescent="0.25">
      <c r="C881" s="1">
        <v>25</v>
      </c>
      <c r="D881" s="1">
        <v>1</v>
      </c>
      <c r="E881" s="1">
        <v>10</v>
      </c>
      <c r="F881" s="1">
        <v>19</v>
      </c>
      <c r="G881" s="1">
        <v>805</v>
      </c>
      <c r="H881" s="1">
        <v>866</v>
      </c>
      <c r="I881" s="1">
        <f t="shared" si="4"/>
        <v>61</v>
      </c>
    </row>
    <row r="882" spans="1:11" x14ac:dyDescent="0.25">
      <c r="C882" s="1">
        <v>25</v>
      </c>
      <c r="D882" s="1">
        <v>1</v>
      </c>
      <c r="E882" s="1">
        <v>10</v>
      </c>
      <c r="F882" s="1">
        <v>20</v>
      </c>
      <c r="G882" s="1">
        <v>866</v>
      </c>
      <c r="H882" s="1">
        <v>903</v>
      </c>
      <c r="I882" s="1">
        <f t="shared" si="4"/>
        <v>37</v>
      </c>
    </row>
    <row r="883" spans="1:11" x14ac:dyDescent="0.25">
      <c r="C883" s="1">
        <v>25</v>
      </c>
      <c r="D883" s="1">
        <v>1</v>
      </c>
      <c r="E883" s="1">
        <v>10</v>
      </c>
      <c r="F883" s="1">
        <v>21</v>
      </c>
      <c r="G883" s="1">
        <v>805</v>
      </c>
      <c r="H883" s="1">
        <v>960</v>
      </c>
      <c r="I883" s="1">
        <f t="shared" si="4"/>
        <v>155</v>
      </c>
    </row>
    <row r="884" spans="1:11" x14ac:dyDescent="0.25">
      <c r="C884" s="1">
        <v>25</v>
      </c>
      <c r="D884" s="1">
        <v>1</v>
      </c>
      <c r="E884" s="1">
        <v>10</v>
      </c>
      <c r="F884" s="1">
        <v>22</v>
      </c>
      <c r="G884" s="1">
        <v>961</v>
      </c>
      <c r="H884" s="1">
        <v>1022</v>
      </c>
      <c r="I884" s="1">
        <f t="shared" si="4"/>
        <v>61</v>
      </c>
    </row>
    <row r="885" spans="1:11" x14ac:dyDescent="0.25">
      <c r="C885" s="1">
        <v>25</v>
      </c>
      <c r="D885" s="1">
        <v>1</v>
      </c>
      <c r="E885" s="1">
        <v>10</v>
      </c>
      <c r="F885" s="1">
        <v>23</v>
      </c>
      <c r="G885" s="1">
        <v>1028</v>
      </c>
      <c r="H885" s="1">
        <v>1078</v>
      </c>
      <c r="I885" s="1">
        <f t="shared" si="4"/>
        <v>50</v>
      </c>
    </row>
    <row r="886" spans="1:11" x14ac:dyDescent="0.25">
      <c r="C886" s="1">
        <v>25</v>
      </c>
      <c r="D886" s="1">
        <v>1</v>
      </c>
      <c r="E886" s="1">
        <v>10</v>
      </c>
      <c r="F886" s="1">
        <v>24</v>
      </c>
      <c r="G886" s="1">
        <v>1078</v>
      </c>
      <c r="H886" s="1">
        <v>1119</v>
      </c>
      <c r="I886" s="1">
        <f t="shared" si="4"/>
        <v>41</v>
      </c>
    </row>
    <row r="887" spans="1:11" x14ac:dyDescent="0.25">
      <c r="C887" s="1">
        <v>25</v>
      </c>
      <c r="D887" s="1">
        <v>1</v>
      </c>
      <c r="E887" s="1">
        <v>10</v>
      </c>
      <c r="F887" s="1">
        <v>25</v>
      </c>
      <c r="G887" s="1">
        <v>1119</v>
      </c>
      <c r="H887" s="1">
        <v>1163</v>
      </c>
      <c r="I887" s="1">
        <f t="shared" si="4"/>
        <v>44</v>
      </c>
    </row>
    <row r="888" spans="1:11" x14ac:dyDescent="0.25">
      <c r="A888" s="1">
        <v>2</v>
      </c>
      <c r="B888" s="2">
        <v>43965</v>
      </c>
      <c r="C888" s="1">
        <v>26</v>
      </c>
      <c r="D888" s="1">
        <v>2</v>
      </c>
      <c r="E888" s="1">
        <v>30</v>
      </c>
      <c r="F888" s="1">
        <v>1</v>
      </c>
      <c r="G888" s="1">
        <v>1</v>
      </c>
      <c r="H888" s="1">
        <v>58</v>
      </c>
      <c r="I888" s="1">
        <f t="shared" si="4"/>
        <v>57</v>
      </c>
      <c r="J888" s="7">
        <f>(I892+I893+I894+I908+I907+I906+I900+I899+I901)/9</f>
        <v>47.333333333333336</v>
      </c>
      <c r="K888" s="6">
        <f>AVERAGE(I892:I908)</f>
        <v>46.294117647058826</v>
      </c>
    </row>
    <row r="889" spans="1:11" x14ac:dyDescent="0.25">
      <c r="C889" s="1">
        <v>26</v>
      </c>
      <c r="D889" s="1">
        <v>2</v>
      </c>
      <c r="E889" s="1">
        <v>30</v>
      </c>
      <c r="F889" s="1">
        <v>2</v>
      </c>
      <c r="G889" s="1">
        <v>58</v>
      </c>
      <c r="H889" s="1">
        <v>108</v>
      </c>
      <c r="I889" s="1">
        <f t="shared" si="4"/>
        <v>50</v>
      </c>
    </row>
    <row r="890" spans="1:11" x14ac:dyDescent="0.25">
      <c r="C890" s="1">
        <v>26</v>
      </c>
      <c r="D890" s="1">
        <v>2</v>
      </c>
      <c r="E890" s="1">
        <v>30</v>
      </c>
      <c r="F890" s="1">
        <v>3</v>
      </c>
      <c r="G890" s="1">
        <v>111</v>
      </c>
      <c r="H890" s="1">
        <v>167</v>
      </c>
      <c r="I890" s="1">
        <f t="shared" si="4"/>
        <v>56</v>
      </c>
    </row>
    <row r="891" spans="1:11" x14ac:dyDescent="0.25">
      <c r="C891" s="1">
        <v>26</v>
      </c>
      <c r="D891" s="1">
        <v>2</v>
      </c>
      <c r="E891" s="1">
        <v>30</v>
      </c>
      <c r="F891" s="1">
        <v>4</v>
      </c>
      <c r="G891" s="1">
        <v>171</v>
      </c>
      <c r="H891" s="1">
        <v>230</v>
      </c>
      <c r="I891" s="1">
        <f t="shared" si="4"/>
        <v>59</v>
      </c>
    </row>
    <row r="892" spans="1:11" x14ac:dyDescent="0.25">
      <c r="C892" s="1">
        <v>26</v>
      </c>
      <c r="D892" s="1">
        <v>2</v>
      </c>
      <c r="E892" s="1">
        <v>10</v>
      </c>
      <c r="F892" s="1">
        <v>5</v>
      </c>
      <c r="G892" s="1">
        <v>230</v>
      </c>
      <c r="H892" s="1">
        <v>277</v>
      </c>
      <c r="I892" s="11">
        <f t="shared" si="4"/>
        <v>47</v>
      </c>
    </row>
    <row r="893" spans="1:11" x14ac:dyDescent="0.25">
      <c r="C893" s="1">
        <v>26</v>
      </c>
      <c r="D893" s="1">
        <v>2</v>
      </c>
      <c r="E893" s="1">
        <v>10</v>
      </c>
      <c r="F893" s="1">
        <v>6</v>
      </c>
      <c r="G893" s="1">
        <v>277</v>
      </c>
      <c r="H893" s="1">
        <v>313</v>
      </c>
      <c r="I893" s="1">
        <f t="shared" si="4"/>
        <v>36</v>
      </c>
    </row>
    <row r="894" spans="1:11" x14ac:dyDescent="0.25">
      <c r="C894" s="1">
        <v>26</v>
      </c>
      <c r="D894" s="1">
        <v>2</v>
      </c>
      <c r="E894" s="1">
        <v>10</v>
      </c>
      <c r="F894" s="1">
        <v>7</v>
      </c>
      <c r="G894" s="1">
        <v>313</v>
      </c>
      <c r="H894" s="1">
        <v>365</v>
      </c>
      <c r="I894" s="1">
        <f t="shared" si="4"/>
        <v>52</v>
      </c>
    </row>
    <row r="895" spans="1:11" x14ac:dyDescent="0.25">
      <c r="C895" s="1">
        <v>26</v>
      </c>
      <c r="D895" s="1">
        <v>2</v>
      </c>
      <c r="E895" s="1">
        <v>10</v>
      </c>
      <c r="F895" s="1">
        <v>8</v>
      </c>
      <c r="G895" s="1">
        <v>365</v>
      </c>
      <c r="H895" s="1">
        <v>381</v>
      </c>
      <c r="I895" s="1">
        <f t="shared" si="4"/>
        <v>16</v>
      </c>
    </row>
    <row r="896" spans="1:11" x14ac:dyDescent="0.25">
      <c r="C896" s="1">
        <v>26</v>
      </c>
      <c r="D896" s="1">
        <v>2</v>
      </c>
      <c r="E896" s="1">
        <v>10</v>
      </c>
      <c r="F896" s="1">
        <v>9</v>
      </c>
      <c r="G896" s="1">
        <v>381</v>
      </c>
      <c r="H896" s="1">
        <v>430</v>
      </c>
      <c r="I896" s="1">
        <f t="shared" si="4"/>
        <v>49</v>
      </c>
    </row>
    <row r="897" spans="3:9" x14ac:dyDescent="0.25">
      <c r="C897" s="1">
        <v>26</v>
      </c>
      <c r="D897" s="1">
        <v>2</v>
      </c>
      <c r="E897" s="1">
        <v>10</v>
      </c>
      <c r="F897" s="1">
        <v>10</v>
      </c>
      <c r="G897" s="1">
        <v>430</v>
      </c>
      <c r="H897" s="1">
        <v>469</v>
      </c>
      <c r="I897" s="1">
        <f t="shared" si="4"/>
        <v>39</v>
      </c>
    </row>
    <row r="898" spans="3:9" x14ac:dyDescent="0.25">
      <c r="C898" s="1">
        <v>26</v>
      </c>
      <c r="D898" s="1">
        <v>2</v>
      </c>
      <c r="E898" s="1">
        <v>10</v>
      </c>
      <c r="F898" s="1">
        <v>11</v>
      </c>
      <c r="G898" s="1">
        <v>470</v>
      </c>
      <c r="H898" s="1">
        <v>522</v>
      </c>
      <c r="I898" s="1">
        <f t="shared" si="4"/>
        <v>52</v>
      </c>
    </row>
    <row r="899" spans="3:9" x14ac:dyDescent="0.25">
      <c r="C899" s="1">
        <v>26</v>
      </c>
      <c r="D899" s="1">
        <v>2</v>
      </c>
      <c r="E899" s="1">
        <v>10</v>
      </c>
      <c r="F899" s="1">
        <v>12</v>
      </c>
      <c r="G899" s="1">
        <v>522</v>
      </c>
      <c r="H899" s="1">
        <v>528</v>
      </c>
      <c r="I899" s="1">
        <f t="shared" si="4"/>
        <v>6</v>
      </c>
    </row>
    <row r="900" spans="3:9" x14ac:dyDescent="0.25">
      <c r="C900" s="1">
        <v>26</v>
      </c>
      <c r="D900" s="1">
        <v>2</v>
      </c>
      <c r="E900" s="1">
        <v>10</v>
      </c>
      <c r="F900" s="1">
        <v>13</v>
      </c>
      <c r="G900" s="1">
        <v>528</v>
      </c>
      <c r="H900" s="1">
        <v>585</v>
      </c>
      <c r="I900" s="1">
        <f t="shared" si="4"/>
        <v>57</v>
      </c>
    </row>
    <row r="901" spans="3:9" x14ac:dyDescent="0.25">
      <c r="C901" s="1">
        <v>26</v>
      </c>
      <c r="D901" s="1">
        <v>2</v>
      </c>
      <c r="E901" s="1">
        <v>10</v>
      </c>
      <c r="F901" s="1">
        <v>14</v>
      </c>
      <c r="G901" s="1">
        <v>585</v>
      </c>
      <c r="H901" s="1">
        <v>639</v>
      </c>
      <c r="I901" s="1">
        <f t="shared" si="4"/>
        <v>54</v>
      </c>
    </row>
    <row r="902" spans="3:9" x14ac:dyDescent="0.25">
      <c r="C902" s="1">
        <v>26</v>
      </c>
      <c r="D902" s="1">
        <v>2</v>
      </c>
      <c r="E902" s="1">
        <v>10</v>
      </c>
      <c r="F902" s="1">
        <v>15</v>
      </c>
      <c r="G902" s="1">
        <v>639</v>
      </c>
      <c r="H902" s="1">
        <v>689</v>
      </c>
      <c r="I902" s="1">
        <f t="shared" si="4"/>
        <v>50</v>
      </c>
    </row>
    <row r="903" spans="3:9" x14ac:dyDescent="0.25">
      <c r="C903" s="1">
        <v>26</v>
      </c>
      <c r="D903" s="1">
        <v>2</v>
      </c>
      <c r="E903" s="1">
        <v>10</v>
      </c>
      <c r="F903" s="1">
        <v>16</v>
      </c>
      <c r="G903" s="1">
        <v>689</v>
      </c>
      <c r="H903" s="1">
        <v>749</v>
      </c>
      <c r="I903" s="1">
        <f t="shared" si="4"/>
        <v>60</v>
      </c>
    </row>
    <row r="904" spans="3:9" x14ac:dyDescent="0.25">
      <c r="C904" s="1">
        <v>26</v>
      </c>
      <c r="D904" s="1">
        <v>2</v>
      </c>
      <c r="E904" s="1">
        <v>10</v>
      </c>
      <c r="F904" s="1">
        <v>17</v>
      </c>
      <c r="G904" s="1">
        <v>753</v>
      </c>
      <c r="H904" s="1">
        <v>805</v>
      </c>
      <c r="I904" s="1">
        <f t="shared" si="4"/>
        <v>52</v>
      </c>
    </row>
    <row r="905" spans="3:9" x14ac:dyDescent="0.25">
      <c r="C905" s="1">
        <v>26</v>
      </c>
      <c r="D905" s="1">
        <v>2</v>
      </c>
      <c r="E905" s="1">
        <v>10</v>
      </c>
      <c r="F905" s="1">
        <v>18</v>
      </c>
      <c r="G905" s="1">
        <v>805</v>
      </c>
      <c r="H905" s="1">
        <v>848</v>
      </c>
      <c r="I905" s="1">
        <f t="shared" si="4"/>
        <v>43</v>
      </c>
    </row>
    <row r="906" spans="3:9" x14ac:dyDescent="0.25">
      <c r="C906" s="1">
        <v>26</v>
      </c>
      <c r="D906" s="1">
        <v>2</v>
      </c>
      <c r="E906" s="1">
        <v>10</v>
      </c>
      <c r="F906" s="1">
        <v>19</v>
      </c>
      <c r="G906" s="1">
        <v>848</v>
      </c>
      <c r="H906" s="1">
        <v>902</v>
      </c>
      <c r="I906" s="1">
        <f t="shared" si="4"/>
        <v>54</v>
      </c>
    </row>
    <row r="907" spans="3:9" x14ac:dyDescent="0.25">
      <c r="C907" s="1">
        <v>26</v>
      </c>
      <c r="D907" s="1">
        <v>2</v>
      </c>
      <c r="E907" s="1">
        <v>10</v>
      </c>
      <c r="F907" s="1">
        <v>20</v>
      </c>
      <c r="G907" s="1">
        <v>902</v>
      </c>
      <c r="H907" s="1">
        <v>959</v>
      </c>
      <c r="I907" s="1">
        <f t="shared" si="4"/>
        <v>57</v>
      </c>
    </row>
    <row r="908" spans="3:9" x14ac:dyDescent="0.25">
      <c r="C908" s="1">
        <v>26</v>
      </c>
      <c r="D908" s="1">
        <v>2</v>
      </c>
      <c r="E908" s="1">
        <v>10</v>
      </c>
      <c r="F908" s="1">
        <v>21</v>
      </c>
      <c r="G908" s="1">
        <v>965</v>
      </c>
      <c r="H908" s="1">
        <v>1028</v>
      </c>
      <c r="I908" s="1">
        <f t="shared" si="4"/>
        <v>63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2"/>
  <sheetViews>
    <sheetView topLeftCell="B1" zoomScaleNormal="100" workbookViewId="0">
      <pane ySplit="1" topLeftCell="A740" activePane="bottomLeft" state="frozen"/>
      <selection pane="bottomLeft" activeCell="K760" sqref="K760"/>
    </sheetView>
  </sheetViews>
  <sheetFormatPr defaultRowHeight="15" x14ac:dyDescent="0.25"/>
  <cols>
    <col min="1" max="1" width="8.85546875" style="5"/>
    <col min="2" max="2" width="12.140625" style="1" customWidth="1"/>
    <col min="3" max="8" width="8.85546875" style="1"/>
    <col min="9" max="9" width="10" style="1" customWidth="1"/>
    <col min="10" max="10" width="8.85546875" style="6"/>
    <col min="11" max="11" width="9.7109375" style="6" customWidth="1"/>
  </cols>
  <sheetData>
    <row r="1" spans="1:1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</row>
    <row r="2" spans="1:11" x14ac:dyDescent="0.25">
      <c r="A2" s="5">
        <v>1</v>
      </c>
      <c r="B2" s="2">
        <v>43783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40</v>
      </c>
      <c r="I2" s="1">
        <f>H2-G2</f>
        <v>40</v>
      </c>
    </row>
    <row r="3" spans="1:11" x14ac:dyDescent="0.25">
      <c r="C3" s="1">
        <v>1</v>
      </c>
      <c r="D3" s="1">
        <v>1</v>
      </c>
      <c r="E3" s="1">
        <v>1</v>
      </c>
      <c r="F3" s="1">
        <v>2</v>
      </c>
      <c r="G3" s="1">
        <v>40</v>
      </c>
      <c r="H3" s="1">
        <v>52</v>
      </c>
      <c r="I3" s="1">
        <f t="shared" ref="I3:I257" si="0">H3-G3</f>
        <v>12</v>
      </c>
    </row>
    <row r="4" spans="1:11" x14ac:dyDescent="0.25">
      <c r="C4" s="1">
        <v>1</v>
      </c>
      <c r="D4" s="1">
        <v>1</v>
      </c>
      <c r="E4" s="1">
        <v>1</v>
      </c>
      <c r="F4" s="1">
        <v>3</v>
      </c>
      <c r="G4" s="1">
        <v>52</v>
      </c>
      <c r="H4" s="1">
        <v>52</v>
      </c>
      <c r="I4" s="1">
        <f t="shared" si="0"/>
        <v>0</v>
      </c>
    </row>
    <row r="5" spans="1:11" x14ac:dyDescent="0.25">
      <c r="C5" s="1">
        <v>1</v>
      </c>
      <c r="D5" s="1">
        <v>1</v>
      </c>
      <c r="E5" s="1">
        <v>1</v>
      </c>
      <c r="F5" s="1">
        <v>4</v>
      </c>
      <c r="G5" s="1">
        <v>52</v>
      </c>
      <c r="H5" s="1">
        <v>52</v>
      </c>
      <c r="I5" s="1">
        <f t="shared" si="0"/>
        <v>0</v>
      </c>
    </row>
    <row r="6" spans="1:11" x14ac:dyDescent="0.25">
      <c r="C6" s="1">
        <v>1</v>
      </c>
      <c r="D6" s="1">
        <v>1</v>
      </c>
      <c r="E6" s="1">
        <v>1</v>
      </c>
      <c r="F6" s="1">
        <v>5</v>
      </c>
      <c r="G6" s="1">
        <v>52</v>
      </c>
      <c r="H6" s="1">
        <v>94</v>
      </c>
      <c r="I6" s="1">
        <f t="shared" si="0"/>
        <v>42</v>
      </c>
    </row>
    <row r="7" spans="1:11" x14ac:dyDescent="0.25">
      <c r="C7" s="1">
        <v>1</v>
      </c>
      <c r="D7" s="1">
        <v>1</v>
      </c>
      <c r="E7" s="1">
        <v>10</v>
      </c>
      <c r="F7" s="1">
        <v>6</v>
      </c>
      <c r="G7" s="1">
        <v>94</v>
      </c>
      <c r="H7" s="1">
        <v>127</v>
      </c>
      <c r="I7" s="1">
        <f t="shared" si="0"/>
        <v>33</v>
      </c>
      <c r="J7" s="6">
        <f>(I7+I8+I9+I18+I17+I16+I12+I13+I14)/9</f>
        <v>37.222222222222221</v>
      </c>
      <c r="K7" s="6">
        <f>AVERAGE(I7:I18)</f>
        <v>38</v>
      </c>
    </row>
    <row r="8" spans="1:11" x14ac:dyDescent="0.25">
      <c r="C8" s="1">
        <v>1</v>
      </c>
      <c r="D8" s="1">
        <v>1</v>
      </c>
      <c r="E8" s="1">
        <v>10</v>
      </c>
      <c r="F8" s="1">
        <v>7</v>
      </c>
      <c r="G8" s="1">
        <v>127</v>
      </c>
      <c r="H8" s="1">
        <v>164</v>
      </c>
      <c r="I8" s="1">
        <f t="shared" si="0"/>
        <v>37</v>
      </c>
    </row>
    <row r="9" spans="1:11" x14ac:dyDescent="0.25">
      <c r="C9" s="1">
        <v>1</v>
      </c>
      <c r="D9" s="1">
        <v>1</v>
      </c>
      <c r="E9" s="1">
        <v>10</v>
      </c>
      <c r="F9" s="1">
        <v>8</v>
      </c>
      <c r="G9" s="1">
        <v>164</v>
      </c>
      <c r="H9" s="1">
        <v>211</v>
      </c>
      <c r="I9" s="1">
        <f t="shared" si="0"/>
        <v>47</v>
      </c>
    </row>
    <row r="10" spans="1:11" x14ac:dyDescent="0.25">
      <c r="C10" s="1">
        <v>1</v>
      </c>
      <c r="D10" s="1">
        <v>1</v>
      </c>
      <c r="E10" s="1">
        <v>10</v>
      </c>
      <c r="F10" s="1">
        <v>9</v>
      </c>
      <c r="G10" s="1">
        <v>214</v>
      </c>
      <c r="H10" s="1">
        <v>260</v>
      </c>
      <c r="I10" s="1">
        <f t="shared" si="0"/>
        <v>46</v>
      </c>
    </row>
    <row r="11" spans="1:11" x14ac:dyDescent="0.25">
      <c r="C11" s="1">
        <v>1</v>
      </c>
      <c r="D11" s="1">
        <v>1</v>
      </c>
      <c r="E11" s="1">
        <v>10</v>
      </c>
      <c r="F11" s="1">
        <v>10</v>
      </c>
      <c r="G11" s="1">
        <v>260</v>
      </c>
      <c r="H11" s="1">
        <v>293</v>
      </c>
      <c r="I11" s="1">
        <f t="shared" si="0"/>
        <v>33</v>
      </c>
    </row>
    <row r="12" spans="1:11" x14ac:dyDescent="0.25">
      <c r="C12" s="1">
        <v>1</v>
      </c>
      <c r="D12" s="1">
        <v>1</v>
      </c>
      <c r="E12" s="1">
        <v>10</v>
      </c>
      <c r="F12" s="1">
        <v>11</v>
      </c>
      <c r="G12" s="1">
        <v>293</v>
      </c>
      <c r="H12" s="1">
        <v>336</v>
      </c>
      <c r="I12" s="1">
        <f t="shared" si="0"/>
        <v>43</v>
      </c>
    </row>
    <row r="13" spans="1:11" x14ac:dyDescent="0.25">
      <c r="C13" s="1">
        <v>1</v>
      </c>
      <c r="D13" s="1">
        <v>1</v>
      </c>
      <c r="E13" s="1">
        <v>10</v>
      </c>
      <c r="F13" s="1">
        <v>12</v>
      </c>
      <c r="G13" s="1">
        <v>336</v>
      </c>
      <c r="H13" s="1">
        <v>368</v>
      </c>
      <c r="I13" s="1">
        <f t="shared" si="0"/>
        <v>32</v>
      </c>
    </row>
    <row r="14" spans="1:11" x14ac:dyDescent="0.25">
      <c r="C14" s="1">
        <v>1</v>
      </c>
      <c r="D14" s="1">
        <v>1</v>
      </c>
      <c r="E14" s="1">
        <v>10</v>
      </c>
      <c r="F14" s="1">
        <v>13</v>
      </c>
      <c r="G14" s="1">
        <v>368</v>
      </c>
      <c r="H14" s="1">
        <v>406</v>
      </c>
      <c r="I14" s="1">
        <f t="shared" si="0"/>
        <v>38</v>
      </c>
    </row>
    <row r="15" spans="1:11" x14ac:dyDescent="0.25">
      <c r="C15" s="1">
        <v>1</v>
      </c>
      <c r="D15" s="1">
        <v>1</v>
      </c>
      <c r="E15" s="1">
        <v>10</v>
      </c>
      <c r="F15" s="1">
        <v>14</v>
      </c>
      <c r="G15" s="1">
        <v>406</v>
      </c>
      <c r="H15" s="1">
        <v>448</v>
      </c>
      <c r="I15" s="1">
        <f t="shared" si="0"/>
        <v>42</v>
      </c>
    </row>
    <row r="16" spans="1:11" x14ac:dyDescent="0.25">
      <c r="C16" s="1">
        <v>1</v>
      </c>
      <c r="D16" s="1">
        <v>1</v>
      </c>
      <c r="E16" s="1">
        <v>10</v>
      </c>
      <c r="F16" s="1">
        <v>15</v>
      </c>
      <c r="G16" s="1">
        <v>452</v>
      </c>
      <c r="H16" s="1">
        <v>485</v>
      </c>
      <c r="I16" s="1">
        <f t="shared" si="0"/>
        <v>33</v>
      </c>
    </row>
    <row r="17" spans="1:11" x14ac:dyDescent="0.25">
      <c r="C17" s="1">
        <v>1</v>
      </c>
      <c r="D17" s="1">
        <v>1</v>
      </c>
      <c r="E17" s="1">
        <v>10</v>
      </c>
      <c r="F17" s="1">
        <v>16</v>
      </c>
      <c r="G17" s="1">
        <v>485</v>
      </c>
      <c r="H17" s="1">
        <v>507</v>
      </c>
      <c r="I17" s="1">
        <f t="shared" si="0"/>
        <v>22</v>
      </c>
    </row>
    <row r="18" spans="1:11" x14ac:dyDescent="0.25">
      <c r="C18" s="1">
        <v>1</v>
      </c>
      <c r="D18" s="1">
        <v>1</v>
      </c>
      <c r="E18" s="1">
        <v>10</v>
      </c>
      <c r="F18" s="1">
        <v>17</v>
      </c>
      <c r="G18" s="1">
        <v>509</v>
      </c>
      <c r="H18" s="1">
        <v>559</v>
      </c>
      <c r="I18" s="1">
        <f t="shared" si="0"/>
        <v>50</v>
      </c>
    </row>
    <row r="19" spans="1:11" x14ac:dyDescent="0.25">
      <c r="A19" s="5">
        <v>1</v>
      </c>
      <c r="B19" s="2">
        <v>43783</v>
      </c>
      <c r="C19" s="1">
        <v>2</v>
      </c>
      <c r="D19" s="1">
        <v>2</v>
      </c>
      <c r="E19" s="1">
        <v>1</v>
      </c>
      <c r="F19" s="1">
        <v>1</v>
      </c>
      <c r="G19" s="1">
        <v>0</v>
      </c>
      <c r="H19" s="1">
        <v>9</v>
      </c>
      <c r="I19" s="1">
        <f t="shared" si="0"/>
        <v>9</v>
      </c>
    </row>
    <row r="20" spans="1:11" x14ac:dyDescent="0.25">
      <c r="C20" s="1">
        <v>2</v>
      </c>
      <c r="D20" s="1">
        <v>2</v>
      </c>
      <c r="E20" s="1">
        <v>1</v>
      </c>
      <c r="F20" s="1">
        <v>2</v>
      </c>
      <c r="G20" s="1">
        <v>11</v>
      </c>
      <c r="H20" s="1">
        <v>11</v>
      </c>
      <c r="I20" s="1">
        <f t="shared" si="0"/>
        <v>0</v>
      </c>
    </row>
    <row r="21" spans="1:11" x14ac:dyDescent="0.25">
      <c r="C21" s="1">
        <v>2</v>
      </c>
      <c r="D21" s="1">
        <v>2</v>
      </c>
      <c r="E21" s="1">
        <v>1</v>
      </c>
      <c r="F21" s="1">
        <v>3</v>
      </c>
      <c r="G21" s="1">
        <v>11</v>
      </c>
      <c r="H21" s="1">
        <v>29</v>
      </c>
      <c r="I21" s="1">
        <f>H21-G21</f>
        <v>18</v>
      </c>
    </row>
    <row r="22" spans="1:11" x14ac:dyDescent="0.25">
      <c r="C22" s="1">
        <v>2</v>
      </c>
      <c r="D22" s="1">
        <v>2</v>
      </c>
      <c r="E22" s="1">
        <v>1</v>
      </c>
      <c r="F22" s="1">
        <v>4</v>
      </c>
      <c r="G22" s="1">
        <v>29</v>
      </c>
      <c r="H22" s="1">
        <v>72</v>
      </c>
      <c r="I22" s="1">
        <f t="shared" si="0"/>
        <v>43</v>
      </c>
    </row>
    <row r="23" spans="1:11" x14ac:dyDescent="0.25">
      <c r="C23" s="1">
        <v>2</v>
      </c>
      <c r="D23" s="1">
        <v>2</v>
      </c>
      <c r="E23" s="1">
        <v>1</v>
      </c>
      <c r="F23" s="1">
        <v>5</v>
      </c>
      <c r="G23" s="1">
        <v>74</v>
      </c>
      <c r="H23" s="1">
        <v>115</v>
      </c>
      <c r="I23" s="1">
        <f t="shared" si="0"/>
        <v>41</v>
      </c>
    </row>
    <row r="24" spans="1:11" x14ac:dyDescent="0.25">
      <c r="C24" s="1">
        <v>2</v>
      </c>
      <c r="D24" s="1">
        <v>2</v>
      </c>
      <c r="E24" s="1">
        <v>10</v>
      </c>
      <c r="F24" s="1">
        <v>6</v>
      </c>
      <c r="G24" s="1">
        <v>115</v>
      </c>
      <c r="H24" s="1">
        <v>148</v>
      </c>
      <c r="I24" s="1">
        <f t="shared" si="0"/>
        <v>33</v>
      </c>
      <c r="J24" s="6">
        <f>(I24+I25+I26+I36+I35+I34+I30+I31+I29)/9</f>
        <v>23.666666666666668</v>
      </c>
      <c r="K24" s="6">
        <f>AVERAGE(I24:I36)</f>
        <v>22.46153846153846</v>
      </c>
    </row>
    <row r="25" spans="1:11" x14ac:dyDescent="0.25">
      <c r="C25" s="1">
        <v>2</v>
      </c>
      <c r="D25" s="1">
        <v>2</v>
      </c>
      <c r="E25" s="1">
        <v>10</v>
      </c>
      <c r="F25" s="1">
        <v>7</v>
      </c>
      <c r="G25" s="1">
        <v>148</v>
      </c>
      <c r="H25" s="1">
        <v>189</v>
      </c>
      <c r="I25" s="1">
        <f t="shared" si="0"/>
        <v>41</v>
      </c>
    </row>
    <row r="26" spans="1:11" x14ac:dyDescent="0.25">
      <c r="C26" s="1">
        <v>2</v>
      </c>
      <c r="D26" s="1">
        <v>2</v>
      </c>
      <c r="E26" s="1">
        <v>10</v>
      </c>
      <c r="F26" s="1">
        <v>8</v>
      </c>
      <c r="G26" s="1">
        <v>189</v>
      </c>
      <c r="H26" s="1">
        <v>230</v>
      </c>
      <c r="I26" s="1">
        <f t="shared" si="0"/>
        <v>41</v>
      </c>
    </row>
    <row r="27" spans="1:11" x14ac:dyDescent="0.25">
      <c r="C27" s="1">
        <v>2</v>
      </c>
      <c r="D27" s="1">
        <v>2</v>
      </c>
      <c r="E27" s="1">
        <v>10</v>
      </c>
      <c r="F27" s="1">
        <v>9</v>
      </c>
      <c r="G27" s="1">
        <v>230</v>
      </c>
      <c r="H27" s="1">
        <v>258</v>
      </c>
      <c r="I27" s="1">
        <f t="shared" si="0"/>
        <v>28</v>
      </c>
    </row>
    <row r="28" spans="1:11" x14ac:dyDescent="0.25">
      <c r="C28" s="1">
        <v>2</v>
      </c>
      <c r="D28" s="1">
        <v>2</v>
      </c>
      <c r="E28" s="1">
        <v>10</v>
      </c>
      <c r="F28" s="1">
        <v>10</v>
      </c>
      <c r="G28" s="1">
        <v>258</v>
      </c>
      <c r="H28" s="1">
        <v>295</v>
      </c>
      <c r="I28" s="1">
        <f t="shared" si="0"/>
        <v>37</v>
      </c>
    </row>
    <row r="29" spans="1:11" x14ac:dyDescent="0.25">
      <c r="C29" s="1">
        <v>2</v>
      </c>
      <c r="D29" s="1">
        <v>2</v>
      </c>
      <c r="E29" s="1">
        <v>10</v>
      </c>
      <c r="F29" s="1">
        <v>11</v>
      </c>
      <c r="G29" s="1">
        <v>295</v>
      </c>
      <c r="H29" s="1">
        <v>322</v>
      </c>
      <c r="I29" s="1">
        <f t="shared" si="0"/>
        <v>27</v>
      </c>
    </row>
    <row r="30" spans="1:11" x14ac:dyDescent="0.25">
      <c r="C30" s="1">
        <v>2</v>
      </c>
      <c r="D30" s="1">
        <v>2</v>
      </c>
      <c r="E30" s="1">
        <v>10</v>
      </c>
      <c r="F30" s="1">
        <v>12</v>
      </c>
      <c r="G30" s="1">
        <v>322</v>
      </c>
      <c r="H30" s="1">
        <v>363</v>
      </c>
      <c r="I30" s="1">
        <f t="shared" si="0"/>
        <v>41</v>
      </c>
    </row>
    <row r="31" spans="1:11" x14ac:dyDescent="0.25">
      <c r="C31" s="1">
        <v>2</v>
      </c>
      <c r="D31" s="1">
        <v>2</v>
      </c>
      <c r="E31" s="1">
        <v>10</v>
      </c>
      <c r="F31" s="1">
        <v>13</v>
      </c>
      <c r="G31" s="1">
        <v>363</v>
      </c>
      <c r="H31" s="1">
        <v>379</v>
      </c>
      <c r="I31" s="1">
        <f t="shared" si="0"/>
        <v>16</v>
      </c>
    </row>
    <row r="32" spans="1:11" x14ac:dyDescent="0.25">
      <c r="C32" s="1">
        <v>2</v>
      </c>
      <c r="D32" s="1">
        <v>2</v>
      </c>
      <c r="E32" s="1">
        <v>10</v>
      </c>
      <c r="F32" s="1">
        <v>14</v>
      </c>
      <c r="G32" s="1">
        <v>379</v>
      </c>
      <c r="H32" s="1">
        <v>388</v>
      </c>
      <c r="I32" s="1">
        <f t="shared" si="0"/>
        <v>9</v>
      </c>
    </row>
    <row r="33" spans="1:11" x14ac:dyDescent="0.25">
      <c r="C33" s="1">
        <v>2</v>
      </c>
      <c r="D33" s="1">
        <v>2</v>
      </c>
      <c r="E33" s="1">
        <v>10</v>
      </c>
      <c r="F33" s="1">
        <v>15</v>
      </c>
      <c r="G33" s="1">
        <v>388</v>
      </c>
      <c r="H33" s="1">
        <v>393</v>
      </c>
      <c r="I33" s="1">
        <f t="shared" si="0"/>
        <v>5</v>
      </c>
    </row>
    <row r="34" spans="1:11" x14ac:dyDescent="0.25">
      <c r="C34" s="1">
        <v>2</v>
      </c>
      <c r="D34" s="1">
        <v>2</v>
      </c>
      <c r="E34" s="1">
        <v>10</v>
      </c>
      <c r="F34" s="1">
        <v>16</v>
      </c>
      <c r="G34" s="1">
        <v>393</v>
      </c>
      <c r="H34" s="1">
        <v>393</v>
      </c>
      <c r="I34" s="1">
        <f t="shared" si="0"/>
        <v>0</v>
      </c>
    </row>
    <row r="35" spans="1:11" x14ac:dyDescent="0.25">
      <c r="C35" s="1">
        <v>2</v>
      </c>
      <c r="D35" s="1">
        <v>2</v>
      </c>
      <c r="E35" s="1">
        <v>10</v>
      </c>
      <c r="F35" s="1">
        <v>17</v>
      </c>
      <c r="G35" s="1">
        <v>393</v>
      </c>
      <c r="H35" s="1">
        <v>407</v>
      </c>
      <c r="I35" s="1">
        <f t="shared" si="0"/>
        <v>14</v>
      </c>
    </row>
    <row r="36" spans="1:11" x14ac:dyDescent="0.25">
      <c r="C36" s="1">
        <v>2</v>
      </c>
      <c r="D36" s="1">
        <v>2</v>
      </c>
      <c r="E36" s="1">
        <v>10</v>
      </c>
      <c r="F36" s="1">
        <v>18</v>
      </c>
      <c r="G36" s="1">
        <v>407</v>
      </c>
      <c r="H36" s="1">
        <v>407</v>
      </c>
      <c r="I36" s="1">
        <f t="shared" si="0"/>
        <v>0</v>
      </c>
    </row>
    <row r="37" spans="1:11" x14ac:dyDescent="0.25">
      <c r="A37" s="5">
        <v>1</v>
      </c>
      <c r="B37" s="2">
        <v>43783</v>
      </c>
      <c r="C37" s="1">
        <v>3</v>
      </c>
      <c r="D37" s="1">
        <v>1</v>
      </c>
      <c r="E37" s="1">
        <v>1</v>
      </c>
      <c r="F37" s="1">
        <v>1</v>
      </c>
      <c r="G37" s="1">
        <v>5</v>
      </c>
      <c r="H37" s="1">
        <v>36</v>
      </c>
      <c r="I37" s="1">
        <f t="shared" si="0"/>
        <v>31</v>
      </c>
    </row>
    <row r="38" spans="1:11" x14ac:dyDescent="0.25">
      <c r="C38" s="1">
        <v>3</v>
      </c>
      <c r="D38" s="1">
        <v>1</v>
      </c>
      <c r="E38" s="1">
        <v>1</v>
      </c>
      <c r="F38" s="1">
        <v>2</v>
      </c>
      <c r="G38" s="1">
        <v>37</v>
      </c>
      <c r="H38" s="1">
        <v>90</v>
      </c>
      <c r="I38" s="1">
        <f t="shared" si="0"/>
        <v>53</v>
      </c>
    </row>
    <row r="39" spans="1:11" x14ac:dyDescent="0.25">
      <c r="C39" s="1">
        <v>3</v>
      </c>
      <c r="D39" s="1">
        <v>1</v>
      </c>
      <c r="E39" s="1">
        <v>1</v>
      </c>
      <c r="F39" s="1">
        <v>3</v>
      </c>
      <c r="G39" s="1">
        <v>92</v>
      </c>
      <c r="H39" s="1">
        <v>144</v>
      </c>
      <c r="I39" s="1">
        <f t="shared" si="0"/>
        <v>52</v>
      </c>
    </row>
    <row r="40" spans="1:11" x14ac:dyDescent="0.25">
      <c r="C40" s="1">
        <v>3</v>
      </c>
      <c r="D40" s="1">
        <v>1</v>
      </c>
      <c r="E40" s="1">
        <v>1</v>
      </c>
      <c r="F40" s="1">
        <v>4</v>
      </c>
      <c r="G40" s="1">
        <v>146</v>
      </c>
      <c r="H40" s="1">
        <v>200</v>
      </c>
      <c r="I40" s="1">
        <f t="shared" si="0"/>
        <v>54</v>
      </c>
    </row>
    <row r="41" spans="1:11" x14ac:dyDescent="0.25">
      <c r="C41" s="1">
        <v>3</v>
      </c>
      <c r="D41" s="1">
        <v>1</v>
      </c>
      <c r="E41" s="1">
        <v>1</v>
      </c>
      <c r="F41" s="1">
        <v>5</v>
      </c>
      <c r="G41" s="1">
        <v>203</v>
      </c>
      <c r="H41" s="1">
        <v>243</v>
      </c>
      <c r="I41" s="1">
        <f t="shared" si="0"/>
        <v>40</v>
      </c>
    </row>
    <row r="42" spans="1:11" x14ac:dyDescent="0.25">
      <c r="C42" s="1">
        <v>3</v>
      </c>
      <c r="D42" s="1">
        <v>1</v>
      </c>
      <c r="E42" s="1">
        <v>10</v>
      </c>
      <c r="F42" s="1">
        <v>6</v>
      </c>
      <c r="G42" s="1">
        <v>248</v>
      </c>
      <c r="H42" s="1">
        <v>285</v>
      </c>
      <c r="I42" s="1">
        <f t="shared" si="0"/>
        <v>37</v>
      </c>
      <c r="J42" s="6">
        <f>(I42+I43+I44+I54+I53+I52+I48+I49+I47)/9</f>
        <v>43.111111111111114</v>
      </c>
      <c r="K42" s="6">
        <f>AVERAGE(I42:I54)</f>
        <v>44</v>
      </c>
    </row>
    <row r="43" spans="1:11" x14ac:dyDescent="0.25">
      <c r="C43" s="1">
        <v>3</v>
      </c>
      <c r="D43" s="1">
        <v>1</v>
      </c>
      <c r="E43" s="1">
        <v>10</v>
      </c>
      <c r="F43" s="1">
        <v>7</v>
      </c>
      <c r="G43" s="1">
        <v>285</v>
      </c>
      <c r="H43" s="1">
        <v>325</v>
      </c>
      <c r="I43" s="1">
        <f t="shared" si="0"/>
        <v>40</v>
      </c>
    </row>
    <row r="44" spans="1:11" x14ac:dyDescent="0.25">
      <c r="C44" s="1">
        <v>3</v>
      </c>
      <c r="D44" s="1">
        <v>1</v>
      </c>
      <c r="E44" s="1">
        <v>10</v>
      </c>
      <c r="F44" s="1">
        <v>8</v>
      </c>
      <c r="G44" s="1">
        <v>335</v>
      </c>
      <c r="H44" s="1">
        <v>380</v>
      </c>
      <c r="I44" s="1">
        <f t="shared" si="0"/>
        <v>45</v>
      </c>
    </row>
    <row r="45" spans="1:11" x14ac:dyDescent="0.25">
      <c r="C45" s="1">
        <v>3</v>
      </c>
      <c r="D45" s="1">
        <v>1</v>
      </c>
      <c r="E45" s="1">
        <v>10</v>
      </c>
      <c r="F45" s="1">
        <v>9</v>
      </c>
      <c r="G45" s="1">
        <v>381</v>
      </c>
      <c r="H45" s="1">
        <v>430</v>
      </c>
      <c r="I45" s="1">
        <f t="shared" si="0"/>
        <v>49</v>
      </c>
    </row>
    <row r="46" spans="1:11" x14ac:dyDescent="0.25">
      <c r="C46" s="1">
        <v>3</v>
      </c>
      <c r="D46" s="1">
        <v>1</v>
      </c>
      <c r="E46" s="1">
        <v>10</v>
      </c>
      <c r="F46" s="1">
        <v>10</v>
      </c>
      <c r="G46" s="1">
        <v>432</v>
      </c>
      <c r="H46" s="1">
        <v>465</v>
      </c>
      <c r="I46" s="1">
        <f t="shared" si="0"/>
        <v>33</v>
      </c>
    </row>
    <row r="47" spans="1:11" x14ac:dyDescent="0.25">
      <c r="C47" s="1">
        <v>3</v>
      </c>
      <c r="D47" s="1">
        <v>1</v>
      </c>
      <c r="E47" s="1">
        <v>10</v>
      </c>
      <c r="F47" s="1">
        <v>11</v>
      </c>
      <c r="G47" s="1">
        <v>465</v>
      </c>
      <c r="H47" s="1">
        <v>506</v>
      </c>
      <c r="I47" s="1">
        <f t="shared" si="0"/>
        <v>41</v>
      </c>
    </row>
    <row r="48" spans="1:11" x14ac:dyDescent="0.25">
      <c r="C48" s="1">
        <v>3</v>
      </c>
      <c r="D48" s="1">
        <v>1</v>
      </c>
      <c r="E48" s="1">
        <v>10</v>
      </c>
      <c r="F48" s="1">
        <v>12</v>
      </c>
      <c r="G48" s="1">
        <v>513</v>
      </c>
      <c r="H48" s="1">
        <v>550</v>
      </c>
      <c r="I48" s="1">
        <f t="shared" si="0"/>
        <v>37</v>
      </c>
    </row>
    <row r="49" spans="1:11" x14ac:dyDescent="0.25">
      <c r="C49" s="1">
        <v>3</v>
      </c>
      <c r="D49" s="1">
        <v>1</v>
      </c>
      <c r="E49" s="1">
        <v>10</v>
      </c>
      <c r="F49" s="1">
        <v>13</v>
      </c>
      <c r="G49" s="1">
        <v>562</v>
      </c>
      <c r="H49" s="1">
        <v>609</v>
      </c>
      <c r="I49" s="1">
        <f t="shared" si="0"/>
        <v>47</v>
      </c>
    </row>
    <row r="50" spans="1:11" x14ac:dyDescent="0.25">
      <c r="C50" s="1">
        <v>3</v>
      </c>
      <c r="D50" s="1">
        <v>1</v>
      </c>
      <c r="E50" s="1">
        <v>10</v>
      </c>
      <c r="F50" s="1">
        <v>14</v>
      </c>
      <c r="G50" s="1">
        <v>612</v>
      </c>
      <c r="H50" s="1">
        <v>659</v>
      </c>
      <c r="I50" s="1">
        <f t="shared" si="0"/>
        <v>47</v>
      </c>
    </row>
    <row r="51" spans="1:11" x14ac:dyDescent="0.25">
      <c r="C51" s="1">
        <v>3</v>
      </c>
      <c r="D51" s="1">
        <v>1</v>
      </c>
      <c r="E51" s="1">
        <v>10</v>
      </c>
      <c r="F51" s="1">
        <v>15</v>
      </c>
      <c r="G51" s="1">
        <v>659</v>
      </c>
      <c r="H51" s="1">
        <v>714</v>
      </c>
      <c r="I51" s="1">
        <f t="shared" si="0"/>
        <v>55</v>
      </c>
    </row>
    <row r="52" spans="1:11" x14ac:dyDescent="0.25">
      <c r="C52" s="1">
        <v>3</v>
      </c>
      <c r="D52" s="1">
        <v>1</v>
      </c>
      <c r="E52" s="1">
        <v>10</v>
      </c>
      <c r="F52" s="1">
        <v>16</v>
      </c>
      <c r="G52" s="1">
        <v>714</v>
      </c>
      <c r="H52" s="1">
        <v>756</v>
      </c>
      <c r="I52" s="1">
        <f t="shared" si="0"/>
        <v>42</v>
      </c>
    </row>
    <row r="53" spans="1:11" x14ac:dyDescent="0.25">
      <c r="C53" s="1">
        <v>3</v>
      </c>
      <c r="D53" s="1">
        <v>1</v>
      </c>
      <c r="E53" s="1">
        <v>10</v>
      </c>
      <c r="F53" s="1">
        <v>17</v>
      </c>
      <c r="G53" s="1">
        <v>766</v>
      </c>
      <c r="H53" s="1">
        <v>821</v>
      </c>
      <c r="I53" s="1">
        <f t="shared" si="0"/>
        <v>55</v>
      </c>
    </row>
    <row r="54" spans="1:11" x14ac:dyDescent="0.25">
      <c r="C54" s="1">
        <v>3</v>
      </c>
      <c r="D54" s="1">
        <v>1</v>
      </c>
      <c r="E54" s="1">
        <v>10</v>
      </c>
      <c r="F54" s="1">
        <v>18</v>
      </c>
      <c r="G54" s="1">
        <v>830</v>
      </c>
      <c r="H54" s="1">
        <v>874</v>
      </c>
      <c r="I54" s="1">
        <f t="shared" si="0"/>
        <v>44</v>
      </c>
    </row>
    <row r="55" spans="1:11" x14ac:dyDescent="0.25">
      <c r="A55" s="5">
        <v>1</v>
      </c>
      <c r="B55" s="2">
        <v>43783</v>
      </c>
      <c r="C55" s="1">
        <v>4</v>
      </c>
      <c r="D55" s="1">
        <v>2</v>
      </c>
      <c r="E55" s="1">
        <v>1</v>
      </c>
      <c r="F55" s="1">
        <v>1</v>
      </c>
      <c r="G55" s="1">
        <v>5</v>
      </c>
      <c r="H55" s="1">
        <v>5</v>
      </c>
      <c r="I55" s="1">
        <f t="shared" si="0"/>
        <v>0</v>
      </c>
    </row>
    <row r="56" spans="1:11" x14ac:dyDescent="0.25">
      <c r="C56" s="1">
        <v>4</v>
      </c>
      <c r="D56" s="1">
        <v>2</v>
      </c>
      <c r="E56" s="1">
        <v>1</v>
      </c>
      <c r="F56" s="1">
        <v>2</v>
      </c>
      <c r="G56" s="1">
        <v>5</v>
      </c>
      <c r="H56" s="1">
        <v>5</v>
      </c>
      <c r="I56" s="1">
        <f t="shared" si="0"/>
        <v>0</v>
      </c>
    </row>
    <row r="57" spans="1:11" x14ac:dyDescent="0.25">
      <c r="C57" s="1">
        <v>4</v>
      </c>
      <c r="D57" s="1">
        <v>2</v>
      </c>
      <c r="E57" s="1">
        <v>1</v>
      </c>
      <c r="F57" s="1">
        <v>3</v>
      </c>
      <c r="G57" s="1">
        <v>5</v>
      </c>
      <c r="H57" s="1">
        <v>43</v>
      </c>
      <c r="I57" s="1">
        <f t="shared" si="0"/>
        <v>38</v>
      </c>
    </row>
    <row r="58" spans="1:11" x14ac:dyDescent="0.25">
      <c r="C58" s="1">
        <v>4</v>
      </c>
      <c r="D58" s="1">
        <v>2</v>
      </c>
      <c r="E58" s="1">
        <v>1</v>
      </c>
      <c r="F58" s="1">
        <v>4</v>
      </c>
      <c r="G58" s="1">
        <v>43</v>
      </c>
      <c r="H58" s="1">
        <v>60</v>
      </c>
      <c r="I58" s="1">
        <f t="shared" si="0"/>
        <v>17</v>
      </c>
    </row>
    <row r="59" spans="1:11" x14ac:dyDescent="0.25">
      <c r="C59" s="1">
        <v>4</v>
      </c>
      <c r="D59" s="1">
        <v>2</v>
      </c>
      <c r="E59" s="1">
        <v>1</v>
      </c>
      <c r="F59" s="1">
        <v>5</v>
      </c>
      <c r="G59" s="1">
        <v>60</v>
      </c>
      <c r="H59" s="1">
        <v>88</v>
      </c>
      <c r="I59" s="1">
        <f t="shared" si="0"/>
        <v>28</v>
      </c>
    </row>
    <row r="60" spans="1:11" x14ac:dyDescent="0.25">
      <c r="C60" s="1">
        <v>4</v>
      </c>
      <c r="D60" s="1">
        <v>2</v>
      </c>
      <c r="E60" s="1">
        <v>10</v>
      </c>
      <c r="F60" s="1">
        <v>6</v>
      </c>
      <c r="G60" s="1">
        <v>88</v>
      </c>
      <c r="H60" s="1">
        <v>117</v>
      </c>
      <c r="I60" s="1">
        <f t="shared" si="0"/>
        <v>29</v>
      </c>
      <c r="J60" s="6">
        <f>(I60+I61+I62+I73+I72+I71+I66+I67+I65)/9</f>
        <v>13.888888888888889</v>
      </c>
      <c r="K60" s="6">
        <f>AVERAGE(I60:I73)</f>
        <v>15.214285714285714</v>
      </c>
    </row>
    <row r="61" spans="1:11" x14ac:dyDescent="0.25">
      <c r="C61" s="1">
        <v>4</v>
      </c>
      <c r="D61" s="1">
        <v>2</v>
      </c>
      <c r="E61" s="1">
        <v>10</v>
      </c>
      <c r="F61" s="1">
        <v>7</v>
      </c>
      <c r="G61" s="1">
        <v>117</v>
      </c>
      <c r="H61" s="1">
        <v>145</v>
      </c>
      <c r="I61" s="1">
        <f t="shared" si="0"/>
        <v>28</v>
      </c>
    </row>
    <row r="62" spans="1:11" x14ac:dyDescent="0.25">
      <c r="C62" s="1">
        <v>4</v>
      </c>
      <c r="D62" s="1">
        <v>2</v>
      </c>
      <c r="E62" s="1">
        <v>10</v>
      </c>
      <c r="F62" s="1">
        <v>8</v>
      </c>
      <c r="G62" s="1">
        <v>147</v>
      </c>
      <c r="H62" s="1">
        <v>179</v>
      </c>
      <c r="I62" s="1">
        <f t="shared" si="0"/>
        <v>32</v>
      </c>
    </row>
    <row r="63" spans="1:11" x14ac:dyDescent="0.25">
      <c r="C63" s="1">
        <v>4</v>
      </c>
      <c r="D63" s="1">
        <v>2</v>
      </c>
      <c r="E63" s="1">
        <v>10</v>
      </c>
      <c r="F63" s="1">
        <v>9</v>
      </c>
      <c r="G63" s="1">
        <v>179</v>
      </c>
      <c r="H63" s="1">
        <v>220</v>
      </c>
      <c r="I63" s="1">
        <f t="shared" si="0"/>
        <v>41</v>
      </c>
    </row>
    <row r="64" spans="1:11" x14ac:dyDescent="0.25">
      <c r="C64" s="1">
        <v>4</v>
      </c>
      <c r="D64" s="1">
        <v>2</v>
      </c>
      <c r="E64" s="1">
        <v>10</v>
      </c>
      <c r="F64" s="1">
        <v>10</v>
      </c>
      <c r="G64" s="1">
        <v>220</v>
      </c>
      <c r="H64" s="1">
        <v>255</v>
      </c>
      <c r="I64" s="1">
        <f t="shared" si="0"/>
        <v>35</v>
      </c>
    </row>
    <row r="65" spans="1:11" x14ac:dyDescent="0.25">
      <c r="C65" s="1">
        <v>4</v>
      </c>
      <c r="D65" s="1">
        <v>2</v>
      </c>
      <c r="E65" s="1">
        <v>10</v>
      </c>
      <c r="F65" s="1">
        <v>11</v>
      </c>
      <c r="G65" s="1">
        <v>255</v>
      </c>
      <c r="H65" s="1">
        <v>284</v>
      </c>
      <c r="I65" s="1">
        <f t="shared" si="0"/>
        <v>29</v>
      </c>
    </row>
    <row r="66" spans="1:11" x14ac:dyDescent="0.25">
      <c r="C66" s="1">
        <v>4</v>
      </c>
      <c r="D66" s="1">
        <v>2</v>
      </c>
      <c r="E66" s="1">
        <v>10</v>
      </c>
      <c r="F66" s="1">
        <v>12</v>
      </c>
      <c r="G66" s="1">
        <v>284</v>
      </c>
      <c r="H66" s="1">
        <v>284</v>
      </c>
      <c r="I66" s="1">
        <f t="shared" si="0"/>
        <v>0</v>
      </c>
    </row>
    <row r="67" spans="1:11" x14ac:dyDescent="0.25">
      <c r="C67" s="1">
        <v>4</v>
      </c>
      <c r="D67" s="1">
        <v>2</v>
      </c>
      <c r="E67" s="1">
        <v>10</v>
      </c>
      <c r="F67" s="1">
        <v>13</v>
      </c>
      <c r="G67" s="1">
        <v>288</v>
      </c>
      <c r="H67" s="1">
        <v>288</v>
      </c>
      <c r="I67" s="1">
        <f t="shared" si="0"/>
        <v>0</v>
      </c>
    </row>
    <row r="68" spans="1:11" x14ac:dyDescent="0.25">
      <c r="C68" s="1">
        <v>4</v>
      </c>
      <c r="D68" s="1">
        <v>2</v>
      </c>
      <c r="E68" s="1">
        <v>10</v>
      </c>
      <c r="F68" s="1">
        <v>14</v>
      </c>
      <c r="G68" s="1">
        <v>288</v>
      </c>
      <c r="H68" s="1">
        <v>292</v>
      </c>
      <c r="I68" s="1">
        <f t="shared" si="0"/>
        <v>4</v>
      </c>
    </row>
    <row r="69" spans="1:11" x14ac:dyDescent="0.25">
      <c r="C69" s="1">
        <v>4</v>
      </c>
      <c r="D69" s="1">
        <v>2</v>
      </c>
      <c r="E69" s="1">
        <v>10</v>
      </c>
      <c r="F69" s="1">
        <v>15</v>
      </c>
      <c r="G69" s="1">
        <v>292</v>
      </c>
      <c r="H69" s="1">
        <v>300</v>
      </c>
      <c r="I69" s="1">
        <f t="shared" si="0"/>
        <v>8</v>
      </c>
    </row>
    <row r="70" spans="1:11" x14ac:dyDescent="0.25">
      <c r="C70" s="1">
        <v>4</v>
      </c>
      <c r="D70" s="1">
        <v>2</v>
      </c>
      <c r="E70" s="1">
        <v>10</v>
      </c>
      <c r="F70" s="1">
        <v>16</v>
      </c>
      <c r="G70" s="1">
        <v>302</v>
      </c>
      <c r="H70" s="1">
        <v>302</v>
      </c>
      <c r="I70" s="1">
        <f t="shared" si="0"/>
        <v>0</v>
      </c>
    </row>
    <row r="71" spans="1:11" x14ac:dyDescent="0.25">
      <c r="C71" s="1">
        <v>4</v>
      </c>
      <c r="D71" s="1">
        <v>2</v>
      </c>
      <c r="E71" s="1">
        <v>10</v>
      </c>
      <c r="F71" s="1">
        <v>17</v>
      </c>
      <c r="G71" s="1">
        <v>302</v>
      </c>
      <c r="H71" s="1">
        <v>302</v>
      </c>
      <c r="I71" s="1">
        <f>H71-G71</f>
        <v>0</v>
      </c>
    </row>
    <row r="72" spans="1:11" x14ac:dyDescent="0.25">
      <c r="C72" s="1">
        <v>4</v>
      </c>
      <c r="D72" s="1">
        <v>2</v>
      </c>
      <c r="E72" s="1">
        <v>10</v>
      </c>
      <c r="F72" s="1">
        <v>18</v>
      </c>
      <c r="G72" s="1">
        <v>302</v>
      </c>
      <c r="H72" s="1">
        <v>309</v>
      </c>
      <c r="I72" s="1">
        <f t="shared" si="0"/>
        <v>7</v>
      </c>
    </row>
    <row r="73" spans="1:11" x14ac:dyDescent="0.25">
      <c r="C73" s="1">
        <v>4</v>
      </c>
      <c r="D73" s="1">
        <v>2</v>
      </c>
      <c r="E73" s="1">
        <v>10</v>
      </c>
      <c r="F73" s="1">
        <v>19</v>
      </c>
      <c r="G73" s="1">
        <v>309</v>
      </c>
      <c r="H73" s="1">
        <v>309</v>
      </c>
      <c r="I73" s="1">
        <f t="shared" si="0"/>
        <v>0</v>
      </c>
    </row>
    <row r="74" spans="1:11" x14ac:dyDescent="0.25">
      <c r="A74" s="5">
        <v>1</v>
      </c>
      <c r="B74" s="2">
        <v>43783</v>
      </c>
      <c r="C74" s="1">
        <v>6</v>
      </c>
      <c r="D74" s="1">
        <v>1</v>
      </c>
      <c r="E74" s="1">
        <v>1</v>
      </c>
      <c r="F74" s="1">
        <v>1</v>
      </c>
      <c r="G74" s="1">
        <v>0</v>
      </c>
      <c r="H74" s="1">
        <v>48</v>
      </c>
      <c r="I74" s="1">
        <f t="shared" si="0"/>
        <v>48</v>
      </c>
    </row>
    <row r="75" spans="1:11" x14ac:dyDescent="0.25">
      <c r="C75" s="1">
        <v>6</v>
      </c>
      <c r="D75" s="1">
        <v>1</v>
      </c>
      <c r="E75" s="1">
        <v>1</v>
      </c>
      <c r="F75" s="1">
        <v>2</v>
      </c>
      <c r="G75" s="1">
        <v>48</v>
      </c>
      <c r="H75" s="1">
        <v>96</v>
      </c>
      <c r="I75" s="1">
        <f t="shared" si="0"/>
        <v>48</v>
      </c>
    </row>
    <row r="76" spans="1:11" x14ac:dyDescent="0.25">
      <c r="C76" s="1">
        <v>6</v>
      </c>
      <c r="D76" s="1">
        <v>1</v>
      </c>
      <c r="E76" s="1">
        <v>1</v>
      </c>
      <c r="F76" s="1">
        <v>3</v>
      </c>
      <c r="G76" s="1">
        <v>97</v>
      </c>
      <c r="H76" s="1">
        <v>140</v>
      </c>
      <c r="I76" s="1">
        <f t="shared" si="0"/>
        <v>43</v>
      </c>
    </row>
    <row r="77" spans="1:11" x14ac:dyDescent="0.25">
      <c r="C77" s="1">
        <v>6</v>
      </c>
      <c r="D77" s="1">
        <v>1</v>
      </c>
      <c r="E77" s="1">
        <v>1</v>
      </c>
      <c r="F77" s="1">
        <v>4</v>
      </c>
      <c r="G77" s="1">
        <v>140</v>
      </c>
      <c r="H77" s="1">
        <v>195</v>
      </c>
      <c r="I77" s="1">
        <f t="shared" si="0"/>
        <v>55</v>
      </c>
    </row>
    <row r="78" spans="1:11" x14ac:dyDescent="0.25">
      <c r="C78" s="1">
        <v>6</v>
      </c>
      <c r="D78" s="1">
        <v>1</v>
      </c>
      <c r="E78" s="1">
        <v>1</v>
      </c>
      <c r="F78" s="1">
        <v>5</v>
      </c>
      <c r="G78" s="1">
        <v>195</v>
      </c>
      <c r="H78" s="1">
        <v>239</v>
      </c>
      <c r="I78" s="1">
        <f t="shared" si="0"/>
        <v>44</v>
      </c>
    </row>
    <row r="79" spans="1:11" x14ac:dyDescent="0.25">
      <c r="C79" s="1">
        <v>6</v>
      </c>
      <c r="D79" s="1">
        <v>1</v>
      </c>
      <c r="E79" s="1">
        <v>10</v>
      </c>
      <c r="F79" s="1">
        <v>6</v>
      </c>
      <c r="G79" s="1">
        <v>239</v>
      </c>
      <c r="H79" s="1">
        <v>280</v>
      </c>
      <c r="I79" s="1">
        <f t="shared" si="0"/>
        <v>41</v>
      </c>
      <c r="J79" s="6">
        <f>(I79+I80+I81+I91+I90+I89+I85+I86+I84)/9</f>
        <v>43.333333333333336</v>
      </c>
      <c r="K79" s="6">
        <f>AVERAGE(I79:I91)</f>
        <v>43.07692307692308</v>
      </c>
    </row>
    <row r="80" spans="1:11" x14ac:dyDescent="0.25">
      <c r="C80" s="1">
        <v>6</v>
      </c>
      <c r="D80" s="1">
        <v>1</v>
      </c>
      <c r="E80" s="1">
        <v>10</v>
      </c>
      <c r="F80" s="1">
        <v>7</v>
      </c>
      <c r="G80" s="1">
        <v>280</v>
      </c>
      <c r="H80" s="1">
        <v>325</v>
      </c>
      <c r="I80" s="1">
        <f t="shared" si="0"/>
        <v>45</v>
      </c>
    </row>
    <row r="81" spans="1:9" x14ac:dyDescent="0.25">
      <c r="C81" s="1">
        <v>6</v>
      </c>
      <c r="D81" s="1">
        <v>1</v>
      </c>
      <c r="E81" s="1">
        <v>10</v>
      </c>
      <c r="F81" s="1">
        <v>8</v>
      </c>
      <c r="G81" s="1">
        <v>325</v>
      </c>
      <c r="H81" s="1">
        <v>370</v>
      </c>
      <c r="I81" s="1">
        <f t="shared" si="0"/>
        <v>45</v>
      </c>
    </row>
    <row r="82" spans="1:9" x14ac:dyDescent="0.25">
      <c r="C82" s="1">
        <v>6</v>
      </c>
      <c r="D82" s="1">
        <v>1</v>
      </c>
      <c r="E82" s="1">
        <v>10</v>
      </c>
      <c r="F82" s="1">
        <v>9</v>
      </c>
      <c r="G82" s="1">
        <v>370</v>
      </c>
      <c r="H82" s="1">
        <v>416</v>
      </c>
      <c r="I82" s="1">
        <f t="shared" si="0"/>
        <v>46</v>
      </c>
    </row>
    <row r="83" spans="1:9" x14ac:dyDescent="0.25">
      <c r="C83" s="1">
        <v>6</v>
      </c>
      <c r="D83" s="1">
        <v>1</v>
      </c>
      <c r="E83" s="1">
        <v>10</v>
      </c>
      <c r="F83" s="1">
        <v>10</v>
      </c>
      <c r="G83" s="1">
        <v>416</v>
      </c>
      <c r="H83" s="1">
        <v>464</v>
      </c>
      <c r="I83" s="1">
        <f t="shared" si="0"/>
        <v>48</v>
      </c>
    </row>
    <row r="84" spans="1:9" x14ac:dyDescent="0.25">
      <c r="C84" s="1">
        <v>6</v>
      </c>
      <c r="D84" s="1">
        <v>1</v>
      </c>
      <c r="E84" s="1">
        <v>10</v>
      </c>
      <c r="F84" s="1">
        <v>11</v>
      </c>
      <c r="G84" s="1">
        <v>464</v>
      </c>
      <c r="H84" s="1">
        <v>511</v>
      </c>
      <c r="I84" s="1">
        <f t="shared" si="0"/>
        <v>47</v>
      </c>
    </row>
    <row r="85" spans="1:9" x14ac:dyDescent="0.25">
      <c r="C85" s="1">
        <v>6</v>
      </c>
      <c r="D85" s="1">
        <v>1</v>
      </c>
      <c r="E85" s="1">
        <v>10</v>
      </c>
      <c r="F85" s="1">
        <v>12</v>
      </c>
      <c r="G85" s="1">
        <v>516</v>
      </c>
      <c r="H85" s="1">
        <v>562</v>
      </c>
      <c r="I85" s="1">
        <f t="shared" si="0"/>
        <v>46</v>
      </c>
    </row>
    <row r="86" spans="1:9" x14ac:dyDescent="0.25">
      <c r="C86" s="1">
        <v>6</v>
      </c>
      <c r="D86" s="1">
        <v>1</v>
      </c>
      <c r="E86" s="1">
        <v>10</v>
      </c>
      <c r="F86" s="1">
        <v>13</v>
      </c>
      <c r="G86" s="1">
        <v>564</v>
      </c>
      <c r="H86" s="1">
        <v>600</v>
      </c>
      <c r="I86" s="1">
        <f t="shared" si="0"/>
        <v>36</v>
      </c>
    </row>
    <row r="87" spans="1:9" x14ac:dyDescent="0.25">
      <c r="C87" s="1">
        <v>6</v>
      </c>
      <c r="D87" s="1">
        <v>1</v>
      </c>
      <c r="E87" s="1">
        <v>10</v>
      </c>
      <c r="F87" s="1">
        <v>14</v>
      </c>
      <c r="G87" s="1">
        <v>600</v>
      </c>
      <c r="H87" s="1">
        <v>648</v>
      </c>
      <c r="I87" s="1">
        <f t="shared" si="0"/>
        <v>48</v>
      </c>
    </row>
    <row r="88" spans="1:9" x14ac:dyDescent="0.25">
      <c r="C88" s="1">
        <v>6</v>
      </c>
      <c r="D88" s="1">
        <v>1</v>
      </c>
      <c r="E88" s="1">
        <v>10</v>
      </c>
      <c r="F88" s="1">
        <v>15</v>
      </c>
      <c r="G88" s="1">
        <v>648</v>
      </c>
      <c r="H88" s="1">
        <v>676</v>
      </c>
      <c r="I88" s="1">
        <f t="shared" si="0"/>
        <v>28</v>
      </c>
    </row>
    <row r="89" spans="1:9" x14ac:dyDescent="0.25">
      <c r="C89" s="1">
        <v>6</v>
      </c>
      <c r="D89" s="1">
        <v>1</v>
      </c>
      <c r="E89" s="1">
        <v>10</v>
      </c>
      <c r="F89" s="1">
        <v>16</v>
      </c>
      <c r="G89" s="1">
        <v>676</v>
      </c>
      <c r="H89" s="1">
        <v>701</v>
      </c>
      <c r="I89" s="1">
        <f t="shared" si="0"/>
        <v>25</v>
      </c>
    </row>
    <row r="90" spans="1:9" x14ac:dyDescent="0.25">
      <c r="C90" s="1">
        <v>6</v>
      </c>
      <c r="D90" s="1">
        <v>1</v>
      </c>
      <c r="E90" s="1">
        <v>10</v>
      </c>
      <c r="F90" s="1">
        <v>17</v>
      </c>
      <c r="G90" s="1">
        <v>701</v>
      </c>
      <c r="H90" s="1">
        <v>753</v>
      </c>
      <c r="I90" s="1">
        <f t="shared" si="0"/>
        <v>52</v>
      </c>
    </row>
    <row r="91" spans="1:9" x14ac:dyDescent="0.25">
      <c r="C91" s="1">
        <v>6</v>
      </c>
      <c r="D91" s="1">
        <v>1</v>
      </c>
      <c r="E91" s="1">
        <v>10</v>
      </c>
      <c r="F91" s="1">
        <v>18</v>
      </c>
      <c r="G91" s="1">
        <v>753</v>
      </c>
      <c r="H91" s="1">
        <v>806</v>
      </c>
      <c r="I91" s="1">
        <f t="shared" si="0"/>
        <v>53</v>
      </c>
    </row>
    <row r="92" spans="1:9" x14ac:dyDescent="0.25">
      <c r="A92" s="5">
        <v>1</v>
      </c>
      <c r="B92" s="2">
        <v>43783</v>
      </c>
      <c r="C92" s="1">
        <v>7</v>
      </c>
      <c r="D92" s="1">
        <v>1</v>
      </c>
      <c r="E92" s="1">
        <v>1</v>
      </c>
      <c r="F92" s="1">
        <v>1</v>
      </c>
      <c r="G92" s="1">
        <v>0</v>
      </c>
      <c r="H92" s="1">
        <v>26</v>
      </c>
      <c r="I92" s="1">
        <f t="shared" si="0"/>
        <v>26</v>
      </c>
    </row>
    <row r="93" spans="1:9" x14ac:dyDescent="0.25">
      <c r="C93" s="1">
        <v>7</v>
      </c>
      <c r="D93" s="1">
        <v>1</v>
      </c>
      <c r="E93" s="1">
        <v>1</v>
      </c>
      <c r="F93" s="1">
        <v>2</v>
      </c>
      <c r="G93" s="1">
        <v>26</v>
      </c>
      <c r="H93" s="1">
        <v>67</v>
      </c>
      <c r="I93" s="1">
        <f t="shared" si="0"/>
        <v>41</v>
      </c>
    </row>
    <row r="94" spans="1:9" x14ac:dyDescent="0.25">
      <c r="C94" s="1">
        <v>7</v>
      </c>
      <c r="D94" s="1">
        <v>1</v>
      </c>
      <c r="E94" s="1">
        <v>1</v>
      </c>
      <c r="F94" s="1">
        <v>3</v>
      </c>
      <c r="G94" s="1">
        <v>67</v>
      </c>
      <c r="H94" s="1">
        <v>122</v>
      </c>
      <c r="I94" s="1">
        <f t="shared" si="0"/>
        <v>55</v>
      </c>
    </row>
    <row r="95" spans="1:9" x14ac:dyDescent="0.25">
      <c r="C95" s="1">
        <v>7</v>
      </c>
      <c r="D95" s="1">
        <v>1</v>
      </c>
      <c r="E95" s="1">
        <v>1</v>
      </c>
      <c r="F95" s="1">
        <v>4</v>
      </c>
      <c r="G95" s="1">
        <v>122</v>
      </c>
      <c r="H95" s="1">
        <v>174</v>
      </c>
      <c r="I95" s="1">
        <f t="shared" si="0"/>
        <v>52</v>
      </c>
    </row>
    <row r="96" spans="1:9" x14ac:dyDescent="0.25">
      <c r="C96" s="1">
        <v>7</v>
      </c>
      <c r="D96" s="1">
        <v>1</v>
      </c>
      <c r="E96" s="1">
        <v>1</v>
      </c>
      <c r="F96" s="1">
        <v>5</v>
      </c>
      <c r="G96" s="1">
        <v>174</v>
      </c>
      <c r="H96" s="1">
        <v>212</v>
      </c>
      <c r="I96" s="1">
        <f t="shared" si="0"/>
        <v>38</v>
      </c>
    </row>
    <row r="97" spans="1:11" x14ac:dyDescent="0.25">
      <c r="C97" s="1">
        <v>7</v>
      </c>
      <c r="D97" s="1">
        <v>1</v>
      </c>
      <c r="E97" s="1">
        <v>10</v>
      </c>
      <c r="F97" s="1">
        <v>6</v>
      </c>
      <c r="G97" s="1">
        <v>217</v>
      </c>
      <c r="H97" s="1">
        <v>248</v>
      </c>
      <c r="I97" s="1">
        <f t="shared" si="0"/>
        <v>31</v>
      </c>
      <c r="J97" s="6">
        <f>(I97+I98+I99+I109+I108+I107+I104+I103+I102)/9</f>
        <v>42.444444444444443</v>
      </c>
      <c r="K97" s="6">
        <f>AVERAGE(I97:I109)</f>
        <v>41.153846153846153</v>
      </c>
    </row>
    <row r="98" spans="1:11" x14ac:dyDescent="0.25">
      <c r="C98" s="1">
        <v>7</v>
      </c>
      <c r="D98" s="1">
        <v>1</v>
      </c>
      <c r="E98" s="1">
        <v>10</v>
      </c>
      <c r="F98" s="1">
        <v>7</v>
      </c>
      <c r="G98" s="1">
        <v>248</v>
      </c>
      <c r="H98" s="1">
        <v>289</v>
      </c>
      <c r="I98" s="1">
        <f t="shared" si="0"/>
        <v>41</v>
      </c>
    </row>
    <row r="99" spans="1:11" x14ac:dyDescent="0.25">
      <c r="C99" s="1">
        <v>7</v>
      </c>
      <c r="D99" s="1">
        <v>1</v>
      </c>
      <c r="E99" s="1">
        <v>10</v>
      </c>
      <c r="F99" s="1">
        <v>8</v>
      </c>
      <c r="G99" s="1">
        <v>290</v>
      </c>
      <c r="H99" s="1">
        <v>338</v>
      </c>
      <c r="I99" s="1">
        <f t="shared" si="0"/>
        <v>48</v>
      </c>
    </row>
    <row r="100" spans="1:11" x14ac:dyDescent="0.25">
      <c r="C100" s="1">
        <v>7</v>
      </c>
      <c r="D100" s="1">
        <v>1</v>
      </c>
      <c r="E100" s="1">
        <v>10</v>
      </c>
      <c r="F100" s="1">
        <v>9</v>
      </c>
      <c r="G100" s="1">
        <v>339</v>
      </c>
      <c r="H100" s="1">
        <v>376</v>
      </c>
      <c r="I100" s="1">
        <f t="shared" si="0"/>
        <v>37</v>
      </c>
    </row>
    <row r="101" spans="1:11" x14ac:dyDescent="0.25">
      <c r="C101" s="1">
        <v>7</v>
      </c>
      <c r="D101" s="1">
        <v>1</v>
      </c>
      <c r="E101" s="1">
        <v>10</v>
      </c>
      <c r="F101" s="1">
        <v>10</v>
      </c>
      <c r="G101" s="1">
        <v>380</v>
      </c>
      <c r="H101" s="1">
        <v>426</v>
      </c>
      <c r="I101" s="1">
        <f t="shared" si="0"/>
        <v>46</v>
      </c>
    </row>
    <row r="102" spans="1:11" x14ac:dyDescent="0.25">
      <c r="C102" s="1">
        <v>7</v>
      </c>
      <c r="D102" s="1">
        <v>1</v>
      </c>
      <c r="E102" s="1">
        <v>10</v>
      </c>
      <c r="F102" s="1">
        <v>11</v>
      </c>
      <c r="G102" s="1">
        <v>427</v>
      </c>
      <c r="H102" s="1">
        <v>465</v>
      </c>
      <c r="I102" s="1">
        <f t="shared" si="0"/>
        <v>38</v>
      </c>
    </row>
    <row r="103" spans="1:11" x14ac:dyDescent="0.25">
      <c r="C103" s="1">
        <v>7</v>
      </c>
      <c r="D103" s="1">
        <v>1</v>
      </c>
      <c r="E103" s="1">
        <v>10</v>
      </c>
      <c r="F103" s="1">
        <v>12</v>
      </c>
      <c r="G103" s="1">
        <v>465</v>
      </c>
      <c r="H103" s="1">
        <v>501</v>
      </c>
      <c r="I103" s="1">
        <f t="shared" si="0"/>
        <v>36</v>
      </c>
    </row>
    <row r="104" spans="1:11" x14ac:dyDescent="0.25">
      <c r="C104" s="1">
        <v>7</v>
      </c>
      <c r="D104" s="1">
        <v>1</v>
      </c>
      <c r="E104" s="1">
        <v>10</v>
      </c>
      <c r="F104" s="1">
        <v>13</v>
      </c>
      <c r="G104" s="1">
        <v>501</v>
      </c>
      <c r="H104" s="1">
        <v>551</v>
      </c>
      <c r="I104" s="1">
        <f t="shared" si="0"/>
        <v>50</v>
      </c>
    </row>
    <row r="105" spans="1:11" x14ac:dyDescent="0.25">
      <c r="C105" s="1">
        <v>7</v>
      </c>
      <c r="D105" s="1">
        <v>1</v>
      </c>
      <c r="E105" s="1">
        <v>10</v>
      </c>
      <c r="F105" s="1">
        <v>14</v>
      </c>
      <c r="G105" s="1">
        <v>551</v>
      </c>
      <c r="H105" s="1">
        <v>582</v>
      </c>
      <c r="I105" s="1">
        <f t="shared" si="0"/>
        <v>31</v>
      </c>
    </row>
    <row r="106" spans="1:11" x14ac:dyDescent="0.25">
      <c r="C106" s="1">
        <v>7</v>
      </c>
      <c r="D106" s="1">
        <v>1</v>
      </c>
      <c r="E106" s="1">
        <v>10</v>
      </c>
      <c r="F106" s="1">
        <v>15</v>
      </c>
      <c r="G106" s="1">
        <v>582</v>
      </c>
      <c r="H106" s="1">
        <v>621</v>
      </c>
      <c r="I106" s="1">
        <f t="shared" si="0"/>
        <v>39</v>
      </c>
    </row>
    <row r="107" spans="1:11" x14ac:dyDescent="0.25">
      <c r="C107" s="1">
        <v>7</v>
      </c>
      <c r="D107" s="1">
        <v>1</v>
      </c>
      <c r="E107" s="1">
        <v>10</v>
      </c>
      <c r="F107" s="1">
        <v>16</v>
      </c>
      <c r="G107" s="1">
        <v>621</v>
      </c>
      <c r="H107" s="1">
        <v>657</v>
      </c>
      <c r="I107" s="1">
        <f t="shared" si="0"/>
        <v>36</v>
      </c>
    </row>
    <row r="108" spans="1:11" x14ac:dyDescent="0.25">
      <c r="C108" s="1">
        <v>7</v>
      </c>
      <c r="D108" s="1">
        <v>1</v>
      </c>
      <c r="E108" s="1">
        <v>10</v>
      </c>
      <c r="F108" s="1">
        <v>17</v>
      </c>
      <c r="G108" s="1">
        <v>657</v>
      </c>
      <c r="H108" s="1">
        <v>702</v>
      </c>
      <c r="I108" s="1">
        <f t="shared" si="0"/>
        <v>45</v>
      </c>
    </row>
    <row r="109" spans="1:11" x14ac:dyDescent="0.25">
      <c r="C109" s="1">
        <v>7</v>
      </c>
      <c r="D109" s="1">
        <v>1</v>
      </c>
      <c r="E109" s="1">
        <v>10</v>
      </c>
      <c r="F109" s="1">
        <v>18</v>
      </c>
      <c r="G109" s="1">
        <v>702</v>
      </c>
      <c r="H109" s="1">
        <v>759</v>
      </c>
      <c r="I109" s="1">
        <f t="shared" si="0"/>
        <v>57</v>
      </c>
    </row>
    <row r="110" spans="1:11" x14ac:dyDescent="0.25">
      <c r="A110" s="5">
        <v>2</v>
      </c>
      <c r="B110" s="2">
        <v>43788</v>
      </c>
      <c r="C110" s="1">
        <v>1</v>
      </c>
      <c r="D110" s="1">
        <v>1</v>
      </c>
      <c r="E110" s="1">
        <v>1</v>
      </c>
      <c r="F110" s="1">
        <v>1</v>
      </c>
      <c r="G110" s="1">
        <v>5</v>
      </c>
      <c r="H110" s="1">
        <v>12</v>
      </c>
      <c r="I110" s="1">
        <f t="shared" si="0"/>
        <v>7</v>
      </c>
      <c r="J110" s="6">
        <f>(I115+I116+I117+I127+I126+I125+I121+I122+I120)/9</f>
        <v>35.555555555555557</v>
      </c>
      <c r="K110" s="6">
        <f>AVERAGE(I115:I127)</f>
        <v>35.53846153846154</v>
      </c>
    </row>
    <row r="111" spans="1:11" x14ac:dyDescent="0.25">
      <c r="C111" s="1">
        <v>1</v>
      </c>
      <c r="D111" s="1">
        <v>1</v>
      </c>
      <c r="E111" s="1">
        <v>1</v>
      </c>
      <c r="F111" s="1">
        <v>2</v>
      </c>
      <c r="G111" s="1">
        <v>12</v>
      </c>
      <c r="H111" s="1">
        <v>12</v>
      </c>
      <c r="I111" s="1">
        <f t="shared" si="0"/>
        <v>0</v>
      </c>
    </row>
    <row r="112" spans="1:11" x14ac:dyDescent="0.25">
      <c r="C112" s="1">
        <v>1</v>
      </c>
      <c r="D112" s="1">
        <v>1</v>
      </c>
      <c r="E112" s="1">
        <v>1</v>
      </c>
      <c r="F112" s="1">
        <v>3</v>
      </c>
      <c r="G112" s="1">
        <v>12</v>
      </c>
      <c r="H112" s="1">
        <v>53</v>
      </c>
      <c r="I112" s="1">
        <f t="shared" si="0"/>
        <v>41</v>
      </c>
    </row>
    <row r="113" spans="1:11" x14ac:dyDescent="0.25">
      <c r="C113" s="1">
        <v>1</v>
      </c>
      <c r="D113" s="1">
        <v>1</v>
      </c>
      <c r="E113" s="1">
        <v>1</v>
      </c>
      <c r="F113" s="1">
        <v>4</v>
      </c>
      <c r="G113" s="1">
        <v>53</v>
      </c>
      <c r="H113" s="1">
        <v>53</v>
      </c>
      <c r="I113" s="1">
        <f t="shared" si="0"/>
        <v>0</v>
      </c>
    </row>
    <row r="114" spans="1:11" x14ac:dyDescent="0.25">
      <c r="C114" s="1">
        <v>1</v>
      </c>
      <c r="D114" s="1">
        <v>1</v>
      </c>
      <c r="E114" s="1">
        <v>1</v>
      </c>
      <c r="F114" s="1">
        <v>5</v>
      </c>
      <c r="G114" s="1">
        <v>53</v>
      </c>
      <c r="H114" s="1">
        <v>66</v>
      </c>
      <c r="I114" s="1">
        <f t="shared" si="0"/>
        <v>13</v>
      </c>
    </row>
    <row r="115" spans="1:11" x14ac:dyDescent="0.25">
      <c r="C115" s="1">
        <v>1</v>
      </c>
      <c r="D115" s="1">
        <v>1</v>
      </c>
      <c r="E115" s="1">
        <v>10</v>
      </c>
      <c r="F115" s="1">
        <v>6</v>
      </c>
      <c r="G115" s="1">
        <v>71</v>
      </c>
      <c r="H115" s="1">
        <v>122</v>
      </c>
      <c r="I115" s="11">
        <f t="shared" si="0"/>
        <v>51</v>
      </c>
    </row>
    <row r="116" spans="1:11" x14ac:dyDescent="0.25">
      <c r="C116" s="1">
        <v>1</v>
      </c>
      <c r="D116" s="1">
        <v>1</v>
      </c>
      <c r="E116" s="1">
        <v>10</v>
      </c>
      <c r="F116" s="1">
        <v>7</v>
      </c>
      <c r="G116" s="1">
        <v>171</v>
      </c>
      <c r="H116" s="1">
        <v>202</v>
      </c>
      <c r="I116" s="1">
        <f t="shared" si="0"/>
        <v>31</v>
      </c>
    </row>
    <row r="117" spans="1:11" x14ac:dyDescent="0.25">
      <c r="C117" s="1">
        <v>1</v>
      </c>
      <c r="D117" s="1">
        <v>1</v>
      </c>
      <c r="E117" s="1">
        <v>10</v>
      </c>
      <c r="F117" s="1">
        <v>8</v>
      </c>
      <c r="G117" s="1">
        <v>202</v>
      </c>
      <c r="H117" s="1">
        <v>244</v>
      </c>
      <c r="I117" s="1">
        <f t="shared" si="0"/>
        <v>42</v>
      </c>
    </row>
    <row r="118" spans="1:11" x14ac:dyDescent="0.25">
      <c r="C118" s="1">
        <v>1</v>
      </c>
      <c r="D118" s="1">
        <v>1</v>
      </c>
      <c r="E118" s="1">
        <v>10</v>
      </c>
      <c r="F118" s="1">
        <v>9</v>
      </c>
      <c r="G118" s="1">
        <v>244</v>
      </c>
      <c r="H118" s="1">
        <v>272</v>
      </c>
      <c r="I118" s="1">
        <f t="shared" si="0"/>
        <v>28</v>
      </c>
    </row>
    <row r="119" spans="1:11" x14ac:dyDescent="0.25">
      <c r="C119" s="1">
        <v>1</v>
      </c>
      <c r="D119" s="1">
        <v>1</v>
      </c>
      <c r="E119" s="1">
        <v>10</v>
      </c>
      <c r="F119" s="1">
        <v>10</v>
      </c>
      <c r="G119" s="1">
        <v>272</v>
      </c>
      <c r="H119" s="1">
        <v>295</v>
      </c>
      <c r="I119" s="1">
        <f t="shared" si="0"/>
        <v>23</v>
      </c>
    </row>
    <row r="120" spans="1:11" x14ac:dyDescent="0.25">
      <c r="C120" s="1">
        <v>1</v>
      </c>
      <c r="D120" s="1">
        <v>1</v>
      </c>
      <c r="E120" s="1">
        <v>10</v>
      </c>
      <c r="F120" s="1">
        <v>11</v>
      </c>
      <c r="G120" s="1">
        <v>295</v>
      </c>
      <c r="H120" s="1">
        <v>337</v>
      </c>
      <c r="I120" s="1">
        <f t="shared" si="0"/>
        <v>42</v>
      </c>
    </row>
    <row r="121" spans="1:11" x14ac:dyDescent="0.25">
      <c r="C121" s="1">
        <v>1</v>
      </c>
      <c r="D121" s="1">
        <v>1</v>
      </c>
      <c r="E121" s="1">
        <v>10</v>
      </c>
      <c r="F121" s="1">
        <v>12</v>
      </c>
      <c r="G121" s="1">
        <v>349</v>
      </c>
      <c r="H121" s="1">
        <v>382</v>
      </c>
      <c r="I121" s="1">
        <f t="shared" si="0"/>
        <v>33</v>
      </c>
    </row>
    <row r="122" spans="1:11" x14ac:dyDescent="0.25">
      <c r="C122" s="1">
        <v>1</v>
      </c>
      <c r="D122" s="1">
        <v>1</v>
      </c>
      <c r="E122" s="1">
        <v>10</v>
      </c>
      <c r="F122" s="1">
        <v>13</v>
      </c>
      <c r="G122" s="1">
        <v>390</v>
      </c>
      <c r="H122" s="1">
        <v>436</v>
      </c>
      <c r="I122" s="1">
        <f t="shared" si="0"/>
        <v>46</v>
      </c>
    </row>
    <row r="123" spans="1:11" x14ac:dyDescent="0.25">
      <c r="C123" s="1">
        <v>1</v>
      </c>
      <c r="D123" s="1">
        <v>1</v>
      </c>
      <c r="E123" s="1">
        <v>10</v>
      </c>
      <c r="F123" s="1">
        <v>14</v>
      </c>
      <c r="G123" s="1">
        <v>436</v>
      </c>
      <c r="H123" s="1">
        <v>486</v>
      </c>
      <c r="I123" s="1">
        <f t="shared" si="0"/>
        <v>50</v>
      </c>
    </row>
    <row r="124" spans="1:11" x14ac:dyDescent="0.25">
      <c r="C124" s="1">
        <v>1</v>
      </c>
      <c r="D124" s="1">
        <v>1</v>
      </c>
      <c r="E124" s="1">
        <v>10</v>
      </c>
      <c r="F124" s="1">
        <v>15</v>
      </c>
      <c r="G124" s="1">
        <v>490</v>
      </c>
      <c r="H124" s="1">
        <v>531</v>
      </c>
      <c r="I124" s="1">
        <f t="shared" si="0"/>
        <v>41</v>
      </c>
    </row>
    <row r="125" spans="1:11" x14ac:dyDescent="0.25">
      <c r="C125" s="1">
        <v>1</v>
      </c>
      <c r="D125" s="1">
        <v>1</v>
      </c>
      <c r="E125" s="1">
        <v>10</v>
      </c>
      <c r="F125" s="1">
        <v>16</v>
      </c>
      <c r="G125" s="1">
        <v>531</v>
      </c>
      <c r="H125" s="1">
        <v>563</v>
      </c>
      <c r="I125" s="1">
        <f t="shared" si="0"/>
        <v>32</v>
      </c>
    </row>
    <row r="126" spans="1:11" x14ac:dyDescent="0.25">
      <c r="C126" s="1">
        <v>1</v>
      </c>
      <c r="D126" s="1">
        <v>1</v>
      </c>
      <c r="E126" s="1">
        <v>10</v>
      </c>
      <c r="F126" s="1">
        <v>17</v>
      </c>
      <c r="G126" s="1">
        <v>573</v>
      </c>
      <c r="H126" s="1">
        <v>587</v>
      </c>
      <c r="I126" s="1">
        <f t="shared" si="0"/>
        <v>14</v>
      </c>
    </row>
    <row r="127" spans="1:11" x14ac:dyDescent="0.25">
      <c r="C127" s="1">
        <v>1</v>
      </c>
      <c r="D127" s="1">
        <v>1</v>
      </c>
      <c r="E127" s="1">
        <v>10</v>
      </c>
      <c r="F127" s="1">
        <v>18</v>
      </c>
      <c r="G127" s="1">
        <v>587</v>
      </c>
      <c r="H127" s="1">
        <v>616</v>
      </c>
      <c r="I127" s="1">
        <f t="shared" si="0"/>
        <v>29</v>
      </c>
    </row>
    <row r="128" spans="1:11" x14ac:dyDescent="0.25">
      <c r="A128" s="5">
        <v>2</v>
      </c>
      <c r="B128" s="2">
        <v>43788</v>
      </c>
      <c r="C128" s="1">
        <v>2</v>
      </c>
      <c r="D128" s="1">
        <v>2</v>
      </c>
      <c r="E128" s="1">
        <v>1</v>
      </c>
      <c r="F128" s="1">
        <v>1</v>
      </c>
      <c r="G128" s="1">
        <v>0</v>
      </c>
      <c r="H128" s="1">
        <v>18</v>
      </c>
      <c r="I128" s="1">
        <f t="shared" si="0"/>
        <v>18</v>
      </c>
      <c r="J128" s="6">
        <f>(I132+I133+I134+I145+I144+I143+I138+I139+I140)/9</f>
        <v>17.555555555555557</v>
      </c>
      <c r="K128" s="6">
        <f>AVERAGE(I132:I145)</f>
        <v>20.285714285714285</v>
      </c>
    </row>
    <row r="129" spans="3:9" x14ac:dyDescent="0.25">
      <c r="C129" s="1">
        <v>2</v>
      </c>
      <c r="D129" s="1">
        <v>2</v>
      </c>
      <c r="E129" s="1">
        <v>1</v>
      </c>
      <c r="F129" s="1">
        <v>2</v>
      </c>
      <c r="G129" s="1">
        <v>18</v>
      </c>
      <c r="H129" s="1">
        <v>18</v>
      </c>
      <c r="I129" s="1">
        <f t="shared" si="0"/>
        <v>0</v>
      </c>
    </row>
    <row r="130" spans="3:9" x14ac:dyDescent="0.25">
      <c r="C130" s="1">
        <v>2</v>
      </c>
      <c r="D130" s="1">
        <v>2</v>
      </c>
      <c r="E130" s="1">
        <v>1</v>
      </c>
      <c r="F130" s="1">
        <v>3</v>
      </c>
      <c r="G130" s="1">
        <v>18</v>
      </c>
      <c r="H130" s="1">
        <v>18</v>
      </c>
      <c r="I130" s="1">
        <f t="shared" si="0"/>
        <v>0</v>
      </c>
    </row>
    <row r="131" spans="3:9" x14ac:dyDescent="0.25">
      <c r="C131" s="1">
        <v>2</v>
      </c>
      <c r="D131" s="1">
        <v>2</v>
      </c>
      <c r="E131" s="1">
        <v>1</v>
      </c>
      <c r="F131" s="1">
        <v>4</v>
      </c>
      <c r="G131" s="1">
        <v>18</v>
      </c>
      <c r="H131" s="1">
        <v>18</v>
      </c>
      <c r="I131" s="1">
        <f t="shared" si="0"/>
        <v>0</v>
      </c>
    </row>
    <row r="132" spans="3:9" x14ac:dyDescent="0.25">
      <c r="C132" s="1">
        <v>2</v>
      </c>
      <c r="D132" s="1">
        <v>2</v>
      </c>
      <c r="E132" s="1">
        <v>10</v>
      </c>
      <c r="F132" s="1">
        <v>5</v>
      </c>
      <c r="G132" s="1">
        <v>18</v>
      </c>
      <c r="H132" s="1">
        <v>23</v>
      </c>
      <c r="I132" s="11">
        <f t="shared" si="0"/>
        <v>5</v>
      </c>
    </row>
    <row r="133" spans="3:9" x14ac:dyDescent="0.25">
      <c r="C133" s="1">
        <v>2</v>
      </c>
      <c r="D133" s="1">
        <v>2</v>
      </c>
      <c r="E133" s="1">
        <v>10</v>
      </c>
      <c r="F133" s="1">
        <v>6</v>
      </c>
      <c r="G133" s="1">
        <v>23</v>
      </c>
      <c r="H133" s="1">
        <v>39</v>
      </c>
      <c r="I133" s="1">
        <f t="shared" si="0"/>
        <v>16</v>
      </c>
    </row>
    <row r="134" spans="3:9" x14ac:dyDescent="0.25">
      <c r="C134" s="1">
        <v>2</v>
      </c>
      <c r="D134" s="1">
        <v>2</v>
      </c>
      <c r="E134" s="1">
        <v>10</v>
      </c>
      <c r="F134" s="1">
        <v>7</v>
      </c>
      <c r="G134" s="1">
        <v>39</v>
      </c>
      <c r="H134" s="1">
        <v>62</v>
      </c>
      <c r="I134" s="1">
        <f t="shared" si="0"/>
        <v>23</v>
      </c>
    </row>
    <row r="135" spans="3:9" x14ac:dyDescent="0.25">
      <c r="C135" s="1">
        <v>2</v>
      </c>
      <c r="D135" s="1">
        <v>2</v>
      </c>
      <c r="E135" s="1">
        <v>10</v>
      </c>
      <c r="F135" s="1">
        <v>8</v>
      </c>
      <c r="G135" s="1">
        <v>62</v>
      </c>
      <c r="H135" s="1">
        <v>68</v>
      </c>
      <c r="I135" s="1">
        <f t="shared" si="0"/>
        <v>6</v>
      </c>
    </row>
    <row r="136" spans="3:9" x14ac:dyDescent="0.25">
      <c r="C136" s="1">
        <v>2</v>
      </c>
      <c r="D136" s="1">
        <v>2</v>
      </c>
      <c r="E136" s="1">
        <v>10</v>
      </c>
      <c r="F136" s="1">
        <v>9</v>
      </c>
      <c r="G136" s="1">
        <v>68</v>
      </c>
      <c r="H136" s="1">
        <v>108</v>
      </c>
      <c r="I136" s="1">
        <f t="shared" si="0"/>
        <v>40</v>
      </c>
    </row>
    <row r="137" spans="3:9" x14ac:dyDescent="0.25">
      <c r="C137" s="1">
        <v>2</v>
      </c>
      <c r="D137" s="1">
        <v>2</v>
      </c>
      <c r="E137" s="1">
        <v>10</v>
      </c>
      <c r="F137" s="1">
        <v>10</v>
      </c>
      <c r="G137" s="1">
        <v>108</v>
      </c>
      <c r="H137" s="1">
        <v>140</v>
      </c>
      <c r="I137" s="1">
        <f t="shared" si="0"/>
        <v>32</v>
      </c>
    </row>
    <row r="138" spans="3:9" x14ac:dyDescent="0.25">
      <c r="C138" s="1">
        <v>2</v>
      </c>
      <c r="D138" s="1">
        <v>2</v>
      </c>
      <c r="E138" s="1">
        <v>10</v>
      </c>
      <c r="F138" s="1">
        <v>11</v>
      </c>
      <c r="G138" s="1">
        <v>142</v>
      </c>
      <c r="H138" s="1">
        <v>165</v>
      </c>
      <c r="I138" s="1">
        <f t="shared" si="0"/>
        <v>23</v>
      </c>
    </row>
    <row r="139" spans="3:9" x14ac:dyDescent="0.25">
      <c r="C139" s="1">
        <v>2</v>
      </c>
      <c r="D139" s="1">
        <v>2</v>
      </c>
      <c r="E139" s="1">
        <v>10</v>
      </c>
      <c r="F139" s="1">
        <v>12</v>
      </c>
      <c r="G139" s="1">
        <v>168</v>
      </c>
      <c r="H139" s="1">
        <v>201</v>
      </c>
      <c r="I139" s="1">
        <f t="shared" si="0"/>
        <v>33</v>
      </c>
    </row>
    <row r="140" spans="3:9" x14ac:dyDescent="0.25">
      <c r="C140" s="1">
        <v>2</v>
      </c>
      <c r="D140" s="1">
        <v>2</v>
      </c>
      <c r="E140" s="1">
        <v>10</v>
      </c>
      <c r="F140" s="1">
        <v>13</v>
      </c>
      <c r="G140" s="1">
        <v>201</v>
      </c>
      <c r="H140" s="1">
        <v>220</v>
      </c>
      <c r="I140" s="1">
        <f t="shared" si="0"/>
        <v>19</v>
      </c>
    </row>
    <row r="141" spans="3:9" x14ac:dyDescent="0.25">
      <c r="C141" s="1">
        <v>2</v>
      </c>
      <c r="D141" s="1">
        <v>2</v>
      </c>
      <c r="E141" s="1">
        <v>10</v>
      </c>
      <c r="F141" s="1">
        <v>14</v>
      </c>
      <c r="G141" s="1">
        <v>221</v>
      </c>
      <c r="H141" s="1">
        <v>235</v>
      </c>
      <c r="I141" s="1">
        <f t="shared" si="0"/>
        <v>14</v>
      </c>
    </row>
    <row r="142" spans="3:9" x14ac:dyDescent="0.25">
      <c r="C142" s="1">
        <v>2</v>
      </c>
      <c r="D142" s="1">
        <v>2</v>
      </c>
      <c r="E142" s="1">
        <v>10</v>
      </c>
      <c r="F142" s="1">
        <v>15</v>
      </c>
      <c r="G142" s="1">
        <v>235</v>
      </c>
      <c r="H142" s="1">
        <v>269</v>
      </c>
      <c r="I142" s="1">
        <f t="shared" si="0"/>
        <v>34</v>
      </c>
    </row>
    <row r="143" spans="3:9" x14ac:dyDescent="0.25">
      <c r="C143" s="1">
        <v>2</v>
      </c>
      <c r="D143" s="1">
        <v>2</v>
      </c>
      <c r="E143" s="1">
        <v>10</v>
      </c>
      <c r="F143" s="1">
        <v>16</v>
      </c>
      <c r="G143" s="1">
        <v>269</v>
      </c>
      <c r="H143" s="1">
        <v>279</v>
      </c>
      <c r="I143" s="1">
        <f t="shared" si="0"/>
        <v>10</v>
      </c>
    </row>
    <row r="144" spans="3:9" x14ac:dyDescent="0.25">
      <c r="C144" s="1">
        <v>2</v>
      </c>
      <c r="D144" s="1">
        <v>2</v>
      </c>
      <c r="E144" s="1">
        <v>10</v>
      </c>
      <c r="F144" s="1">
        <v>17</v>
      </c>
      <c r="G144" s="1">
        <v>279</v>
      </c>
      <c r="H144" s="1">
        <v>292</v>
      </c>
      <c r="I144" s="1">
        <f t="shared" si="0"/>
        <v>13</v>
      </c>
    </row>
    <row r="145" spans="1:11" x14ac:dyDescent="0.25">
      <c r="C145" s="1">
        <v>2</v>
      </c>
      <c r="D145" s="1">
        <v>2</v>
      </c>
      <c r="E145" s="1">
        <v>10</v>
      </c>
      <c r="F145" s="1">
        <v>18</v>
      </c>
      <c r="G145" s="1">
        <v>292</v>
      </c>
      <c r="H145" s="1">
        <v>308</v>
      </c>
      <c r="I145" s="1">
        <f t="shared" si="0"/>
        <v>16</v>
      </c>
    </row>
    <row r="146" spans="1:11" x14ac:dyDescent="0.25">
      <c r="A146" s="5">
        <v>2</v>
      </c>
      <c r="B146" s="2">
        <v>43788</v>
      </c>
      <c r="C146" s="1">
        <v>3</v>
      </c>
      <c r="D146" s="1">
        <v>1</v>
      </c>
      <c r="E146" s="1">
        <v>1</v>
      </c>
      <c r="F146" s="1">
        <v>1</v>
      </c>
      <c r="G146" s="1">
        <v>8</v>
      </c>
      <c r="H146" s="1">
        <v>49</v>
      </c>
      <c r="I146" s="1">
        <f t="shared" si="0"/>
        <v>41</v>
      </c>
      <c r="J146" s="6">
        <f>(I150+I151+I152+I163+I162+I161+I156+I157+I158)/9</f>
        <v>37.111111111111114</v>
      </c>
      <c r="K146" s="6">
        <f>AVERAGE(I150:I163)</f>
        <v>36.5</v>
      </c>
    </row>
    <row r="147" spans="1:11" x14ac:dyDescent="0.25">
      <c r="C147" s="1">
        <v>3</v>
      </c>
      <c r="D147" s="1">
        <v>1</v>
      </c>
      <c r="E147" s="1">
        <v>1</v>
      </c>
      <c r="F147" s="1">
        <v>2</v>
      </c>
      <c r="G147" s="1">
        <v>49</v>
      </c>
      <c r="H147" s="1">
        <v>87</v>
      </c>
      <c r="I147" s="1">
        <f t="shared" si="0"/>
        <v>38</v>
      </c>
    </row>
    <row r="148" spans="1:11" x14ac:dyDescent="0.25">
      <c r="C148" s="1">
        <v>3</v>
      </c>
      <c r="D148" s="1">
        <v>1</v>
      </c>
      <c r="E148" s="1">
        <v>1</v>
      </c>
      <c r="F148" s="1">
        <v>3</v>
      </c>
      <c r="G148" s="1">
        <v>87</v>
      </c>
      <c r="H148" s="1">
        <v>134</v>
      </c>
      <c r="I148" s="1">
        <f t="shared" si="0"/>
        <v>47</v>
      </c>
    </row>
    <row r="149" spans="1:11" x14ac:dyDescent="0.25">
      <c r="C149" s="1">
        <v>3</v>
      </c>
      <c r="D149" s="1">
        <v>1</v>
      </c>
      <c r="E149" s="1">
        <v>1</v>
      </c>
      <c r="F149" s="1">
        <v>4</v>
      </c>
      <c r="G149" s="1">
        <v>139</v>
      </c>
      <c r="H149" s="1">
        <v>184</v>
      </c>
      <c r="I149" s="1">
        <f t="shared" si="0"/>
        <v>45</v>
      </c>
    </row>
    <row r="150" spans="1:11" x14ac:dyDescent="0.25">
      <c r="C150" s="1">
        <v>3</v>
      </c>
      <c r="D150" s="1">
        <v>1</v>
      </c>
      <c r="E150" s="1">
        <v>10</v>
      </c>
      <c r="F150" s="1">
        <v>5</v>
      </c>
      <c r="G150" s="1">
        <v>184</v>
      </c>
      <c r="H150" s="1">
        <v>228</v>
      </c>
      <c r="I150" s="11">
        <f t="shared" si="0"/>
        <v>44</v>
      </c>
    </row>
    <row r="151" spans="1:11" x14ac:dyDescent="0.25">
      <c r="C151" s="1">
        <v>3</v>
      </c>
      <c r="D151" s="1">
        <v>1</v>
      </c>
      <c r="E151" s="1">
        <v>10</v>
      </c>
      <c r="F151" s="1">
        <v>6</v>
      </c>
      <c r="G151" s="1">
        <v>231</v>
      </c>
      <c r="H151" s="1">
        <v>287</v>
      </c>
      <c r="I151" s="1">
        <f t="shared" si="0"/>
        <v>56</v>
      </c>
    </row>
    <row r="152" spans="1:11" x14ac:dyDescent="0.25">
      <c r="C152" s="1">
        <v>3</v>
      </c>
      <c r="D152" s="1">
        <v>1</v>
      </c>
      <c r="E152" s="1">
        <v>10</v>
      </c>
      <c r="F152" s="1">
        <v>7</v>
      </c>
      <c r="G152" s="1">
        <v>291</v>
      </c>
      <c r="H152" s="1">
        <v>303</v>
      </c>
      <c r="I152" s="1">
        <f t="shared" si="0"/>
        <v>12</v>
      </c>
    </row>
    <row r="153" spans="1:11" x14ac:dyDescent="0.25">
      <c r="C153" s="1">
        <v>3</v>
      </c>
      <c r="D153" s="1">
        <v>1</v>
      </c>
      <c r="E153" s="1">
        <v>10</v>
      </c>
      <c r="F153" s="1">
        <v>8</v>
      </c>
      <c r="G153" s="1">
        <v>308</v>
      </c>
      <c r="H153" s="1">
        <v>348</v>
      </c>
      <c r="I153" s="1">
        <f t="shared" si="0"/>
        <v>40</v>
      </c>
    </row>
    <row r="154" spans="1:11" x14ac:dyDescent="0.25">
      <c r="C154" s="1">
        <v>3</v>
      </c>
      <c r="D154" s="1">
        <v>1</v>
      </c>
      <c r="E154" s="1">
        <v>10</v>
      </c>
      <c r="F154" s="1">
        <v>9</v>
      </c>
      <c r="G154" s="1">
        <v>356</v>
      </c>
      <c r="H154" s="1">
        <v>369</v>
      </c>
      <c r="I154" s="1">
        <f t="shared" si="0"/>
        <v>13</v>
      </c>
    </row>
    <row r="155" spans="1:11" x14ac:dyDescent="0.25">
      <c r="C155" s="1">
        <v>3</v>
      </c>
      <c r="D155" s="1">
        <v>1</v>
      </c>
      <c r="E155" s="1">
        <v>10</v>
      </c>
      <c r="F155" s="1">
        <v>10</v>
      </c>
      <c r="G155" s="1">
        <v>372</v>
      </c>
      <c r="H155" s="1">
        <v>421</v>
      </c>
      <c r="I155" s="1">
        <f t="shared" si="0"/>
        <v>49</v>
      </c>
    </row>
    <row r="156" spans="1:11" x14ac:dyDescent="0.25">
      <c r="C156" s="1">
        <v>3</v>
      </c>
      <c r="D156" s="1">
        <v>1</v>
      </c>
      <c r="E156" s="1">
        <v>10</v>
      </c>
      <c r="F156" s="1">
        <v>11</v>
      </c>
      <c r="G156" s="1">
        <v>427</v>
      </c>
      <c r="H156" s="1">
        <v>472</v>
      </c>
      <c r="I156" s="1">
        <f t="shared" si="0"/>
        <v>45</v>
      </c>
    </row>
    <row r="157" spans="1:11" x14ac:dyDescent="0.25">
      <c r="C157" s="1">
        <v>3</v>
      </c>
      <c r="D157" s="1">
        <v>1</v>
      </c>
      <c r="E157" s="1">
        <v>10</v>
      </c>
      <c r="F157" s="1">
        <v>12</v>
      </c>
      <c r="G157" s="1">
        <v>484</v>
      </c>
      <c r="H157" s="1">
        <v>533</v>
      </c>
      <c r="I157" s="1">
        <f t="shared" si="0"/>
        <v>49</v>
      </c>
    </row>
    <row r="158" spans="1:11" x14ac:dyDescent="0.25">
      <c r="C158" s="1">
        <v>3</v>
      </c>
      <c r="D158" s="1">
        <v>1</v>
      </c>
      <c r="E158" s="1">
        <v>10</v>
      </c>
      <c r="F158" s="1">
        <v>13</v>
      </c>
      <c r="G158" s="1">
        <v>541</v>
      </c>
      <c r="H158" s="1">
        <v>597</v>
      </c>
      <c r="I158" s="1">
        <f t="shared" si="0"/>
        <v>56</v>
      </c>
    </row>
    <row r="159" spans="1:11" x14ac:dyDescent="0.25">
      <c r="C159" s="1">
        <v>3</v>
      </c>
      <c r="D159" s="1">
        <v>1</v>
      </c>
      <c r="E159" s="1">
        <v>10</v>
      </c>
      <c r="F159" s="1">
        <v>14</v>
      </c>
      <c r="G159" s="1">
        <v>598</v>
      </c>
      <c r="H159" s="1">
        <v>619</v>
      </c>
      <c r="I159" s="1">
        <f t="shared" si="0"/>
        <v>21</v>
      </c>
    </row>
    <row r="160" spans="1:11" x14ac:dyDescent="0.25">
      <c r="C160" s="1">
        <v>3</v>
      </c>
      <c r="D160" s="1">
        <v>1</v>
      </c>
      <c r="E160" s="1">
        <v>10</v>
      </c>
      <c r="F160" s="1">
        <v>15</v>
      </c>
      <c r="G160" s="1">
        <v>631</v>
      </c>
      <c r="H160" s="1">
        <v>685</v>
      </c>
      <c r="I160" s="1">
        <f t="shared" si="0"/>
        <v>54</v>
      </c>
    </row>
    <row r="161" spans="1:11" x14ac:dyDescent="0.25">
      <c r="C161" s="1">
        <v>3</v>
      </c>
      <c r="D161" s="1">
        <v>1</v>
      </c>
      <c r="E161" s="1">
        <v>10</v>
      </c>
      <c r="F161" s="1">
        <v>16</v>
      </c>
      <c r="G161" s="1">
        <v>685</v>
      </c>
      <c r="H161" s="1">
        <v>718</v>
      </c>
      <c r="I161" s="1">
        <f t="shared" si="0"/>
        <v>33</v>
      </c>
    </row>
    <row r="162" spans="1:11" x14ac:dyDescent="0.25">
      <c r="C162" s="1">
        <v>3</v>
      </c>
      <c r="D162" s="1">
        <v>1</v>
      </c>
      <c r="E162" s="1">
        <v>10</v>
      </c>
      <c r="F162" s="1">
        <v>17</v>
      </c>
      <c r="G162" s="1">
        <v>719</v>
      </c>
      <c r="H162" s="1">
        <v>732</v>
      </c>
      <c r="I162" s="1">
        <f t="shared" si="0"/>
        <v>13</v>
      </c>
    </row>
    <row r="163" spans="1:11" x14ac:dyDescent="0.25">
      <c r="C163" s="1">
        <v>3</v>
      </c>
      <c r="D163" s="1">
        <v>1</v>
      </c>
      <c r="E163" s="1">
        <v>10</v>
      </c>
      <c r="F163" s="1">
        <v>18</v>
      </c>
      <c r="G163" s="1">
        <v>735</v>
      </c>
      <c r="H163" s="1">
        <v>761</v>
      </c>
      <c r="I163" s="1">
        <f t="shared" si="0"/>
        <v>26</v>
      </c>
    </row>
    <row r="164" spans="1:11" x14ac:dyDescent="0.25">
      <c r="A164" s="5">
        <v>2</v>
      </c>
      <c r="B164" s="2">
        <v>43788</v>
      </c>
      <c r="C164" s="1">
        <v>4</v>
      </c>
      <c r="D164" s="1">
        <v>2</v>
      </c>
      <c r="E164" s="1">
        <v>1</v>
      </c>
      <c r="F164" s="1">
        <v>1</v>
      </c>
      <c r="G164" s="1">
        <v>0</v>
      </c>
      <c r="H164" s="1">
        <v>0</v>
      </c>
      <c r="I164" s="1">
        <f t="shared" si="0"/>
        <v>0</v>
      </c>
      <c r="J164" s="6">
        <f>(I168+I169+I170+I181+I180+I179+I174+I175+I176)/9</f>
        <v>38.444444444444443</v>
      </c>
      <c r="K164" s="6">
        <f>AVERAGE(I168:I181)</f>
        <v>38</v>
      </c>
    </row>
    <row r="165" spans="1:11" x14ac:dyDescent="0.25">
      <c r="C165" s="1">
        <v>4</v>
      </c>
      <c r="D165" s="1">
        <v>2</v>
      </c>
      <c r="E165" s="1">
        <v>1</v>
      </c>
      <c r="F165" s="1">
        <v>2</v>
      </c>
      <c r="G165" s="1">
        <v>0</v>
      </c>
      <c r="H165" s="1">
        <v>40</v>
      </c>
      <c r="I165" s="1">
        <f t="shared" si="0"/>
        <v>40</v>
      </c>
    </row>
    <row r="166" spans="1:11" x14ac:dyDescent="0.25">
      <c r="C166" s="1">
        <v>4</v>
      </c>
      <c r="D166" s="1">
        <v>2</v>
      </c>
      <c r="E166" s="1">
        <v>1</v>
      </c>
      <c r="F166" s="1">
        <v>3</v>
      </c>
      <c r="G166" s="1">
        <v>40</v>
      </c>
      <c r="H166" s="1">
        <v>74</v>
      </c>
      <c r="I166" s="1">
        <f t="shared" si="0"/>
        <v>34</v>
      </c>
    </row>
    <row r="167" spans="1:11" x14ac:dyDescent="0.25">
      <c r="C167" s="1">
        <v>4</v>
      </c>
      <c r="D167" s="1">
        <v>2</v>
      </c>
      <c r="E167" s="1">
        <v>1</v>
      </c>
      <c r="F167" s="1">
        <v>4</v>
      </c>
      <c r="G167" s="1">
        <v>74</v>
      </c>
      <c r="H167" s="1">
        <v>94</v>
      </c>
      <c r="I167" s="1">
        <f t="shared" si="0"/>
        <v>20</v>
      </c>
    </row>
    <row r="168" spans="1:11" x14ac:dyDescent="0.25">
      <c r="C168" s="1">
        <v>4</v>
      </c>
      <c r="D168" s="1">
        <v>2</v>
      </c>
      <c r="E168" s="1">
        <v>10</v>
      </c>
      <c r="F168" s="1">
        <v>5</v>
      </c>
      <c r="G168" s="1">
        <v>94</v>
      </c>
      <c r="H168" s="1">
        <v>127</v>
      </c>
      <c r="I168" s="11">
        <f t="shared" si="0"/>
        <v>33</v>
      </c>
    </row>
    <row r="169" spans="1:11" x14ac:dyDescent="0.25">
      <c r="C169" s="1">
        <v>4</v>
      </c>
      <c r="D169" s="1">
        <v>2</v>
      </c>
      <c r="E169" s="1">
        <v>10</v>
      </c>
      <c r="F169" s="1">
        <v>6</v>
      </c>
      <c r="G169" s="1">
        <v>130</v>
      </c>
      <c r="H169" s="1">
        <v>172</v>
      </c>
      <c r="I169" s="1">
        <f t="shared" si="0"/>
        <v>42</v>
      </c>
    </row>
    <row r="170" spans="1:11" x14ac:dyDescent="0.25">
      <c r="C170" s="1">
        <v>4</v>
      </c>
      <c r="D170" s="1">
        <v>2</v>
      </c>
      <c r="E170" s="1">
        <v>10</v>
      </c>
      <c r="F170" s="1">
        <v>7</v>
      </c>
      <c r="G170" s="1">
        <v>172</v>
      </c>
      <c r="H170" s="1">
        <v>212</v>
      </c>
      <c r="I170" s="1">
        <f t="shared" si="0"/>
        <v>40</v>
      </c>
    </row>
    <row r="171" spans="1:11" x14ac:dyDescent="0.25">
      <c r="C171" s="1">
        <v>4</v>
      </c>
      <c r="D171" s="1">
        <v>2</v>
      </c>
      <c r="E171" s="1">
        <v>10</v>
      </c>
      <c r="F171" s="1">
        <v>8</v>
      </c>
      <c r="G171" s="1">
        <v>212</v>
      </c>
      <c r="H171" s="1">
        <v>254</v>
      </c>
      <c r="I171" s="1">
        <f t="shared" si="0"/>
        <v>42</v>
      </c>
    </row>
    <row r="172" spans="1:11" x14ac:dyDescent="0.25">
      <c r="C172" s="1">
        <v>4</v>
      </c>
      <c r="D172" s="1">
        <v>2</v>
      </c>
      <c r="E172" s="1">
        <v>10</v>
      </c>
      <c r="F172" s="1">
        <v>9</v>
      </c>
      <c r="G172" s="1">
        <v>254</v>
      </c>
      <c r="H172" s="1">
        <v>286</v>
      </c>
      <c r="I172" s="1">
        <f t="shared" si="0"/>
        <v>32</v>
      </c>
    </row>
    <row r="173" spans="1:11" x14ac:dyDescent="0.25">
      <c r="C173" s="1">
        <v>4</v>
      </c>
      <c r="D173" s="1">
        <v>2</v>
      </c>
      <c r="E173" s="1">
        <v>10</v>
      </c>
      <c r="F173" s="1">
        <v>10</v>
      </c>
      <c r="G173" s="1">
        <v>286</v>
      </c>
      <c r="H173" s="1">
        <v>320</v>
      </c>
      <c r="I173" s="1">
        <f t="shared" si="0"/>
        <v>34</v>
      </c>
    </row>
    <row r="174" spans="1:11" x14ac:dyDescent="0.25">
      <c r="C174" s="1">
        <v>4</v>
      </c>
      <c r="D174" s="1">
        <v>2</v>
      </c>
      <c r="E174" s="1">
        <v>10</v>
      </c>
      <c r="F174" s="1">
        <v>11</v>
      </c>
      <c r="G174" s="1">
        <v>320</v>
      </c>
      <c r="H174" s="1">
        <v>365</v>
      </c>
      <c r="I174" s="1">
        <f t="shared" si="0"/>
        <v>45</v>
      </c>
    </row>
    <row r="175" spans="1:11" x14ac:dyDescent="0.25">
      <c r="C175" s="1">
        <v>4</v>
      </c>
      <c r="D175" s="1">
        <v>2</v>
      </c>
      <c r="E175" s="1">
        <v>10</v>
      </c>
      <c r="F175" s="1">
        <v>12</v>
      </c>
      <c r="G175" s="1">
        <v>367</v>
      </c>
      <c r="H175" s="1">
        <v>412</v>
      </c>
      <c r="I175" s="1">
        <f t="shared" si="0"/>
        <v>45</v>
      </c>
    </row>
    <row r="176" spans="1:11" x14ac:dyDescent="0.25">
      <c r="C176" s="1">
        <v>4</v>
      </c>
      <c r="D176" s="1">
        <v>2</v>
      </c>
      <c r="E176" s="1">
        <v>10</v>
      </c>
      <c r="F176" s="1">
        <v>13</v>
      </c>
      <c r="G176" s="1">
        <v>413</v>
      </c>
      <c r="H176" s="1">
        <v>454</v>
      </c>
      <c r="I176" s="1">
        <f t="shared" si="0"/>
        <v>41</v>
      </c>
    </row>
    <row r="177" spans="1:11" x14ac:dyDescent="0.25">
      <c r="C177" s="1">
        <v>4</v>
      </c>
      <c r="D177" s="1">
        <v>2</v>
      </c>
      <c r="E177" s="1">
        <v>10</v>
      </c>
      <c r="F177" s="1">
        <v>14</v>
      </c>
      <c r="G177" s="1">
        <v>454</v>
      </c>
      <c r="H177" s="1">
        <v>493</v>
      </c>
      <c r="I177" s="1">
        <f t="shared" si="0"/>
        <v>39</v>
      </c>
    </row>
    <row r="178" spans="1:11" x14ac:dyDescent="0.25">
      <c r="C178" s="1">
        <v>4</v>
      </c>
      <c r="D178" s="1">
        <v>2</v>
      </c>
      <c r="E178" s="1">
        <v>10</v>
      </c>
      <c r="F178" s="1">
        <v>15</v>
      </c>
      <c r="G178" s="1">
        <v>495</v>
      </c>
      <c r="H178" s="1">
        <v>534</v>
      </c>
      <c r="I178" s="1">
        <f t="shared" si="0"/>
        <v>39</v>
      </c>
    </row>
    <row r="179" spans="1:11" x14ac:dyDescent="0.25">
      <c r="C179" s="1">
        <v>4</v>
      </c>
      <c r="D179" s="1">
        <v>2</v>
      </c>
      <c r="E179" s="1">
        <v>10</v>
      </c>
      <c r="F179" s="1">
        <v>16</v>
      </c>
      <c r="G179" s="1">
        <v>534</v>
      </c>
      <c r="H179" s="1">
        <v>572</v>
      </c>
      <c r="I179" s="1">
        <f t="shared" si="0"/>
        <v>38</v>
      </c>
    </row>
    <row r="180" spans="1:11" x14ac:dyDescent="0.25">
      <c r="C180" s="1">
        <v>4</v>
      </c>
      <c r="D180" s="1">
        <v>2</v>
      </c>
      <c r="E180" s="1">
        <v>10</v>
      </c>
      <c r="F180" s="1">
        <v>17</v>
      </c>
      <c r="G180" s="1">
        <v>574</v>
      </c>
      <c r="H180" s="1">
        <v>597</v>
      </c>
      <c r="I180" s="1">
        <f t="shared" si="0"/>
        <v>23</v>
      </c>
    </row>
    <row r="181" spans="1:11" x14ac:dyDescent="0.25">
      <c r="C181" s="1">
        <v>4</v>
      </c>
      <c r="D181" s="1">
        <v>2</v>
      </c>
      <c r="E181" s="1">
        <v>10</v>
      </c>
      <c r="F181" s="1">
        <v>18</v>
      </c>
      <c r="G181" s="1">
        <v>597</v>
      </c>
      <c r="H181" s="1">
        <v>636</v>
      </c>
      <c r="I181" s="1">
        <f t="shared" si="0"/>
        <v>39</v>
      </c>
    </row>
    <row r="182" spans="1:11" x14ac:dyDescent="0.25">
      <c r="A182" s="5">
        <v>2</v>
      </c>
      <c r="B182" s="2">
        <v>43788</v>
      </c>
      <c r="C182" s="1">
        <v>6</v>
      </c>
      <c r="D182" s="1">
        <v>1</v>
      </c>
      <c r="E182" s="1">
        <v>1</v>
      </c>
      <c r="F182" s="1">
        <v>1</v>
      </c>
      <c r="G182" s="1">
        <v>0</v>
      </c>
      <c r="H182" s="1">
        <v>35</v>
      </c>
      <c r="I182" s="1">
        <f t="shared" si="0"/>
        <v>35</v>
      </c>
      <c r="J182" s="6">
        <f>(I186+I187+I188+I199+I198+I197+I192+I193+I194)/9</f>
        <v>35.333333333333336</v>
      </c>
      <c r="K182" s="6">
        <f>AVERAGE(I186:I199)</f>
        <v>39.785714285714285</v>
      </c>
    </row>
    <row r="183" spans="1:11" x14ac:dyDescent="0.25">
      <c r="C183" s="1">
        <v>6</v>
      </c>
      <c r="D183" s="1">
        <v>1</v>
      </c>
      <c r="E183" s="1">
        <v>1</v>
      </c>
      <c r="F183" s="1">
        <v>2</v>
      </c>
      <c r="G183" s="1">
        <v>35</v>
      </c>
      <c r="H183" s="1">
        <v>39</v>
      </c>
      <c r="I183" s="1">
        <f t="shared" si="0"/>
        <v>4</v>
      </c>
    </row>
    <row r="184" spans="1:11" x14ac:dyDescent="0.25">
      <c r="C184" s="1">
        <v>6</v>
      </c>
      <c r="D184" s="1">
        <v>1</v>
      </c>
      <c r="E184" s="1">
        <v>1</v>
      </c>
      <c r="F184" s="1">
        <v>3</v>
      </c>
      <c r="G184" s="1">
        <v>39</v>
      </c>
      <c r="H184" s="1">
        <v>39</v>
      </c>
      <c r="I184" s="1">
        <f t="shared" si="0"/>
        <v>0</v>
      </c>
    </row>
    <row r="185" spans="1:11" x14ac:dyDescent="0.25">
      <c r="C185" s="1">
        <v>6</v>
      </c>
      <c r="D185" s="1">
        <v>1</v>
      </c>
      <c r="E185" s="1">
        <v>1</v>
      </c>
      <c r="F185" s="1">
        <v>4</v>
      </c>
      <c r="G185" s="1">
        <v>39</v>
      </c>
      <c r="H185" s="1">
        <v>85</v>
      </c>
      <c r="I185" s="1">
        <f t="shared" si="0"/>
        <v>46</v>
      </c>
    </row>
    <row r="186" spans="1:11" x14ac:dyDescent="0.25">
      <c r="C186" s="1">
        <v>6</v>
      </c>
      <c r="D186" s="1">
        <v>1</v>
      </c>
      <c r="E186" s="1">
        <v>10</v>
      </c>
      <c r="F186" s="1">
        <v>5</v>
      </c>
      <c r="G186" s="1">
        <v>85</v>
      </c>
      <c r="H186" s="1">
        <v>123</v>
      </c>
      <c r="I186" s="11">
        <f t="shared" si="0"/>
        <v>38</v>
      </c>
    </row>
    <row r="187" spans="1:11" x14ac:dyDescent="0.25">
      <c r="C187" s="1">
        <v>6</v>
      </c>
      <c r="D187" s="1">
        <v>1</v>
      </c>
      <c r="E187" s="1">
        <v>10</v>
      </c>
      <c r="F187" s="1">
        <v>6</v>
      </c>
      <c r="G187" s="1">
        <v>123</v>
      </c>
      <c r="H187" s="1">
        <v>163</v>
      </c>
      <c r="I187" s="1">
        <f t="shared" si="0"/>
        <v>40</v>
      </c>
    </row>
    <row r="188" spans="1:11" x14ac:dyDescent="0.25">
      <c r="C188" s="1">
        <v>6</v>
      </c>
      <c r="D188" s="1">
        <v>1</v>
      </c>
      <c r="E188" s="1">
        <v>10</v>
      </c>
      <c r="F188" s="1">
        <v>7</v>
      </c>
      <c r="G188" s="1">
        <v>166</v>
      </c>
      <c r="H188" s="1">
        <v>217</v>
      </c>
      <c r="I188" s="1">
        <f t="shared" si="0"/>
        <v>51</v>
      </c>
    </row>
    <row r="189" spans="1:11" x14ac:dyDescent="0.25">
      <c r="C189" s="1">
        <v>6</v>
      </c>
      <c r="D189" s="1">
        <v>1</v>
      </c>
      <c r="E189" s="1">
        <v>10</v>
      </c>
      <c r="F189" s="1">
        <v>8</v>
      </c>
      <c r="G189" s="1">
        <v>217</v>
      </c>
      <c r="H189" s="1">
        <v>242</v>
      </c>
      <c r="I189" s="1">
        <f t="shared" si="0"/>
        <v>25</v>
      </c>
    </row>
    <row r="190" spans="1:11" x14ac:dyDescent="0.25">
      <c r="C190" s="1">
        <v>6</v>
      </c>
      <c r="D190" s="1">
        <v>1</v>
      </c>
      <c r="E190" s="1">
        <v>10</v>
      </c>
      <c r="F190" s="1">
        <v>9</v>
      </c>
      <c r="G190" s="1">
        <v>242</v>
      </c>
      <c r="H190" s="1">
        <v>264</v>
      </c>
      <c r="I190" s="1">
        <f t="shared" si="0"/>
        <v>22</v>
      </c>
    </row>
    <row r="191" spans="1:11" x14ac:dyDescent="0.25">
      <c r="C191" s="1">
        <v>6</v>
      </c>
      <c r="D191" s="1">
        <v>1</v>
      </c>
      <c r="E191" s="1">
        <v>10</v>
      </c>
      <c r="F191" s="1">
        <v>10</v>
      </c>
      <c r="G191" s="1">
        <v>264</v>
      </c>
      <c r="H191" s="1">
        <v>299</v>
      </c>
      <c r="I191" s="1">
        <f t="shared" si="0"/>
        <v>35</v>
      </c>
    </row>
    <row r="192" spans="1:11" x14ac:dyDescent="0.25">
      <c r="C192" s="1">
        <v>6</v>
      </c>
      <c r="D192" s="1">
        <v>1</v>
      </c>
      <c r="E192" s="1">
        <v>10</v>
      </c>
      <c r="F192" s="1">
        <v>11</v>
      </c>
      <c r="G192" s="1">
        <v>299</v>
      </c>
      <c r="H192" s="1">
        <v>324</v>
      </c>
      <c r="I192" s="1">
        <f t="shared" si="0"/>
        <v>25</v>
      </c>
    </row>
    <row r="193" spans="1:11" x14ac:dyDescent="0.25">
      <c r="C193" s="1">
        <v>6</v>
      </c>
      <c r="D193" s="1">
        <v>1</v>
      </c>
      <c r="E193" s="1">
        <v>10</v>
      </c>
      <c r="F193" s="1">
        <v>12</v>
      </c>
      <c r="G193" s="1">
        <v>324</v>
      </c>
      <c r="H193" s="1">
        <v>354</v>
      </c>
      <c r="I193" s="1">
        <f t="shared" si="0"/>
        <v>30</v>
      </c>
    </row>
    <row r="194" spans="1:11" x14ac:dyDescent="0.25">
      <c r="C194" s="1">
        <v>6</v>
      </c>
      <c r="D194" s="1">
        <v>1</v>
      </c>
      <c r="E194" s="1">
        <v>10</v>
      </c>
      <c r="F194" s="1">
        <v>13</v>
      </c>
      <c r="G194" s="1">
        <v>361</v>
      </c>
      <c r="H194" s="1">
        <v>398</v>
      </c>
      <c r="I194" s="1">
        <f t="shared" si="0"/>
        <v>37</v>
      </c>
    </row>
    <row r="195" spans="1:11" x14ac:dyDescent="0.25">
      <c r="C195" s="1">
        <v>6</v>
      </c>
      <c r="D195" s="1">
        <v>1</v>
      </c>
      <c r="E195" s="1">
        <v>10</v>
      </c>
      <c r="F195" s="1">
        <v>14</v>
      </c>
      <c r="G195" s="1">
        <v>298</v>
      </c>
      <c r="H195" s="1">
        <v>414</v>
      </c>
      <c r="I195" s="1">
        <f t="shared" si="0"/>
        <v>116</v>
      </c>
    </row>
    <row r="196" spans="1:11" x14ac:dyDescent="0.25">
      <c r="C196" s="1">
        <v>6</v>
      </c>
      <c r="D196" s="1">
        <v>1</v>
      </c>
      <c r="E196" s="1">
        <v>10</v>
      </c>
      <c r="F196" s="1">
        <v>15</v>
      </c>
      <c r="G196" s="1">
        <v>414</v>
      </c>
      <c r="H196" s="1">
        <v>455</v>
      </c>
      <c r="I196" s="1">
        <f t="shared" si="0"/>
        <v>41</v>
      </c>
    </row>
    <row r="197" spans="1:11" x14ac:dyDescent="0.25">
      <c r="C197" s="1">
        <v>6</v>
      </c>
      <c r="D197" s="1">
        <v>1</v>
      </c>
      <c r="E197" s="1">
        <v>10</v>
      </c>
      <c r="F197" s="1">
        <v>16</v>
      </c>
      <c r="G197" s="1">
        <v>455</v>
      </c>
      <c r="H197" s="1">
        <v>483</v>
      </c>
      <c r="I197" s="1">
        <f t="shared" si="0"/>
        <v>28</v>
      </c>
    </row>
    <row r="198" spans="1:11" x14ac:dyDescent="0.25">
      <c r="C198" s="1">
        <v>6</v>
      </c>
      <c r="D198" s="1">
        <v>1</v>
      </c>
      <c r="E198" s="1">
        <v>10</v>
      </c>
      <c r="F198" s="1">
        <v>17</v>
      </c>
      <c r="G198" s="1">
        <v>483</v>
      </c>
      <c r="H198" s="1">
        <v>509</v>
      </c>
      <c r="I198" s="1">
        <f t="shared" si="0"/>
        <v>26</v>
      </c>
    </row>
    <row r="199" spans="1:11" x14ac:dyDescent="0.25">
      <c r="C199" s="1">
        <v>6</v>
      </c>
      <c r="D199" s="1">
        <v>1</v>
      </c>
      <c r="E199" s="1">
        <v>10</v>
      </c>
      <c r="F199" s="1">
        <v>18</v>
      </c>
      <c r="G199" s="1">
        <v>509</v>
      </c>
      <c r="H199" s="1">
        <v>552</v>
      </c>
      <c r="I199" s="1">
        <f t="shared" si="0"/>
        <v>43</v>
      </c>
    </row>
    <row r="200" spans="1:11" x14ac:dyDescent="0.25">
      <c r="A200" s="5">
        <v>2</v>
      </c>
      <c r="B200" s="2">
        <v>43788</v>
      </c>
      <c r="C200" s="1">
        <v>7</v>
      </c>
      <c r="D200" s="1">
        <v>1</v>
      </c>
      <c r="E200" s="1">
        <v>1</v>
      </c>
      <c r="F200" s="1">
        <v>1</v>
      </c>
      <c r="G200" s="1">
        <v>0</v>
      </c>
      <c r="H200" s="1">
        <v>40</v>
      </c>
      <c r="I200" s="1">
        <f t="shared" si="0"/>
        <v>40</v>
      </c>
      <c r="J200" s="6">
        <f>(I204+I205+I206+I217+I216+I215+I210+I211+I212)/9</f>
        <v>43.444444444444443</v>
      </c>
      <c r="K200" s="6">
        <f>AVERAGE(I204:I217)</f>
        <v>43</v>
      </c>
    </row>
    <row r="201" spans="1:11" x14ac:dyDescent="0.25">
      <c r="C201" s="1">
        <v>7</v>
      </c>
      <c r="D201" s="1">
        <v>1</v>
      </c>
      <c r="E201" s="1">
        <v>1</v>
      </c>
      <c r="F201" s="1">
        <v>2</v>
      </c>
      <c r="G201" s="1">
        <v>40</v>
      </c>
      <c r="H201" s="1">
        <v>49</v>
      </c>
      <c r="I201" s="1">
        <f t="shared" si="0"/>
        <v>9</v>
      </c>
    </row>
    <row r="202" spans="1:11" x14ac:dyDescent="0.25">
      <c r="C202" s="1">
        <v>7</v>
      </c>
      <c r="D202" s="1">
        <v>1</v>
      </c>
      <c r="E202" s="1">
        <v>1</v>
      </c>
      <c r="F202" s="1">
        <v>3</v>
      </c>
      <c r="G202" s="1">
        <v>49</v>
      </c>
      <c r="H202" s="1">
        <v>96</v>
      </c>
      <c r="I202" s="1">
        <f t="shared" si="0"/>
        <v>47</v>
      </c>
    </row>
    <row r="203" spans="1:11" x14ac:dyDescent="0.25">
      <c r="C203" s="1">
        <v>7</v>
      </c>
      <c r="D203" s="1">
        <v>1</v>
      </c>
      <c r="E203" s="1">
        <v>1</v>
      </c>
      <c r="F203" s="1">
        <v>4</v>
      </c>
      <c r="G203" s="1">
        <v>96</v>
      </c>
      <c r="H203" s="1">
        <v>120</v>
      </c>
      <c r="I203" s="1">
        <f t="shared" si="0"/>
        <v>24</v>
      </c>
    </row>
    <row r="204" spans="1:11" x14ac:dyDescent="0.25">
      <c r="C204" s="1">
        <v>7</v>
      </c>
      <c r="D204" s="1">
        <v>1</v>
      </c>
      <c r="E204" s="1">
        <v>10</v>
      </c>
      <c r="F204" s="1">
        <v>5</v>
      </c>
      <c r="G204" s="1">
        <v>120</v>
      </c>
      <c r="H204" s="1">
        <v>160</v>
      </c>
      <c r="I204" s="11">
        <f t="shared" si="0"/>
        <v>40</v>
      </c>
    </row>
    <row r="205" spans="1:11" x14ac:dyDescent="0.25">
      <c r="C205" s="1">
        <v>7</v>
      </c>
      <c r="D205" s="1">
        <v>1</v>
      </c>
      <c r="E205" s="1">
        <v>10</v>
      </c>
      <c r="F205" s="1">
        <v>6</v>
      </c>
      <c r="G205" s="1">
        <v>163</v>
      </c>
      <c r="H205" s="1">
        <v>217</v>
      </c>
      <c r="I205" s="1">
        <f t="shared" si="0"/>
        <v>54</v>
      </c>
    </row>
    <row r="206" spans="1:11" x14ac:dyDescent="0.25">
      <c r="C206" s="1">
        <v>7</v>
      </c>
      <c r="D206" s="1">
        <v>1</v>
      </c>
      <c r="E206" s="1">
        <v>10</v>
      </c>
      <c r="F206" s="1">
        <v>7</v>
      </c>
      <c r="G206" s="1">
        <v>217</v>
      </c>
      <c r="H206" s="1">
        <v>260</v>
      </c>
      <c r="I206" s="1">
        <f t="shared" si="0"/>
        <v>43</v>
      </c>
    </row>
    <row r="207" spans="1:11" x14ac:dyDescent="0.25">
      <c r="C207" s="1">
        <v>7</v>
      </c>
      <c r="D207" s="1">
        <v>1</v>
      </c>
      <c r="E207" s="1">
        <v>10</v>
      </c>
      <c r="F207" s="1">
        <v>8</v>
      </c>
      <c r="G207" s="1">
        <v>263</v>
      </c>
      <c r="H207" s="1">
        <v>305</v>
      </c>
      <c r="I207" s="1">
        <f t="shared" si="0"/>
        <v>42</v>
      </c>
    </row>
    <row r="208" spans="1:11" x14ac:dyDescent="0.25">
      <c r="C208" s="1">
        <v>7</v>
      </c>
      <c r="D208" s="1">
        <v>1</v>
      </c>
      <c r="E208" s="1">
        <v>10</v>
      </c>
      <c r="F208" s="1">
        <v>9</v>
      </c>
      <c r="G208" s="1">
        <v>307</v>
      </c>
      <c r="H208" s="1">
        <v>340</v>
      </c>
      <c r="I208" s="1">
        <f t="shared" si="0"/>
        <v>33</v>
      </c>
    </row>
    <row r="209" spans="1:11" x14ac:dyDescent="0.25">
      <c r="C209" s="1">
        <v>7</v>
      </c>
      <c r="D209" s="1">
        <v>1</v>
      </c>
      <c r="E209" s="1">
        <v>10</v>
      </c>
      <c r="F209" s="1">
        <v>10</v>
      </c>
      <c r="G209" s="1">
        <v>345</v>
      </c>
      <c r="H209" s="1">
        <v>392</v>
      </c>
      <c r="I209" s="1">
        <f t="shared" si="0"/>
        <v>47</v>
      </c>
    </row>
    <row r="210" spans="1:11" x14ac:dyDescent="0.25">
      <c r="C210" s="1">
        <v>7</v>
      </c>
      <c r="D210" s="1">
        <v>1</v>
      </c>
      <c r="E210" s="1">
        <v>10</v>
      </c>
      <c r="F210" s="1">
        <v>11</v>
      </c>
      <c r="G210" s="1">
        <v>392</v>
      </c>
      <c r="H210" s="1">
        <v>446</v>
      </c>
      <c r="I210" s="1">
        <f t="shared" si="0"/>
        <v>54</v>
      </c>
    </row>
    <row r="211" spans="1:11" x14ac:dyDescent="0.25">
      <c r="C211" s="1">
        <v>7</v>
      </c>
      <c r="D211" s="1">
        <v>1</v>
      </c>
      <c r="E211" s="1">
        <v>10</v>
      </c>
      <c r="F211" s="1">
        <v>12</v>
      </c>
      <c r="G211" s="1">
        <v>449</v>
      </c>
      <c r="H211" s="1">
        <v>494</v>
      </c>
      <c r="I211" s="1">
        <f t="shared" si="0"/>
        <v>45</v>
      </c>
    </row>
    <row r="212" spans="1:11" x14ac:dyDescent="0.25">
      <c r="C212" s="1">
        <v>7</v>
      </c>
      <c r="D212" s="1">
        <v>1</v>
      </c>
      <c r="E212" s="1">
        <v>10</v>
      </c>
      <c r="F212" s="1">
        <v>13</v>
      </c>
      <c r="G212" s="1">
        <v>494</v>
      </c>
      <c r="H212" s="1">
        <v>539</v>
      </c>
      <c r="I212" s="1">
        <f t="shared" si="0"/>
        <v>45</v>
      </c>
    </row>
    <row r="213" spans="1:11" x14ac:dyDescent="0.25">
      <c r="C213" s="1">
        <v>7</v>
      </c>
      <c r="D213" s="1">
        <v>1</v>
      </c>
      <c r="E213" s="1">
        <v>10</v>
      </c>
      <c r="F213" s="1">
        <v>14</v>
      </c>
      <c r="G213" s="1">
        <v>539</v>
      </c>
      <c r="H213" s="1">
        <v>585</v>
      </c>
      <c r="I213" s="1">
        <f t="shared" si="0"/>
        <v>46</v>
      </c>
    </row>
    <row r="214" spans="1:11" x14ac:dyDescent="0.25">
      <c r="C214" s="1">
        <v>7</v>
      </c>
      <c r="D214" s="1">
        <v>1</v>
      </c>
      <c r="E214" s="1">
        <v>10</v>
      </c>
      <c r="F214" s="1">
        <v>15</v>
      </c>
      <c r="G214" s="1">
        <v>585</v>
      </c>
      <c r="H214" s="1">
        <v>628</v>
      </c>
      <c r="I214" s="1">
        <f t="shared" si="0"/>
        <v>43</v>
      </c>
    </row>
    <row r="215" spans="1:11" x14ac:dyDescent="0.25">
      <c r="C215" s="1">
        <v>7</v>
      </c>
      <c r="D215" s="1">
        <v>1</v>
      </c>
      <c r="E215" s="1">
        <v>10</v>
      </c>
      <c r="F215" s="1">
        <v>16</v>
      </c>
      <c r="G215" s="1">
        <v>628</v>
      </c>
      <c r="H215" s="1">
        <v>664</v>
      </c>
      <c r="I215" s="1">
        <f t="shared" si="0"/>
        <v>36</v>
      </c>
    </row>
    <row r="216" spans="1:11" x14ac:dyDescent="0.25">
      <c r="C216" s="1">
        <v>7</v>
      </c>
      <c r="D216" s="1">
        <v>1</v>
      </c>
      <c r="E216" s="1">
        <v>10</v>
      </c>
      <c r="F216" s="1">
        <v>17</v>
      </c>
      <c r="G216" s="1">
        <v>664</v>
      </c>
      <c r="H216" s="1">
        <v>696</v>
      </c>
      <c r="I216" s="1">
        <f t="shared" si="0"/>
        <v>32</v>
      </c>
    </row>
    <row r="217" spans="1:11" x14ac:dyDescent="0.25">
      <c r="C217" s="1">
        <v>7</v>
      </c>
      <c r="D217" s="1">
        <v>1</v>
      </c>
      <c r="E217" s="1">
        <v>10</v>
      </c>
      <c r="F217" s="1">
        <v>18</v>
      </c>
      <c r="G217" s="1">
        <v>698</v>
      </c>
      <c r="H217" s="1">
        <v>740</v>
      </c>
      <c r="I217" s="1">
        <f t="shared" si="0"/>
        <v>42</v>
      </c>
    </row>
    <row r="218" spans="1:11" x14ac:dyDescent="0.25">
      <c r="A218" s="5">
        <v>1</v>
      </c>
      <c r="B218" s="2">
        <v>43811</v>
      </c>
      <c r="C218" s="1">
        <v>9</v>
      </c>
      <c r="D218" s="1">
        <v>1</v>
      </c>
      <c r="E218" s="1">
        <v>1</v>
      </c>
      <c r="F218" s="1">
        <v>1</v>
      </c>
      <c r="G218" s="1">
        <v>17</v>
      </c>
      <c r="H218" s="1">
        <v>57</v>
      </c>
      <c r="I218" s="1">
        <f t="shared" si="0"/>
        <v>40</v>
      </c>
    </row>
    <row r="219" spans="1:11" x14ac:dyDescent="0.25">
      <c r="C219" s="1">
        <v>9</v>
      </c>
      <c r="D219" s="1">
        <v>1</v>
      </c>
      <c r="E219" s="1">
        <v>1</v>
      </c>
      <c r="F219" s="1">
        <v>2</v>
      </c>
      <c r="G219" s="1">
        <v>57</v>
      </c>
      <c r="H219" s="1">
        <v>91</v>
      </c>
      <c r="I219" s="1">
        <f t="shared" si="0"/>
        <v>34</v>
      </c>
    </row>
    <row r="220" spans="1:11" x14ac:dyDescent="0.25">
      <c r="C220" s="1">
        <v>9</v>
      </c>
      <c r="D220" s="1">
        <v>1</v>
      </c>
      <c r="E220" s="1">
        <v>1</v>
      </c>
      <c r="F220" s="1">
        <v>3</v>
      </c>
      <c r="G220" s="1">
        <v>91</v>
      </c>
      <c r="H220" s="1">
        <v>93</v>
      </c>
      <c r="I220" s="1">
        <f t="shared" si="0"/>
        <v>2</v>
      </c>
    </row>
    <row r="221" spans="1:11" x14ac:dyDescent="0.25">
      <c r="C221" s="1">
        <v>9</v>
      </c>
      <c r="D221" s="1">
        <v>1</v>
      </c>
      <c r="E221" s="1">
        <v>1</v>
      </c>
      <c r="F221" s="1">
        <v>4</v>
      </c>
      <c r="G221" s="1">
        <v>93</v>
      </c>
      <c r="H221" s="1">
        <v>128</v>
      </c>
      <c r="I221" s="1">
        <f t="shared" si="0"/>
        <v>35</v>
      </c>
    </row>
    <row r="222" spans="1:11" x14ac:dyDescent="0.25">
      <c r="C222" s="1">
        <v>9</v>
      </c>
      <c r="D222" s="1">
        <v>1</v>
      </c>
      <c r="E222" s="1">
        <v>10</v>
      </c>
      <c r="F222" s="1">
        <v>5</v>
      </c>
      <c r="G222" s="1">
        <v>128</v>
      </c>
      <c r="H222" s="1">
        <v>147</v>
      </c>
      <c r="I222" s="1">
        <f t="shared" si="0"/>
        <v>19</v>
      </c>
      <c r="J222" s="6">
        <f>(I222+I223+I224+I235+I234+I233+I229+I228+I227)/9</f>
        <v>29.222222222222221</v>
      </c>
      <c r="K222" s="6">
        <f>AVERAGE(I222:I235)</f>
        <v>29.214285714285715</v>
      </c>
    </row>
    <row r="223" spans="1:11" x14ac:dyDescent="0.25">
      <c r="C223" s="1">
        <v>9</v>
      </c>
      <c r="D223" s="1">
        <v>1</v>
      </c>
      <c r="E223" s="1">
        <v>10</v>
      </c>
      <c r="F223" s="1">
        <v>6</v>
      </c>
      <c r="G223" s="1">
        <v>148</v>
      </c>
      <c r="H223" s="1">
        <v>166</v>
      </c>
      <c r="I223" s="1">
        <f t="shared" si="0"/>
        <v>18</v>
      </c>
    </row>
    <row r="224" spans="1:11" x14ac:dyDescent="0.25">
      <c r="C224" s="1">
        <v>9</v>
      </c>
      <c r="D224" s="1">
        <v>1</v>
      </c>
      <c r="E224" s="1">
        <v>10</v>
      </c>
      <c r="F224" s="1">
        <v>7</v>
      </c>
      <c r="G224" s="1">
        <v>166</v>
      </c>
      <c r="H224" s="1">
        <v>202</v>
      </c>
      <c r="I224" s="1">
        <f t="shared" si="0"/>
        <v>36</v>
      </c>
    </row>
    <row r="225" spans="1:11" x14ac:dyDescent="0.25">
      <c r="C225" s="1">
        <v>9</v>
      </c>
      <c r="D225" s="1">
        <v>1</v>
      </c>
      <c r="E225" s="1">
        <v>10</v>
      </c>
      <c r="F225" s="1">
        <v>8</v>
      </c>
      <c r="G225" s="1">
        <v>202</v>
      </c>
      <c r="H225" s="1">
        <v>217</v>
      </c>
      <c r="I225" s="1">
        <f t="shared" si="0"/>
        <v>15</v>
      </c>
    </row>
    <row r="226" spans="1:11" x14ac:dyDescent="0.25">
      <c r="C226" s="1">
        <v>9</v>
      </c>
      <c r="D226" s="1">
        <v>1</v>
      </c>
      <c r="E226" s="1">
        <v>10</v>
      </c>
      <c r="F226" s="1">
        <v>9</v>
      </c>
      <c r="G226" s="1">
        <v>217</v>
      </c>
      <c r="H226" s="1">
        <v>241</v>
      </c>
      <c r="I226" s="1">
        <f t="shared" si="0"/>
        <v>24</v>
      </c>
    </row>
    <row r="227" spans="1:11" x14ac:dyDescent="0.25">
      <c r="C227" s="1">
        <v>9</v>
      </c>
      <c r="D227" s="1">
        <v>1</v>
      </c>
      <c r="E227" s="1">
        <v>10</v>
      </c>
      <c r="F227" s="1">
        <v>10</v>
      </c>
      <c r="G227" s="1">
        <v>241</v>
      </c>
      <c r="H227" s="1">
        <v>277</v>
      </c>
      <c r="I227" s="1">
        <f t="shared" si="0"/>
        <v>36</v>
      </c>
    </row>
    <row r="228" spans="1:11" x14ac:dyDescent="0.25">
      <c r="C228" s="1">
        <v>9</v>
      </c>
      <c r="D228" s="1">
        <v>1</v>
      </c>
      <c r="E228" s="1">
        <v>10</v>
      </c>
      <c r="F228" s="1">
        <v>11</v>
      </c>
      <c r="G228" s="1">
        <v>277</v>
      </c>
      <c r="H228" s="1">
        <v>296</v>
      </c>
      <c r="I228" s="1">
        <f t="shared" si="0"/>
        <v>19</v>
      </c>
    </row>
    <row r="229" spans="1:11" x14ac:dyDescent="0.25">
      <c r="C229" s="1">
        <v>9</v>
      </c>
      <c r="D229" s="1">
        <v>1</v>
      </c>
      <c r="E229" s="1">
        <v>10</v>
      </c>
      <c r="F229" s="1">
        <v>12</v>
      </c>
      <c r="G229" s="1">
        <v>296</v>
      </c>
      <c r="H229" s="1">
        <v>342</v>
      </c>
      <c r="I229" s="1">
        <f t="shared" si="0"/>
        <v>46</v>
      </c>
    </row>
    <row r="230" spans="1:11" x14ac:dyDescent="0.25">
      <c r="C230" s="1">
        <v>9</v>
      </c>
      <c r="D230" s="1">
        <v>1</v>
      </c>
      <c r="E230" s="1">
        <v>10</v>
      </c>
      <c r="F230" s="1">
        <v>13</v>
      </c>
      <c r="G230" s="1">
        <v>342</v>
      </c>
      <c r="H230" s="1">
        <v>361</v>
      </c>
      <c r="I230" s="1">
        <f t="shared" si="0"/>
        <v>19</v>
      </c>
    </row>
    <row r="231" spans="1:11" x14ac:dyDescent="0.25">
      <c r="C231" s="1">
        <v>9</v>
      </c>
      <c r="D231" s="1">
        <v>1</v>
      </c>
      <c r="E231" s="1">
        <v>10</v>
      </c>
      <c r="F231" s="1">
        <v>14</v>
      </c>
      <c r="G231" s="1">
        <v>361</v>
      </c>
      <c r="H231" s="1">
        <v>404</v>
      </c>
      <c r="I231" s="1">
        <f t="shared" si="0"/>
        <v>43</v>
      </c>
    </row>
    <row r="232" spans="1:11" x14ac:dyDescent="0.25">
      <c r="C232" s="1">
        <v>9</v>
      </c>
      <c r="D232" s="1">
        <v>1</v>
      </c>
      <c r="E232" s="1">
        <v>10</v>
      </c>
      <c r="F232" s="1">
        <v>15</v>
      </c>
      <c r="G232" s="1">
        <v>404</v>
      </c>
      <c r="H232" s="1">
        <v>449</v>
      </c>
      <c r="I232" s="1">
        <f t="shared" si="0"/>
        <v>45</v>
      </c>
    </row>
    <row r="233" spans="1:11" x14ac:dyDescent="0.25">
      <c r="C233" s="1">
        <v>9</v>
      </c>
      <c r="D233" s="1">
        <v>1</v>
      </c>
      <c r="E233" s="1">
        <v>10</v>
      </c>
      <c r="F233" s="1">
        <v>16</v>
      </c>
      <c r="G233" s="1">
        <v>449</v>
      </c>
      <c r="H233" s="1">
        <v>475</v>
      </c>
      <c r="I233" s="1">
        <f t="shared" si="0"/>
        <v>26</v>
      </c>
    </row>
    <row r="234" spans="1:11" x14ac:dyDescent="0.25">
      <c r="C234" s="1">
        <v>9</v>
      </c>
      <c r="D234" s="1">
        <v>1</v>
      </c>
      <c r="E234" s="1">
        <v>10</v>
      </c>
      <c r="F234" s="1">
        <v>17</v>
      </c>
      <c r="G234" s="1">
        <v>479</v>
      </c>
      <c r="H234" s="1">
        <v>508</v>
      </c>
      <c r="I234" s="1">
        <f t="shared" si="0"/>
        <v>29</v>
      </c>
    </row>
    <row r="235" spans="1:11" x14ac:dyDescent="0.25">
      <c r="C235" s="1">
        <v>9</v>
      </c>
      <c r="D235" s="1">
        <v>1</v>
      </c>
      <c r="E235" s="1">
        <v>10</v>
      </c>
      <c r="F235" s="1">
        <v>18</v>
      </c>
      <c r="G235" s="1">
        <v>508</v>
      </c>
      <c r="H235" s="1">
        <v>542</v>
      </c>
      <c r="I235" s="1">
        <f t="shared" si="0"/>
        <v>34</v>
      </c>
    </row>
    <row r="236" spans="1:11" x14ac:dyDescent="0.25">
      <c r="A236" s="5">
        <v>1</v>
      </c>
      <c r="B236" s="2">
        <v>43811</v>
      </c>
      <c r="C236" s="1">
        <v>10</v>
      </c>
      <c r="D236" s="1">
        <v>2</v>
      </c>
      <c r="E236" s="1">
        <v>1</v>
      </c>
      <c r="F236" s="1">
        <v>1</v>
      </c>
      <c r="G236" s="1">
        <v>0</v>
      </c>
      <c r="H236" s="1">
        <v>22</v>
      </c>
      <c r="I236" s="1">
        <f t="shared" si="0"/>
        <v>22</v>
      </c>
    </row>
    <row r="237" spans="1:11" x14ac:dyDescent="0.25">
      <c r="C237" s="1">
        <v>10</v>
      </c>
      <c r="D237" s="1">
        <v>2</v>
      </c>
      <c r="E237" s="1">
        <v>1</v>
      </c>
      <c r="F237" s="1">
        <v>2</v>
      </c>
      <c r="G237" s="1">
        <v>22</v>
      </c>
      <c r="H237" s="1">
        <v>25</v>
      </c>
      <c r="I237" s="1">
        <f t="shared" si="0"/>
        <v>3</v>
      </c>
    </row>
    <row r="238" spans="1:11" x14ac:dyDescent="0.25">
      <c r="C238" s="1">
        <v>10</v>
      </c>
      <c r="D238" s="1">
        <v>2</v>
      </c>
      <c r="E238" s="1">
        <v>1</v>
      </c>
      <c r="F238" s="1">
        <v>3</v>
      </c>
      <c r="G238" s="1">
        <v>25</v>
      </c>
      <c r="H238" s="1">
        <v>28</v>
      </c>
      <c r="I238" s="1">
        <f t="shared" si="0"/>
        <v>3</v>
      </c>
    </row>
    <row r="239" spans="1:11" x14ac:dyDescent="0.25">
      <c r="C239" s="1">
        <v>10</v>
      </c>
      <c r="D239" s="1">
        <v>2</v>
      </c>
      <c r="E239" s="1">
        <v>1</v>
      </c>
      <c r="F239" s="1">
        <v>4</v>
      </c>
      <c r="G239" s="1">
        <v>28</v>
      </c>
      <c r="H239" s="1">
        <v>29</v>
      </c>
      <c r="I239" s="1">
        <f t="shared" si="0"/>
        <v>1</v>
      </c>
    </row>
    <row r="240" spans="1:11" x14ac:dyDescent="0.25">
      <c r="C240" s="1">
        <v>10</v>
      </c>
      <c r="D240" s="1">
        <v>2</v>
      </c>
      <c r="E240" s="1">
        <v>10</v>
      </c>
      <c r="F240" s="1">
        <v>5</v>
      </c>
      <c r="G240" s="1">
        <v>29</v>
      </c>
      <c r="H240" s="1">
        <v>65</v>
      </c>
      <c r="I240" s="1">
        <f t="shared" si="0"/>
        <v>36</v>
      </c>
      <c r="J240" s="6">
        <f>(I240+I241+I242+I249+I248+I247+I245+I244+I246)/9</f>
        <v>29.888888888888889</v>
      </c>
      <c r="K240" s="6">
        <f>AVERAGE(I240:I249)</f>
        <v>30.9</v>
      </c>
    </row>
    <row r="241" spans="1:11" x14ac:dyDescent="0.25">
      <c r="C241" s="1">
        <v>10</v>
      </c>
      <c r="D241" s="1">
        <v>2</v>
      </c>
      <c r="E241" s="1">
        <v>10</v>
      </c>
      <c r="F241" s="1">
        <v>6</v>
      </c>
      <c r="G241" s="1">
        <v>65</v>
      </c>
      <c r="H241" s="1">
        <v>69</v>
      </c>
      <c r="I241" s="1">
        <f t="shared" si="0"/>
        <v>4</v>
      </c>
    </row>
    <row r="242" spans="1:11" x14ac:dyDescent="0.25">
      <c r="C242" s="1">
        <v>10</v>
      </c>
      <c r="D242" s="1">
        <v>2</v>
      </c>
      <c r="E242" s="1">
        <v>10</v>
      </c>
      <c r="F242" s="1">
        <v>7</v>
      </c>
      <c r="G242" s="1">
        <v>69</v>
      </c>
      <c r="H242" s="1">
        <v>93</v>
      </c>
      <c r="I242" s="1">
        <f t="shared" si="0"/>
        <v>24</v>
      </c>
    </row>
    <row r="243" spans="1:11" x14ac:dyDescent="0.25">
      <c r="C243" s="1">
        <v>10</v>
      </c>
      <c r="D243" s="1">
        <v>2</v>
      </c>
      <c r="E243" s="1">
        <v>10</v>
      </c>
      <c r="F243" s="1">
        <v>8</v>
      </c>
      <c r="G243" s="1">
        <v>93</v>
      </c>
      <c r="H243" s="1">
        <v>133</v>
      </c>
      <c r="I243" s="1">
        <f t="shared" si="0"/>
        <v>40</v>
      </c>
    </row>
    <row r="244" spans="1:11" x14ac:dyDescent="0.25">
      <c r="C244" s="1">
        <v>10</v>
      </c>
      <c r="D244" s="1">
        <v>2</v>
      </c>
      <c r="E244" s="1">
        <v>10</v>
      </c>
      <c r="F244" s="1">
        <v>9</v>
      </c>
      <c r="G244" s="1">
        <v>133</v>
      </c>
      <c r="H244" s="1">
        <v>168</v>
      </c>
      <c r="I244" s="1">
        <f t="shared" si="0"/>
        <v>35</v>
      </c>
    </row>
    <row r="245" spans="1:11" x14ac:dyDescent="0.25">
      <c r="C245" s="1">
        <v>10</v>
      </c>
      <c r="D245" s="1">
        <v>2</v>
      </c>
      <c r="E245" s="1">
        <v>10</v>
      </c>
      <c r="F245" s="1">
        <v>10</v>
      </c>
      <c r="G245" s="1">
        <v>168</v>
      </c>
      <c r="H245" s="1">
        <v>211</v>
      </c>
      <c r="I245" s="1">
        <f t="shared" si="0"/>
        <v>43</v>
      </c>
    </row>
    <row r="246" spans="1:11" x14ac:dyDescent="0.25">
      <c r="C246" s="1">
        <v>10</v>
      </c>
      <c r="D246" s="1">
        <v>2</v>
      </c>
      <c r="E246" s="1">
        <v>10</v>
      </c>
      <c r="F246" s="1">
        <v>11</v>
      </c>
      <c r="G246" s="1">
        <v>211</v>
      </c>
      <c r="H246" s="1">
        <v>255</v>
      </c>
      <c r="I246" s="1">
        <f t="shared" si="0"/>
        <v>44</v>
      </c>
    </row>
    <row r="247" spans="1:11" x14ac:dyDescent="0.25">
      <c r="C247" s="1">
        <v>10</v>
      </c>
      <c r="D247" s="1">
        <v>2</v>
      </c>
      <c r="E247" s="1">
        <v>10</v>
      </c>
      <c r="F247" s="1">
        <v>12</v>
      </c>
      <c r="G247" s="1">
        <v>256</v>
      </c>
      <c r="H247" s="1">
        <v>289</v>
      </c>
      <c r="I247" s="1">
        <f t="shared" si="0"/>
        <v>33</v>
      </c>
    </row>
    <row r="248" spans="1:11" x14ac:dyDescent="0.25">
      <c r="C248" s="1">
        <v>10</v>
      </c>
      <c r="D248" s="1">
        <v>2</v>
      </c>
      <c r="E248" s="1">
        <v>10</v>
      </c>
      <c r="F248" s="1">
        <v>13</v>
      </c>
      <c r="G248" s="1">
        <v>289</v>
      </c>
      <c r="H248" s="1">
        <v>315</v>
      </c>
      <c r="I248" s="1">
        <f t="shared" si="0"/>
        <v>26</v>
      </c>
    </row>
    <row r="249" spans="1:11" x14ac:dyDescent="0.25">
      <c r="C249" s="1">
        <v>10</v>
      </c>
      <c r="D249" s="1">
        <v>2</v>
      </c>
      <c r="E249" s="1">
        <v>10</v>
      </c>
      <c r="F249" s="1">
        <v>14</v>
      </c>
      <c r="G249" s="1">
        <v>317</v>
      </c>
      <c r="H249" s="1">
        <v>341</v>
      </c>
      <c r="I249" s="1">
        <f t="shared" si="0"/>
        <v>24</v>
      </c>
    </row>
    <row r="250" spans="1:11" x14ac:dyDescent="0.25">
      <c r="A250" s="5">
        <v>1</v>
      </c>
      <c r="B250" s="1" t="s">
        <v>11</v>
      </c>
      <c r="C250" s="1">
        <v>11</v>
      </c>
      <c r="D250" s="1">
        <v>1</v>
      </c>
      <c r="E250" s="1">
        <v>1</v>
      </c>
      <c r="F250" s="1">
        <v>1</v>
      </c>
      <c r="G250" s="1">
        <v>36</v>
      </c>
      <c r="H250" s="1">
        <v>47</v>
      </c>
      <c r="I250" s="1">
        <f t="shared" si="0"/>
        <v>11</v>
      </c>
    </row>
    <row r="251" spans="1:11" x14ac:dyDescent="0.25">
      <c r="C251" s="1">
        <v>11</v>
      </c>
      <c r="D251" s="1">
        <v>1</v>
      </c>
      <c r="E251" s="1">
        <v>1</v>
      </c>
      <c r="F251" s="1">
        <v>2</v>
      </c>
      <c r="G251" s="1">
        <v>47</v>
      </c>
      <c r="H251" s="1">
        <v>52</v>
      </c>
      <c r="I251" s="1">
        <f t="shared" si="0"/>
        <v>5</v>
      </c>
    </row>
    <row r="252" spans="1:11" x14ac:dyDescent="0.25">
      <c r="C252" s="1">
        <v>11</v>
      </c>
      <c r="D252" s="1">
        <v>1</v>
      </c>
      <c r="E252" s="1">
        <v>1</v>
      </c>
      <c r="F252" s="1">
        <v>3</v>
      </c>
      <c r="G252" s="1">
        <v>52</v>
      </c>
      <c r="H252" s="1">
        <v>52</v>
      </c>
      <c r="I252" s="1">
        <f t="shared" si="0"/>
        <v>0</v>
      </c>
    </row>
    <row r="253" spans="1:11" x14ac:dyDescent="0.25">
      <c r="C253" s="1">
        <v>11</v>
      </c>
      <c r="D253" s="1">
        <v>1</v>
      </c>
      <c r="E253" s="1">
        <v>1</v>
      </c>
      <c r="F253" s="1">
        <v>4</v>
      </c>
      <c r="G253" s="1">
        <v>52</v>
      </c>
      <c r="H253" s="1">
        <v>52</v>
      </c>
      <c r="I253" s="1">
        <f t="shared" si="0"/>
        <v>0</v>
      </c>
    </row>
    <row r="254" spans="1:11" x14ac:dyDescent="0.25">
      <c r="C254" s="1">
        <v>11</v>
      </c>
      <c r="D254" s="1">
        <v>1</v>
      </c>
      <c r="E254" s="1">
        <v>10</v>
      </c>
      <c r="F254" s="1">
        <v>5</v>
      </c>
      <c r="G254" s="1">
        <v>52</v>
      </c>
      <c r="H254" s="1">
        <v>97</v>
      </c>
      <c r="I254" s="1">
        <f t="shared" si="0"/>
        <v>45</v>
      </c>
      <c r="J254" s="6">
        <f>(I254+I255+I256+I267+I266+I265+I261+I260+I262)/9</f>
        <v>34.444444444444443</v>
      </c>
      <c r="K254" s="6">
        <f>AVERAGE(I254:I267)</f>
        <v>35.357142857142854</v>
      </c>
    </row>
    <row r="255" spans="1:11" x14ac:dyDescent="0.25">
      <c r="C255" s="1">
        <v>11</v>
      </c>
      <c r="D255" s="1">
        <v>1</v>
      </c>
      <c r="E255" s="1">
        <v>10</v>
      </c>
      <c r="F255" s="1">
        <v>6</v>
      </c>
      <c r="G255" s="1">
        <v>97</v>
      </c>
      <c r="H255" s="1">
        <v>122</v>
      </c>
      <c r="I255" s="1">
        <f t="shared" si="0"/>
        <v>25</v>
      </c>
    </row>
    <row r="256" spans="1:11" x14ac:dyDescent="0.25">
      <c r="C256" s="1">
        <v>11</v>
      </c>
      <c r="D256" s="1">
        <v>1</v>
      </c>
      <c r="E256" s="1">
        <v>10</v>
      </c>
      <c r="F256" s="1">
        <v>7</v>
      </c>
      <c r="G256" s="1">
        <v>124</v>
      </c>
      <c r="H256" s="1">
        <v>174</v>
      </c>
      <c r="I256" s="1">
        <f t="shared" si="0"/>
        <v>50</v>
      </c>
    </row>
    <row r="257" spans="1:11" x14ac:dyDescent="0.25">
      <c r="C257" s="1">
        <v>11</v>
      </c>
      <c r="D257" s="1">
        <v>1</v>
      </c>
      <c r="E257" s="1">
        <v>10</v>
      </c>
      <c r="F257" s="1">
        <v>8</v>
      </c>
      <c r="G257" s="1">
        <v>177</v>
      </c>
      <c r="H257" s="1">
        <v>205</v>
      </c>
      <c r="I257" s="1">
        <f t="shared" si="0"/>
        <v>28</v>
      </c>
    </row>
    <row r="258" spans="1:11" x14ac:dyDescent="0.25">
      <c r="C258" s="1">
        <v>11</v>
      </c>
      <c r="D258" s="1">
        <v>1</v>
      </c>
      <c r="E258" s="1">
        <v>10</v>
      </c>
      <c r="F258" s="1">
        <v>9</v>
      </c>
      <c r="G258" s="1">
        <v>209</v>
      </c>
      <c r="H258" s="1">
        <v>259</v>
      </c>
      <c r="I258" s="1">
        <f t="shared" ref="I258:I512" si="1">H258-G258</f>
        <v>50</v>
      </c>
    </row>
    <row r="259" spans="1:11" x14ac:dyDescent="0.25">
      <c r="C259" s="1">
        <v>11</v>
      </c>
      <c r="D259" s="1">
        <v>1</v>
      </c>
      <c r="E259" s="1">
        <v>10</v>
      </c>
      <c r="F259" s="1">
        <v>10</v>
      </c>
      <c r="G259" s="1">
        <v>263</v>
      </c>
      <c r="H259" s="1">
        <v>309</v>
      </c>
      <c r="I259" s="1">
        <f t="shared" si="1"/>
        <v>46</v>
      </c>
    </row>
    <row r="260" spans="1:11" x14ac:dyDescent="0.25">
      <c r="C260" s="1">
        <v>11</v>
      </c>
      <c r="D260" s="1">
        <v>1</v>
      </c>
      <c r="E260" s="1">
        <v>10</v>
      </c>
      <c r="F260" s="1">
        <v>11</v>
      </c>
      <c r="G260" s="1">
        <v>311</v>
      </c>
      <c r="H260" s="1">
        <v>346</v>
      </c>
      <c r="I260" s="1">
        <f t="shared" si="1"/>
        <v>35</v>
      </c>
    </row>
    <row r="261" spans="1:11" x14ac:dyDescent="0.25">
      <c r="C261" s="1">
        <v>11</v>
      </c>
      <c r="D261" s="1">
        <v>1</v>
      </c>
      <c r="E261" s="1">
        <v>10</v>
      </c>
      <c r="F261" s="1">
        <v>12</v>
      </c>
      <c r="G261" s="1">
        <v>350</v>
      </c>
      <c r="H261" s="1">
        <v>370</v>
      </c>
      <c r="I261" s="1">
        <f t="shared" si="1"/>
        <v>20</v>
      </c>
    </row>
    <row r="262" spans="1:11" x14ac:dyDescent="0.25">
      <c r="C262" s="1">
        <v>11</v>
      </c>
      <c r="D262" s="1">
        <v>1</v>
      </c>
      <c r="E262" s="1">
        <v>10</v>
      </c>
      <c r="F262" s="1">
        <v>13</v>
      </c>
      <c r="G262" s="1">
        <v>371</v>
      </c>
      <c r="H262" s="1">
        <v>422</v>
      </c>
      <c r="I262" s="1">
        <f t="shared" si="1"/>
        <v>51</v>
      </c>
    </row>
    <row r="263" spans="1:11" x14ac:dyDescent="0.25">
      <c r="C263" s="1">
        <v>11</v>
      </c>
      <c r="D263" s="1">
        <v>1</v>
      </c>
      <c r="E263" s="1">
        <v>10</v>
      </c>
      <c r="F263" s="1">
        <v>14</v>
      </c>
      <c r="G263" s="1">
        <v>422</v>
      </c>
      <c r="H263" s="1">
        <v>450</v>
      </c>
      <c r="I263" s="1">
        <f t="shared" si="1"/>
        <v>28</v>
      </c>
    </row>
    <row r="264" spans="1:11" x14ac:dyDescent="0.25">
      <c r="C264" s="1">
        <v>11</v>
      </c>
      <c r="D264" s="1">
        <v>1</v>
      </c>
      <c r="E264" s="1">
        <v>10</v>
      </c>
      <c r="F264" s="1">
        <v>15</v>
      </c>
      <c r="G264" s="1">
        <v>460</v>
      </c>
      <c r="H264" s="1">
        <v>493</v>
      </c>
      <c r="I264" s="1">
        <f t="shared" si="1"/>
        <v>33</v>
      </c>
    </row>
    <row r="265" spans="1:11" x14ac:dyDescent="0.25">
      <c r="C265" s="1">
        <v>11</v>
      </c>
      <c r="D265" s="1">
        <v>1</v>
      </c>
      <c r="E265" s="1">
        <v>10</v>
      </c>
      <c r="F265" s="1">
        <v>16</v>
      </c>
      <c r="G265" s="1">
        <v>499</v>
      </c>
      <c r="H265" s="1">
        <v>528</v>
      </c>
      <c r="I265" s="1">
        <f t="shared" si="1"/>
        <v>29</v>
      </c>
    </row>
    <row r="266" spans="1:11" x14ac:dyDescent="0.25">
      <c r="C266" s="1">
        <v>11</v>
      </c>
      <c r="D266" s="1">
        <v>1</v>
      </c>
      <c r="E266" s="1">
        <v>10</v>
      </c>
      <c r="F266" s="1">
        <v>17</v>
      </c>
      <c r="G266" s="1">
        <v>533</v>
      </c>
      <c r="H266" s="1">
        <v>562</v>
      </c>
      <c r="I266" s="1">
        <f t="shared" si="1"/>
        <v>29</v>
      </c>
    </row>
    <row r="267" spans="1:11" x14ac:dyDescent="0.25">
      <c r="C267" s="1">
        <v>11</v>
      </c>
      <c r="D267" s="1">
        <v>1</v>
      </c>
      <c r="E267" s="1">
        <v>10</v>
      </c>
      <c r="F267" s="1">
        <v>18</v>
      </c>
      <c r="G267" s="1">
        <v>564</v>
      </c>
      <c r="H267" s="1">
        <v>590</v>
      </c>
      <c r="I267" s="1">
        <f t="shared" si="1"/>
        <v>26</v>
      </c>
    </row>
    <row r="268" spans="1:11" x14ac:dyDescent="0.25">
      <c r="A268" s="5">
        <v>2</v>
      </c>
      <c r="B268" s="2">
        <v>43816</v>
      </c>
      <c r="C268" s="1">
        <v>9</v>
      </c>
      <c r="D268" s="1">
        <v>1</v>
      </c>
      <c r="E268" s="1">
        <v>1</v>
      </c>
      <c r="F268" s="1">
        <v>1</v>
      </c>
      <c r="G268" s="1">
        <v>3</v>
      </c>
      <c r="H268" s="1">
        <v>11</v>
      </c>
      <c r="I268" s="1">
        <f t="shared" si="1"/>
        <v>8</v>
      </c>
      <c r="J268" s="6">
        <f>(I272+I273+I274+I285+I284+I283+I278+I279+I280)/9</f>
        <v>48.111111111111114</v>
      </c>
      <c r="K268" s="6">
        <f>AVERAGE(I272:I285)</f>
        <v>47.285714285714285</v>
      </c>
    </row>
    <row r="269" spans="1:11" x14ac:dyDescent="0.25">
      <c r="C269" s="1">
        <v>9</v>
      </c>
      <c r="D269" s="1">
        <v>1</v>
      </c>
      <c r="E269" s="1">
        <v>1</v>
      </c>
      <c r="F269" s="1">
        <v>2</v>
      </c>
      <c r="G269" s="1">
        <v>11</v>
      </c>
      <c r="H269" s="1">
        <v>16</v>
      </c>
      <c r="I269" s="1">
        <f t="shared" si="1"/>
        <v>5</v>
      </c>
    </row>
    <row r="270" spans="1:11" x14ac:dyDescent="0.25">
      <c r="C270" s="1">
        <v>9</v>
      </c>
      <c r="D270" s="1">
        <v>1</v>
      </c>
      <c r="E270" s="1">
        <v>1</v>
      </c>
      <c r="F270" s="1">
        <v>3</v>
      </c>
      <c r="G270" s="1">
        <v>16</v>
      </c>
      <c r="H270" s="1">
        <v>53</v>
      </c>
      <c r="I270" s="1">
        <f t="shared" si="1"/>
        <v>37</v>
      </c>
    </row>
    <row r="271" spans="1:11" x14ac:dyDescent="0.25">
      <c r="C271" s="1">
        <v>9</v>
      </c>
      <c r="D271" s="1">
        <v>1</v>
      </c>
      <c r="E271" s="1">
        <v>1</v>
      </c>
      <c r="F271" s="1">
        <v>4</v>
      </c>
      <c r="G271" s="1">
        <v>53</v>
      </c>
      <c r="H271" s="1">
        <v>79</v>
      </c>
      <c r="I271" s="1">
        <f t="shared" si="1"/>
        <v>26</v>
      </c>
    </row>
    <row r="272" spans="1:11" x14ac:dyDescent="0.25">
      <c r="C272" s="1">
        <v>9</v>
      </c>
      <c r="D272" s="1">
        <v>1</v>
      </c>
      <c r="E272" s="1">
        <v>10</v>
      </c>
      <c r="F272" s="1">
        <v>5</v>
      </c>
      <c r="G272" s="1">
        <v>79</v>
      </c>
      <c r="H272" s="1">
        <v>104</v>
      </c>
      <c r="I272" s="11">
        <f t="shared" si="1"/>
        <v>25</v>
      </c>
    </row>
    <row r="273" spans="1:9" x14ac:dyDescent="0.25">
      <c r="C273" s="1">
        <v>9</v>
      </c>
      <c r="D273" s="1">
        <v>1</v>
      </c>
      <c r="E273" s="1">
        <v>10</v>
      </c>
      <c r="F273" s="1">
        <v>6</v>
      </c>
      <c r="G273" s="1">
        <v>106</v>
      </c>
      <c r="H273" s="1">
        <v>161</v>
      </c>
      <c r="I273" s="1">
        <f t="shared" si="1"/>
        <v>55</v>
      </c>
    </row>
    <row r="274" spans="1:9" x14ac:dyDescent="0.25">
      <c r="C274" s="1">
        <v>9</v>
      </c>
      <c r="D274" s="1">
        <v>1</v>
      </c>
      <c r="E274" s="1">
        <v>10</v>
      </c>
      <c r="F274" s="1">
        <v>7</v>
      </c>
      <c r="G274" s="1">
        <v>161</v>
      </c>
      <c r="H274" s="1">
        <v>225</v>
      </c>
      <c r="I274" s="1">
        <f t="shared" si="1"/>
        <v>64</v>
      </c>
    </row>
    <row r="275" spans="1:9" x14ac:dyDescent="0.25">
      <c r="C275" s="1">
        <v>9</v>
      </c>
      <c r="D275" s="1">
        <v>1</v>
      </c>
      <c r="E275" s="1">
        <v>10</v>
      </c>
      <c r="F275" s="1">
        <v>8</v>
      </c>
      <c r="G275" s="1">
        <v>229</v>
      </c>
      <c r="H275" s="1">
        <v>276</v>
      </c>
      <c r="I275" s="1">
        <f t="shared" si="1"/>
        <v>47</v>
      </c>
    </row>
    <row r="276" spans="1:9" x14ac:dyDescent="0.25">
      <c r="C276" s="1">
        <v>9</v>
      </c>
      <c r="D276" s="1">
        <v>1</v>
      </c>
      <c r="E276" s="1">
        <v>10</v>
      </c>
      <c r="F276" s="1">
        <v>9</v>
      </c>
      <c r="G276" s="1">
        <v>276</v>
      </c>
      <c r="H276" s="1">
        <v>320</v>
      </c>
      <c r="I276" s="1">
        <f t="shared" si="1"/>
        <v>44</v>
      </c>
    </row>
    <row r="277" spans="1:9" x14ac:dyDescent="0.25">
      <c r="C277" s="1">
        <v>9</v>
      </c>
      <c r="D277" s="1">
        <v>1</v>
      </c>
      <c r="E277" s="1">
        <v>10</v>
      </c>
      <c r="F277" s="1">
        <v>10</v>
      </c>
      <c r="G277" s="1">
        <v>326</v>
      </c>
      <c r="H277" s="1">
        <v>382</v>
      </c>
      <c r="I277" s="1">
        <f t="shared" si="1"/>
        <v>56</v>
      </c>
    </row>
    <row r="278" spans="1:9" x14ac:dyDescent="0.25">
      <c r="C278" s="1">
        <v>9</v>
      </c>
      <c r="D278" s="1">
        <v>1</v>
      </c>
      <c r="E278" s="1">
        <v>10</v>
      </c>
      <c r="F278" s="1">
        <v>11</v>
      </c>
      <c r="G278" s="1">
        <v>382</v>
      </c>
      <c r="H278" s="1">
        <v>428</v>
      </c>
      <c r="I278" s="1">
        <f t="shared" si="1"/>
        <v>46</v>
      </c>
    </row>
    <row r="279" spans="1:9" x14ac:dyDescent="0.25">
      <c r="C279" s="1">
        <v>9</v>
      </c>
      <c r="D279" s="1">
        <v>1</v>
      </c>
      <c r="E279" s="1">
        <v>10</v>
      </c>
      <c r="F279" s="1">
        <v>12</v>
      </c>
      <c r="G279" s="1">
        <v>428</v>
      </c>
      <c r="H279" s="1">
        <v>461</v>
      </c>
      <c r="I279" s="1">
        <f t="shared" si="1"/>
        <v>33</v>
      </c>
    </row>
    <row r="280" spans="1:9" x14ac:dyDescent="0.25">
      <c r="C280" s="1">
        <v>9</v>
      </c>
      <c r="D280" s="1">
        <v>1</v>
      </c>
      <c r="E280" s="1">
        <v>10</v>
      </c>
      <c r="F280" s="1">
        <v>13</v>
      </c>
      <c r="G280" s="1">
        <v>466</v>
      </c>
      <c r="H280" s="1">
        <v>512</v>
      </c>
      <c r="I280" s="1">
        <f t="shared" si="1"/>
        <v>46</v>
      </c>
    </row>
    <row r="281" spans="1:9" x14ac:dyDescent="0.25">
      <c r="C281" s="1">
        <v>9</v>
      </c>
      <c r="D281" s="1">
        <v>1</v>
      </c>
      <c r="E281" s="1">
        <v>10</v>
      </c>
      <c r="F281" s="1">
        <v>14</v>
      </c>
      <c r="G281" s="1">
        <v>512</v>
      </c>
      <c r="H281" s="1">
        <v>565</v>
      </c>
      <c r="I281" s="1">
        <f t="shared" si="1"/>
        <v>53</v>
      </c>
    </row>
    <row r="282" spans="1:9" x14ac:dyDescent="0.25">
      <c r="C282" s="1">
        <v>9</v>
      </c>
      <c r="D282" s="1">
        <v>1</v>
      </c>
      <c r="E282" s="1">
        <v>10</v>
      </c>
      <c r="F282" s="1">
        <v>15</v>
      </c>
      <c r="G282" s="1">
        <v>565</v>
      </c>
      <c r="H282" s="1">
        <v>594</v>
      </c>
      <c r="I282" s="1">
        <f t="shared" si="1"/>
        <v>29</v>
      </c>
    </row>
    <row r="283" spans="1:9" x14ac:dyDescent="0.25">
      <c r="C283" s="1">
        <v>9</v>
      </c>
      <c r="D283" s="1">
        <v>1</v>
      </c>
      <c r="E283" s="1">
        <v>10</v>
      </c>
      <c r="F283" s="1">
        <v>16</v>
      </c>
      <c r="G283" s="1">
        <v>594</v>
      </c>
      <c r="H283" s="1">
        <v>631</v>
      </c>
      <c r="I283" s="1">
        <f t="shared" si="1"/>
        <v>37</v>
      </c>
    </row>
    <row r="284" spans="1:9" x14ac:dyDescent="0.25">
      <c r="C284" s="1">
        <v>9</v>
      </c>
      <c r="D284" s="1">
        <v>1</v>
      </c>
      <c r="E284" s="1">
        <v>10</v>
      </c>
      <c r="F284" s="1">
        <v>17</v>
      </c>
      <c r="G284" s="1">
        <v>631</v>
      </c>
      <c r="H284" s="1">
        <v>659</v>
      </c>
      <c r="I284" s="1">
        <f t="shared" si="1"/>
        <v>28</v>
      </c>
    </row>
    <row r="285" spans="1:9" x14ac:dyDescent="0.25">
      <c r="C285" s="1">
        <v>9</v>
      </c>
      <c r="D285" s="1">
        <v>1</v>
      </c>
      <c r="E285" s="1">
        <v>10</v>
      </c>
      <c r="F285" s="1">
        <v>18</v>
      </c>
      <c r="G285" s="1">
        <v>601</v>
      </c>
      <c r="H285" s="1">
        <v>700</v>
      </c>
      <c r="I285" s="1">
        <f t="shared" si="1"/>
        <v>99</v>
      </c>
    </row>
    <row r="286" spans="1:9" x14ac:dyDescent="0.25">
      <c r="A286" s="5">
        <v>2</v>
      </c>
      <c r="B286" s="2">
        <v>43816</v>
      </c>
      <c r="C286" s="3">
        <v>10</v>
      </c>
      <c r="D286" s="3">
        <v>2</v>
      </c>
      <c r="E286" s="3">
        <v>1</v>
      </c>
      <c r="F286" s="3">
        <v>1</v>
      </c>
      <c r="G286" s="3">
        <v>0</v>
      </c>
      <c r="H286" s="3">
        <v>1</v>
      </c>
      <c r="I286" s="3">
        <f t="shared" si="1"/>
        <v>1</v>
      </c>
    </row>
    <row r="287" spans="1:9" x14ac:dyDescent="0.25">
      <c r="C287" s="3">
        <v>10</v>
      </c>
      <c r="D287" s="3">
        <v>2</v>
      </c>
      <c r="E287" s="3">
        <v>1</v>
      </c>
      <c r="F287" s="3">
        <v>2</v>
      </c>
      <c r="G287" s="3">
        <v>1</v>
      </c>
      <c r="H287" s="3">
        <v>1</v>
      </c>
      <c r="I287" s="3">
        <f t="shared" si="1"/>
        <v>0</v>
      </c>
    </row>
    <row r="288" spans="1:9" x14ac:dyDescent="0.25">
      <c r="C288" s="3">
        <v>10</v>
      </c>
      <c r="D288" s="3">
        <v>2</v>
      </c>
      <c r="E288" s="3">
        <v>1</v>
      </c>
      <c r="F288" s="3">
        <v>3</v>
      </c>
      <c r="G288" s="3">
        <v>1</v>
      </c>
      <c r="H288" s="3">
        <v>1</v>
      </c>
      <c r="I288" s="3">
        <f t="shared" si="1"/>
        <v>0</v>
      </c>
    </row>
    <row r="289" spans="1:11" x14ac:dyDescent="0.25">
      <c r="C289" s="3">
        <v>10</v>
      </c>
      <c r="D289" s="3">
        <v>2</v>
      </c>
      <c r="E289" s="3">
        <v>1</v>
      </c>
      <c r="F289" s="3">
        <v>4</v>
      </c>
      <c r="G289" s="3">
        <v>1</v>
      </c>
      <c r="H289" s="3">
        <v>1</v>
      </c>
      <c r="I289" s="3">
        <f t="shared" si="1"/>
        <v>0</v>
      </c>
    </row>
    <row r="290" spans="1:11" x14ac:dyDescent="0.25">
      <c r="A290" s="5">
        <v>2</v>
      </c>
      <c r="B290" s="2">
        <v>43816</v>
      </c>
      <c r="C290" s="1">
        <v>11</v>
      </c>
      <c r="D290" s="1">
        <v>1</v>
      </c>
      <c r="E290" s="1">
        <v>1</v>
      </c>
      <c r="F290" s="1">
        <v>1</v>
      </c>
      <c r="G290" s="1">
        <v>2</v>
      </c>
      <c r="H290" s="1">
        <v>54</v>
      </c>
      <c r="I290" s="1">
        <f t="shared" si="1"/>
        <v>52</v>
      </c>
      <c r="J290" s="6">
        <f>(I294+I295+I296+I307+I306+I305+I300+I301+I302)/9</f>
        <v>48.444444444444443</v>
      </c>
      <c r="K290" s="6">
        <f>AVERAGE(I294:I307)</f>
        <v>46.071428571428569</v>
      </c>
    </row>
    <row r="291" spans="1:11" x14ac:dyDescent="0.25">
      <c r="C291" s="1">
        <v>11</v>
      </c>
      <c r="D291" s="1">
        <v>1</v>
      </c>
      <c r="E291" s="1">
        <v>1</v>
      </c>
      <c r="F291" s="1">
        <v>2</v>
      </c>
      <c r="G291" s="1">
        <v>54</v>
      </c>
      <c r="H291" s="1">
        <v>114</v>
      </c>
      <c r="I291" s="1">
        <f t="shared" si="1"/>
        <v>60</v>
      </c>
    </row>
    <row r="292" spans="1:11" x14ac:dyDescent="0.25">
      <c r="C292" s="1">
        <v>11</v>
      </c>
      <c r="D292" s="1">
        <v>1</v>
      </c>
      <c r="E292" s="1">
        <v>1</v>
      </c>
      <c r="F292" s="1">
        <v>3</v>
      </c>
      <c r="G292" s="1">
        <v>114</v>
      </c>
      <c r="H292" s="1">
        <v>170</v>
      </c>
      <c r="I292" s="1">
        <f t="shared" si="1"/>
        <v>56</v>
      </c>
    </row>
    <row r="293" spans="1:11" x14ac:dyDescent="0.25">
      <c r="C293" s="1">
        <v>11</v>
      </c>
      <c r="D293" s="1">
        <v>1</v>
      </c>
      <c r="E293" s="1">
        <v>1</v>
      </c>
      <c r="F293" s="1">
        <v>4</v>
      </c>
      <c r="G293" s="1">
        <v>172</v>
      </c>
      <c r="H293" s="1">
        <v>200</v>
      </c>
      <c r="I293" s="1">
        <f t="shared" si="1"/>
        <v>28</v>
      </c>
    </row>
    <row r="294" spans="1:11" x14ac:dyDescent="0.25">
      <c r="C294" s="1">
        <v>11</v>
      </c>
      <c r="D294" s="1">
        <v>1</v>
      </c>
      <c r="E294" s="1">
        <v>10</v>
      </c>
      <c r="F294" s="1">
        <v>5</v>
      </c>
      <c r="G294" s="1">
        <v>209</v>
      </c>
      <c r="H294" s="1">
        <v>255</v>
      </c>
      <c r="I294" s="11">
        <f t="shared" si="1"/>
        <v>46</v>
      </c>
    </row>
    <row r="295" spans="1:11" x14ac:dyDescent="0.25">
      <c r="C295" s="1">
        <v>11</v>
      </c>
      <c r="D295" s="1">
        <v>1</v>
      </c>
      <c r="E295" s="1">
        <v>10</v>
      </c>
      <c r="F295" s="1">
        <v>6</v>
      </c>
      <c r="G295" s="1">
        <v>255</v>
      </c>
      <c r="H295" s="1">
        <v>282</v>
      </c>
      <c r="I295" s="1">
        <f t="shared" si="1"/>
        <v>27</v>
      </c>
    </row>
    <row r="296" spans="1:11" x14ac:dyDescent="0.25">
      <c r="C296" s="1">
        <v>11</v>
      </c>
      <c r="D296" s="1">
        <v>1</v>
      </c>
      <c r="E296" s="1">
        <v>10</v>
      </c>
      <c r="F296" s="1">
        <v>7</v>
      </c>
      <c r="G296" s="1">
        <v>282</v>
      </c>
      <c r="H296" s="1">
        <v>339</v>
      </c>
      <c r="I296" s="1">
        <f t="shared" si="1"/>
        <v>57</v>
      </c>
    </row>
    <row r="297" spans="1:11" x14ac:dyDescent="0.25">
      <c r="C297" s="1">
        <v>11</v>
      </c>
      <c r="D297" s="1">
        <v>1</v>
      </c>
      <c r="E297" s="1">
        <v>10</v>
      </c>
      <c r="F297" s="1">
        <v>8</v>
      </c>
      <c r="G297" s="1">
        <v>339</v>
      </c>
      <c r="H297" s="1">
        <v>379</v>
      </c>
      <c r="I297" s="1">
        <f t="shared" si="1"/>
        <v>40</v>
      </c>
    </row>
    <row r="298" spans="1:11" x14ac:dyDescent="0.25">
      <c r="C298" s="1">
        <v>11</v>
      </c>
      <c r="D298" s="1">
        <v>1</v>
      </c>
      <c r="E298" s="1">
        <v>10</v>
      </c>
      <c r="F298" s="1">
        <v>9</v>
      </c>
      <c r="G298" s="1">
        <v>379</v>
      </c>
      <c r="H298" s="1">
        <v>415</v>
      </c>
      <c r="I298" s="1">
        <f t="shared" si="1"/>
        <v>36</v>
      </c>
    </row>
    <row r="299" spans="1:11" x14ac:dyDescent="0.25">
      <c r="C299" s="1">
        <v>11</v>
      </c>
      <c r="D299" s="1">
        <v>1</v>
      </c>
      <c r="E299" s="1">
        <v>10</v>
      </c>
      <c r="F299" s="1">
        <v>10</v>
      </c>
      <c r="G299" s="1">
        <v>418</v>
      </c>
      <c r="H299" s="1">
        <v>439</v>
      </c>
      <c r="I299" s="1">
        <f t="shared" si="1"/>
        <v>21</v>
      </c>
    </row>
    <row r="300" spans="1:11" x14ac:dyDescent="0.25">
      <c r="C300" s="1">
        <v>11</v>
      </c>
      <c r="D300" s="1">
        <v>1</v>
      </c>
      <c r="E300" s="1">
        <v>10</v>
      </c>
      <c r="F300" s="1">
        <v>11</v>
      </c>
      <c r="G300" s="1">
        <v>439</v>
      </c>
      <c r="H300" s="1">
        <v>484</v>
      </c>
      <c r="I300" s="1">
        <f t="shared" si="1"/>
        <v>45</v>
      </c>
    </row>
    <row r="301" spans="1:11" x14ac:dyDescent="0.25">
      <c r="C301" s="1">
        <v>11</v>
      </c>
      <c r="D301" s="1">
        <v>1</v>
      </c>
      <c r="E301" s="1">
        <v>10</v>
      </c>
      <c r="F301" s="1">
        <v>12</v>
      </c>
      <c r="G301" s="1">
        <v>491</v>
      </c>
      <c r="H301" s="1">
        <v>571</v>
      </c>
      <c r="I301" s="1">
        <f t="shared" si="1"/>
        <v>80</v>
      </c>
    </row>
    <row r="302" spans="1:11" x14ac:dyDescent="0.25">
      <c r="C302" s="1">
        <v>11</v>
      </c>
      <c r="D302" s="1">
        <v>1</v>
      </c>
      <c r="E302" s="1">
        <v>10</v>
      </c>
      <c r="F302" s="1">
        <v>13</v>
      </c>
      <c r="G302" s="1">
        <v>511</v>
      </c>
      <c r="H302" s="1">
        <v>557</v>
      </c>
      <c r="I302" s="1">
        <f t="shared" si="1"/>
        <v>46</v>
      </c>
    </row>
    <row r="303" spans="1:11" x14ac:dyDescent="0.25">
      <c r="C303" s="1">
        <v>11</v>
      </c>
      <c r="D303" s="1">
        <v>1</v>
      </c>
      <c r="E303" s="1">
        <v>10</v>
      </c>
      <c r="F303" s="1">
        <v>14</v>
      </c>
      <c r="G303" s="1">
        <v>560</v>
      </c>
      <c r="H303" s="1">
        <v>614</v>
      </c>
      <c r="I303" s="1">
        <f t="shared" si="1"/>
        <v>54</v>
      </c>
    </row>
    <row r="304" spans="1:11" x14ac:dyDescent="0.25">
      <c r="C304" s="1">
        <v>11</v>
      </c>
      <c r="D304" s="1">
        <v>1</v>
      </c>
      <c r="E304" s="1">
        <v>10</v>
      </c>
      <c r="F304" s="1">
        <v>15</v>
      </c>
      <c r="G304" s="1">
        <v>618</v>
      </c>
      <c r="H304" s="1">
        <v>676</v>
      </c>
      <c r="I304" s="1">
        <f>H304-G304</f>
        <v>58</v>
      </c>
    </row>
    <row r="305" spans="1:11" x14ac:dyDescent="0.25">
      <c r="C305" s="1">
        <v>11</v>
      </c>
      <c r="D305" s="1">
        <v>1</v>
      </c>
      <c r="E305" s="1">
        <v>10</v>
      </c>
      <c r="F305" s="1">
        <v>16</v>
      </c>
      <c r="G305" s="1">
        <v>680</v>
      </c>
      <c r="H305" s="1">
        <v>724</v>
      </c>
      <c r="I305" s="1">
        <f t="shared" si="1"/>
        <v>44</v>
      </c>
    </row>
    <row r="306" spans="1:11" x14ac:dyDescent="0.25">
      <c r="C306" s="1">
        <v>11</v>
      </c>
      <c r="D306" s="1">
        <v>1</v>
      </c>
      <c r="E306" s="1">
        <v>10</v>
      </c>
      <c r="F306" s="1">
        <v>17</v>
      </c>
      <c r="G306" s="1">
        <v>724</v>
      </c>
      <c r="H306" s="1">
        <v>764</v>
      </c>
      <c r="I306" s="1">
        <f t="shared" si="1"/>
        <v>40</v>
      </c>
    </row>
    <row r="307" spans="1:11" x14ac:dyDescent="0.25">
      <c r="C307" s="1">
        <v>11</v>
      </c>
      <c r="D307" s="1">
        <v>1</v>
      </c>
      <c r="E307" s="1">
        <v>10</v>
      </c>
      <c r="F307" s="1">
        <v>18</v>
      </c>
      <c r="G307" s="1">
        <v>768</v>
      </c>
      <c r="H307" s="1">
        <v>819</v>
      </c>
      <c r="I307" s="1">
        <f t="shared" si="1"/>
        <v>51</v>
      </c>
    </row>
    <row r="308" spans="1:11" x14ac:dyDescent="0.25">
      <c r="A308" s="5">
        <v>1</v>
      </c>
      <c r="B308" s="2">
        <v>43892</v>
      </c>
      <c r="C308" s="1">
        <v>13</v>
      </c>
      <c r="D308" s="1">
        <v>1</v>
      </c>
      <c r="E308" s="1">
        <v>1</v>
      </c>
      <c r="F308" s="1">
        <v>1</v>
      </c>
      <c r="G308" s="1">
        <v>25</v>
      </c>
      <c r="H308" s="1">
        <v>33</v>
      </c>
      <c r="I308" s="1">
        <f t="shared" si="1"/>
        <v>8</v>
      </c>
    </row>
    <row r="309" spans="1:11" x14ac:dyDescent="0.25">
      <c r="C309" s="1">
        <v>13</v>
      </c>
      <c r="D309" s="1">
        <v>1</v>
      </c>
      <c r="E309" s="1">
        <v>1</v>
      </c>
      <c r="F309" s="1">
        <v>2</v>
      </c>
      <c r="G309" s="1">
        <v>33</v>
      </c>
      <c r="H309" s="1">
        <v>33</v>
      </c>
      <c r="I309" s="1">
        <f t="shared" si="1"/>
        <v>0</v>
      </c>
    </row>
    <row r="310" spans="1:11" x14ac:dyDescent="0.25">
      <c r="C310" s="1">
        <v>13</v>
      </c>
      <c r="D310" s="1">
        <v>1</v>
      </c>
      <c r="E310" s="1">
        <v>1</v>
      </c>
      <c r="F310" s="1">
        <v>3</v>
      </c>
      <c r="G310" s="1">
        <v>33</v>
      </c>
      <c r="H310" s="1">
        <v>75</v>
      </c>
      <c r="I310" s="1">
        <f t="shared" si="1"/>
        <v>42</v>
      </c>
    </row>
    <row r="311" spans="1:11" x14ac:dyDescent="0.25">
      <c r="C311" s="1">
        <v>13</v>
      </c>
      <c r="D311" s="1">
        <v>1</v>
      </c>
      <c r="E311" s="1">
        <v>1</v>
      </c>
      <c r="F311" s="1">
        <v>4</v>
      </c>
      <c r="G311" s="1">
        <v>77</v>
      </c>
      <c r="H311" s="1">
        <v>122</v>
      </c>
      <c r="I311" s="1">
        <f t="shared" si="1"/>
        <v>45</v>
      </c>
    </row>
    <row r="312" spans="1:11" x14ac:dyDescent="0.25">
      <c r="C312" s="1">
        <v>13</v>
      </c>
      <c r="D312" s="1">
        <v>1</v>
      </c>
      <c r="E312" s="1">
        <v>10</v>
      </c>
      <c r="F312" s="1">
        <v>5</v>
      </c>
      <c r="G312" s="1">
        <v>122</v>
      </c>
      <c r="H312" s="1">
        <v>145</v>
      </c>
      <c r="I312" s="1">
        <f t="shared" si="1"/>
        <v>23</v>
      </c>
      <c r="J312" s="6">
        <f>(I312+I313+I314+I332+I331+I330+I321+I322+I323)/9</f>
        <v>14.333333333333334</v>
      </c>
      <c r="K312" s="6">
        <f>AVERAGE(I312:I332)</f>
        <v>16.714285714285715</v>
      </c>
    </row>
    <row r="313" spans="1:11" x14ac:dyDescent="0.25">
      <c r="C313" s="1">
        <v>13</v>
      </c>
      <c r="D313" s="1">
        <v>1</v>
      </c>
      <c r="E313" s="1">
        <v>10</v>
      </c>
      <c r="F313" s="1">
        <v>6</v>
      </c>
      <c r="G313" s="1">
        <v>145</v>
      </c>
      <c r="H313" s="1">
        <v>187</v>
      </c>
      <c r="I313" s="1">
        <f t="shared" si="1"/>
        <v>42</v>
      </c>
    </row>
    <row r="314" spans="1:11" x14ac:dyDescent="0.25">
      <c r="C314" s="1">
        <v>13</v>
      </c>
      <c r="D314" s="1">
        <v>1</v>
      </c>
      <c r="E314" s="1">
        <v>10</v>
      </c>
      <c r="F314" s="1">
        <v>7</v>
      </c>
      <c r="G314" s="1">
        <v>188</v>
      </c>
      <c r="H314" s="1">
        <v>194</v>
      </c>
      <c r="I314" s="1">
        <f t="shared" si="1"/>
        <v>6</v>
      </c>
    </row>
    <row r="315" spans="1:11" x14ac:dyDescent="0.25">
      <c r="C315" s="1">
        <v>13</v>
      </c>
      <c r="D315" s="1">
        <v>1</v>
      </c>
      <c r="E315" s="1">
        <v>10</v>
      </c>
      <c r="F315" s="1">
        <v>8</v>
      </c>
      <c r="G315" s="1">
        <v>194</v>
      </c>
      <c r="H315" s="1">
        <v>230</v>
      </c>
      <c r="I315" s="1">
        <f t="shared" si="1"/>
        <v>36</v>
      </c>
    </row>
    <row r="316" spans="1:11" x14ac:dyDescent="0.25">
      <c r="C316" s="1">
        <v>13</v>
      </c>
      <c r="D316" s="1">
        <v>1</v>
      </c>
      <c r="E316" s="1">
        <v>10</v>
      </c>
      <c r="F316" s="1">
        <v>9</v>
      </c>
      <c r="G316" s="1">
        <v>235</v>
      </c>
      <c r="H316" s="1">
        <v>276</v>
      </c>
      <c r="I316" s="1">
        <f t="shared" si="1"/>
        <v>41</v>
      </c>
    </row>
    <row r="317" spans="1:11" x14ac:dyDescent="0.25">
      <c r="C317" s="1">
        <v>13</v>
      </c>
      <c r="D317" s="1">
        <v>1</v>
      </c>
      <c r="E317" s="1">
        <v>10</v>
      </c>
      <c r="F317" s="1">
        <v>10</v>
      </c>
      <c r="G317" s="1">
        <v>277</v>
      </c>
      <c r="H317" s="1">
        <v>319</v>
      </c>
      <c r="I317" s="1">
        <f t="shared" si="1"/>
        <v>42</v>
      </c>
    </row>
    <row r="318" spans="1:11" x14ac:dyDescent="0.25">
      <c r="C318" s="1">
        <v>13</v>
      </c>
      <c r="D318" s="1">
        <v>1</v>
      </c>
      <c r="E318" s="1">
        <v>10</v>
      </c>
      <c r="F318" s="1">
        <v>11</v>
      </c>
      <c r="G318" s="1">
        <v>328</v>
      </c>
      <c r="H318" s="1">
        <v>369</v>
      </c>
      <c r="I318" s="1">
        <f t="shared" si="1"/>
        <v>41</v>
      </c>
    </row>
    <row r="319" spans="1:11" x14ac:dyDescent="0.25">
      <c r="C319" s="1">
        <v>13</v>
      </c>
      <c r="D319" s="1">
        <v>1</v>
      </c>
      <c r="E319" s="1">
        <v>10</v>
      </c>
      <c r="F319" s="1">
        <v>12</v>
      </c>
      <c r="G319" s="1">
        <v>369</v>
      </c>
      <c r="H319" s="1">
        <v>385</v>
      </c>
      <c r="I319" s="1">
        <f t="shared" si="1"/>
        <v>16</v>
      </c>
    </row>
    <row r="320" spans="1:11" x14ac:dyDescent="0.25">
      <c r="C320" s="1">
        <v>13</v>
      </c>
      <c r="D320" s="1">
        <v>1</v>
      </c>
      <c r="E320" s="1">
        <v>10</v>
      </c>
      <c r="F320" s="1">
        <v>13</v>
      </c>
      <c r="G320" s="1">
        <v>385</v>
      </c>
      <c r="H320" s="1">
        <v>407</v>
      </c>
      <c r="I320" s="1">
        <f t="shared" si="1"/>
        <v>22</v>
      </c>
    </row>
    <row r="321" spans="1:9" x14ac:dyDescent="0.25">
      <c r="C321" s="1">
        <v>13</v>
      </c>
      <c r="D321" s="1">
        <v>1</v>
      </c>
      <c r="E321" s="1">
        <v>10</v>
      </c>
      <c r="F321" s="1">
        <v>14</v>
      </c>
      <c r="G321" s="1">
        <v>407</v>
      </c>
      <c r="H321" s="1">
        <v>428</v>
      </c>
      <c r="I321" s="1">
        <f t="shared" si="1"/>
        <v>21</v>
      </c>
    </row>
    <row r="322" spans="1:9" x14ac:dyDescent="0.25">
      <c r="C322" s="1">
        <v>13</v>
      </c>
      <c r="D322" s="1">
        <v>1</v>
      </c>
      <c r="E322" s="1">
        <v>10</v>
      </c>
      <c r="F322" s="1">
        <v>15</v>
      </c>
      <c r="G322" s="1">
        <v>428</v>
      </c>
      <c r="H322" s="1">
        <v>449</v>
      </c>
      <c r="I322" s="1">
        <f t="shared" si="1"/>
        <v>21</v>
      </c>
    </row>
    <row r="323" spans="1:9" x14ac:dyDescent="0.25">
      <c r="C323" s="1">
        <v>13</v>
      </c>
      <c r="D323" s="1">
        <v>1</v>
      </c>
      <c r="E323" s="1">
        <v>10</v>
      </c>
      <c r="F323" s="1">
        <v>16</v>
      </c>
      <c r="G323" s="1">
        <v>449</v>
      </c>
      <c r="H323" s="1">
        <v>455</v>
      </c>
      <c r="I323" s="1">
        <f t="shared" si="1"/>
        <v>6</v>
      </c>
    </row>
    <row r="324" spans="1:9" x14ac:dyDescent="0.25">
      <c r="C324" s="1">
        <v>13</v>
      </c>
      <c r="D324" s="1">
        <v>1</v>
      </c>
      <c r="E324" s="1">
        <v>10</v>
      </c>
      <c r="F324" s="1">
        <v>17</v>
      </c>
      <c r="G324" s="1">
        <v>455</v>
      </c>
      <c r="H324" s="1">
        <v>464</v>
      </c>
      <c r="I324" s="1">
        <f t="shared" si="1"/>
        <v>9</v>
      </c>
    </row>
    <row r="325" spans="1:9" x14ac:dyDescent="0.25">
      <c r="C325" s="1">
        <v>13</v>
      </c>
      <c r="D325" s="1">
        <v>1</v>
      </c>
      <c r="E325" s="1">
        <v>10</v>
      </c>
      <c r="F325" s="1">
        <v>18</v>
      </c>
      <c r="G325" s="1">
        <v>464</v>
      </c>
      <c r="H325" s="1">
        <v>471</v>
      </c>
      <c r="I325" s="1">
        <f t="shared" si="1"/>
        <v>7</v>
      </c>
    </row>
    <row r="326" spans="1:9" x14ac:dyDescent="0.25">
      <c r="C326" s="1">
        <v>13</v>
      </c>
      <c r="D326" s="1">
        <v>1</v>
      </c>
      <c r="E326" s="1">
        <v>10</v>
      </c>
      <c r="F326" s="1">
        <v>19</v>
      </c>
      <c r="G326" s="1">
        <v>471</v>
      </c>
      <c r="H326" s="1">
        <v>473</v>
      </c>
      <c r="I326" s="1">
        <f t="shared" si="1"/>
        <v>2</v>
      </c>
    </row>
    <row r="327" spans="1:9" x14ac:dyDescent="0.25">
      <c r="C327" s="1">
        <v>13</v>
      </c>
      <c r="D327" s="1">
        <v>1</v>
      </c>
      <c r="E327" s="1">
        <v>10</v>
      </c>
      <c r="F327" s="1">
        <v>20</v>
      </c>
      <c r="G327" s="1">
        <v>473</v>
      </c>
      <c r="H327" s="1">
        <v>475</v>
      </c>
      <c r="I327" s="1">
        <f t="shared" si="1"/>
        <v>2</v>
      </c>
    </row>
    <row r="328" spans="1:9" x14ac:dyDescent="0.25">
      <c r="C328" s="1">
        <v>13</v>
      </c>
      <c r="D328" s="1">
        <v>1</v>
      </c>
      <c r="E328" s="1">
        <v>10</v>
      </c>
      <c r="F328" s="1">
        <v>21</v>
      </c>
      <c r="G328" s="1">
        <v>475</v>
      </c>
      <c r="H328" s="1">
        <v>477</v>
      </c>
      <c r="I328" s="1">
        <f t="shared" si="1"/>
        <v>2</v>
      </c>
    </row>
    <row r="329" spans="1:9" x14ac:dyDescent="0.25">
      <c r="C329" s="1">
        <v>13</v>
      </c>
      <c r="D329" s="1">
        <v>1</v>
      </c>
      <c r="E329" s="1">
        <v>10</v>
      </c>
      <c r="F329" s="1">
        <v>22</v>
      </c>
      <c r="G329" s="1">
        <v>477</v>
      </c>
      <c r="H329" s="1">
        <v>479</v>
      </c>
      <c r="I329" s="1">
        <f t="shared" si="1"/>
        <v>2</v>
      </c>
    </row>
    <row r="330" spans="1:9" x14ac:dyDescent="0.25">
      <c r="C330" s="1">
        <v>13</v>
      </c>
      <c r="D330" s="1">
        <v>1</v>
      </c>
      <c r="E330" s="1">
        <v>10</v>
      </c>
      <c r="F330" s="1">
        <v>23</v>
      </c>
      <c r="G330" s="1">
        <v>479</v>
      </c>
      <c r="H330" s="1">
        <v>487</v>
      </c>
      <c r="I330" s="1">
        <f t="shared" si="1"/>
        <v>8</v>
      </c>
    </row>
    <row r="331" spans="1:9" x14ac:dyDescent="0.25">
      <c r="C331" s="1">
        <v>13</v>
      </c>
      <c r="D331" s="1">
        <v>1</v>
      </c>
      <c r="E331" s="1">
        <v>10</v>
      </c>
      <c r="F331" s="1">
        <v>24</v>
      </c>
      <c r="G331" s="1">
        <v>487</v>
      </c>
      <c r="H331" s="1">
        <v>487</v>
      </c>
      <c r="I331" s="1">
        <f t="shared" si="1"/>
        <v>0</v>
      </c>
    </row>
    <row r="332" spans="1:9" x14ac:dyDescent="0.25">
      <c r="C332" s="1">
        <v>13</v>
      </c>
      <c r="D332" s="1">
        <v>1</v>
      </c>
      <c r="E332" s="1">
        <v>10</v>
      </c>
      <c r="F332" s="1">
        <v>25</v>
      </c>
      <c r="G332" s="1">
        <v>487</v>
      </c>
      <c r="H332" s="1">
        <v>489</v>
      </c>
      <c r="I332" s="1">
        <f t="shared" si="1"/>
        <v>2</v>
      </c>
    </row>
    <row r="333" spans="1:9" x14ac:dyDescent="0.25">
      <c r="A333" s="5">
        <v>1</v>
      </c>
      <c r="B333" s="2">
        <v>43886</v>
      </c>
      <c r="C333" s="1">
        <v>14</v>
      </c>
      <c r="D333" s="1">
        <v>2</v>
      </c>
      <c r="E333" s="1">
        <v>1</v>
      </c>
      <c r="F333" s="1">
        <v>1</v>
      </c>
      <c r="G333" s="1">
        <v>1</v>
      </c>
      <c r="H333" s="1">
        <v>1</v>
      </c>
      <c r="I333" s="1">
        <f t="shared" si="1"/>
        <v>0</v>
      </c>
    </row>
    <row r="334" spans="1:9" x14ac:dyDescent="0.25">
      <c r="C334" s="1">
        <v>14</v>
      </c>
      <c r="D334" s="1">
        <v>2</v>
      </c>
      <c r="E334" s="1">
        <v>1</v>
      </c>
      <c r="F334" s="1">
        <v>2</v>
      </c>
      <c r="G334" s="1">
        <v>1</v>
      </c>
      <c r="H334" s="1">
        <v>1</v>
      </c>
      <c r="I334" s="1">
        <f t="shared" si="1"/>
        <v>0</v>
      </c>
    </row>
    <row r="335" spans="1:9" x14ac:dyDescent="0.25">
      <c r="C335" s="1">
        <v>14</v>
      </c>
      <c r="D335" s="1">
        <v>2</v>
      </c>
      <c r="E335" s="1">
        <v>1</v>
      </c>
      <c r="F335" s="1">
        <v>3</v>
      </c>
      <c r="G335" s="1">
        <v>1</v>
      </c>
      <c r="H335" s="1">
        <v>1</v>
      </c>
      <c r="I335" s="1">
        <f t="shared" si="1"/>
        <v>0</v>
      </c>
    </row>
    <row r="336" spans="1:9" x14ac:dyDescent="0.25">
      <c r="C336" s="1">
        <v>14</v>
      </c>
      <c r="D336" s="1">
        <v>2</v>
      </c>
      <c r="E336" s="1">
        <v>1</v>
      </c>
      <c r="F336" s="1">
        <v>4</v>
      </c>
      <c r="G336" s="1">
        <v>1</v>
      </c>
      <c r="H336" s="1">
        <v>26</v>
      </c>
      <c r="I336" s="1">
        <f t="shared" si="1"/>
        <v>25</v>
      </c>
    </row>
    <row r="337" spans="3:11" x14ac:dyDescent="0.25">
      <c r="C337" s="1">
        <v>14</v>
      </c>
      <c r="D337" s="1">
        <v>2</v>
      </c>
      <c r="E337" s="1">
        <v>10</v>
      </c>
      <c r="F337" s="1">
        <v>5</v>
      </c>
      <c r="G337" s="1">
        <v>26</v>
      </c>
      <c r="H337" s="1">
        <v>47</v>
      </c>
      <c r="I337" s="1">
        <f t="shared" si="1"/>
        <v>21</v>
      </c>
      <c r="J337" s="6">
        <f>(I337+I338+I339+I356+I355+I354+I345+I346+I347)/9</f>
        <v>85</v>
      </c>
      <c r="K337" s="6">
        <f>AVERAGE(I337:I356)</f>
        <v>85.55</v>
      </c>
    </row>
    <row r="338" spans="3:11" x14ac:dyDescent="0.25">
      <c r="C338" s="1">
        <v>14</v>
      </c>
      <c r="D338" s="1">
        <v>2</v>
      </c>
      <c r="E338" s="1">
        <v>10</v>
      </c>
      <c r="F338" s="1">
        <v>6</v>
      </c>
      <c r="G338" s="1">
        <v>47</v>
      </c>
      <c r="H338" s="1">
        <v>114</v>
      </c>
      <c r="I338" s="1">
        <f t="shared" si="1"/>
        <v>67</v>
      </c>
    </row>
    <row r="339" spans="3:11" x14ac:dyDescent="0.25">
      <c r="C339" s="1">
        <v>14</v>
      </c>
      <c r="D339" s="1">
        <v>2</v>
      </c>
      <c r="E339" s="1">
        <v>10</v>
      </c>
      <c r="F339" s="1">
        <v>7</v>
      </c>
      <c r="G339" s="1">
        <v>114</v>
      </c>
      <c r="H339" s="1">
        <v>188</v>
      </c>
      <c r="I339" s="1">
        <f t="shared" si="1"/>
        <v>74</v>
      </c>
    </row>
    <row r="340" spans="3:11" x14ac:dyDescent="0.25">
      <c r="C340" s="1">
        <v>14</v>
      </c>
      <c r="D340" s="1">
        <v>2</v>
      </c>
      <c r="E340" s="1">
        <v>10</v>
      </c>
      <c r="F340" s="1">
        <v>8</v>
      </c>
      <c r="G340" s="1">
        <v>188</v>
      </c>
      <c r="H340" s="1">
        <v>243</v>
      </c>
      <c r="I340" s="1">
        <f t="shared" si="1"/>
        <v>55</v>
      </c>
    </row>
    <row r="341" spans="3:11" x14ac:dyDescent="0.25">
      <c r="C341" s="1">
        <v>14</v>
      </c>
      <c r="D341" s="1">
        <v>2</v>
      </c>
      <c r="E341" s="1">
        <v>10</v>
      </c>
      <c r="F341" s="1">
        <v>9</v>
      </c>
      <c r="G341" s="1">
        <v>243</v>
      </c>
      <c r="H341" s="1">
        <v>354</v>
      </c>
      <c r="I341" s="1">
        <f t="shared" si="1"/>
        <v>111</v>
      </c>
    </row>
    <row r="342" spans="3:11" x14ac:dyDescent="0.25">
      <c r="C342" s="1">
        <v>14</v>
      </c>
      <c r="D342" s="1">
        <v>2</v>
      </c>
      <c r="E342" s="1">
        <v>10</v>
      </c>
      <c r="F342" s="1">
        <v>10</v>
      </c>
      <c r="G342" s="1">
        <v>354</v>
      </c>
      <c r="H342" s="1">
        <v>423</v>
      </c>
      <c r="I342" s="1">
        <f t="shared" si="1"/>
        <v>69</v>
      </c>
    </row>
    <row r="343" spans="3:11" x14ac:dyDescent="0.25">
      <c r="C343" s="1">
        <v>14</v>
      </c>
      <c r="D343" s="1">
        <v>2</v>
      </c>
      <c r="E343" s="1">
        <v>10</v>
      </c>
      <c r="F343" s="1">
        <v>11</v>
      </c>
      <c r="G343" s="1">
        <v>429</v>
      </c>
      <c r="H343" s="1">
        <v>507</v>
      </c>
      <c r="I343" s="1">
        <f t="shared" si="1"/>
        <v>78</v>
      </c>
    </row>
    <row r="344" spans="3:11" x14ac:dyDescent="0.25">
      <c r="C344" s="1">
        <v>14</v>
      </c>
      <c r="D344" s="1">
        <v>2</v>
      </c>
      <c r="E344" s="1">
        <v>10</v>
      </c>
      <c r="F344" s="1">
        <v>12</v>
      </c>
      <c r="G344" s="1">
        <v>507</v>
      </c>
      <c r="H344" s="1">
        <v>604</v>
      </c>
      <c r="I344" s="1">
        <f t="shared" si="1"/>
        <v>97</v>
      </c>
    </row>
    <row r="345" spans="3:11" x14ac:dyDescent="0.25">
      <c r="C345" s="1">
        <v>14</v>
      </c>
      <c r="D345" s="1">
        <v>2</v>
      </c>
      <c r="E345" s="1">
        <v>10</v>
      </c>
      <c r="F345" s="1">
        <v>13</v>
      </c>
      <c r="G345" s="1">
        <v>604</v>
      </c>
      <c r="H345" s="1">
        <v>700</v>
      </c>
      <c r="I345" s="1">
        <f t="shared" si="1"/>
        <v>96</v>
      </c>
    </row>
    <row r="346" spans="3:11" x14ac:dyDescent="0.25">
      <c r="C346" s="1">
        <v>14</v>
      </c>
      <c r="D346" s="1">
        <v>2</v>
      </c>
      <c r="E346" s="1">
        <v>10</v>
      </c>
      <c r="F346" s="1">
        <v>14</v>
      </c>
      <c r="G346" s="1">
        <v>700</v>
      </c>
      <c r="H346" s="1">
        <v>791</v>
      </c>
      <c r="I346" s="1">
        <f t="shared" si="1"/>
        <v>91</v>
      </c>
    </row>
    <row r="347" spans="3:11" x14ac:dyDescent="0.25">
      <c r="C347" s="1">
        <v>14</v>
      </c>
      <c r="D347" s="1">
        <v>2</v>
      </c>
      <c r="E347" s="1">
        <v>10</v>
      </c>
      <c r="F347" s="1">
        <v>15</v>
      </c>
      <c r="G347" s="1">
        <v>791</v>
      </c>
      <c r="H347" s="1">
        <v>891</v>
      </c>
      <c r="I347" s="1">
        <f t="shared" si="1"/>
        <v>100</v>
      </c>
    </row>
    <row r="348" spans="3:11" x14ac:dyDescent="0.25">
      <c r="C348" s="1">
        <v>14</v>
      </c>
      <c r="D348" s="1">
        <v>2</v>
      </c>
      <c r="E348" s="1">
        <v>10</v>
      </c>
      <c r="F348" s="1">
        <v>16</v>
      </c>
      <c r="G348" s="1">
        <v>891</v>
      </c>
      <c r="H348" s="1">
        <v>989</v>
      </c>
      <c r="I348" s="1">
        <f t="shared" si="1"/>
        <v>98</v>
      </c>
    </row>
    <row r="349" spans="3:11" x14ac:dyDescent="0.25">
      <c r="C349" s="1">
        <v>14</v>
      </c>
      <c r="D349" s="1">
        <v>2</v>
      </c>
      <c r="E349" s="1">
        <v>10</v>
      </c>
      <c r="F349" s="1">
        <v>17</v>
      </c>
      <c r="G349" s="1">
        <v>989</v>
      </c>
      <c r="H349" s="1">
        <v>1088</v>
      </c>
      <c r="I349" s="1">
        <f t="shared" si="1"/>
        <v>99</v>
      </c>
    </row>
    <row r="350" spans="3:11" x14ac:dyDescent="0.25">
      <c r="C350" s="1">
        <v>14</v>
      </c>
      <c r="D350" s="1">
        <v>2</v>
      </c>
      <c r="E350" s="1">
        <v>10</v>
      </c>
      <c r="F350" s="1">
        <v>18</v>
      </c>
      <c r="G350" s="1">
        <v>1088</v>
      </c>
      <c r="H350" s="1">
        <v>1154</v>
      </c>
      <c r="I350" s="1">
        <f t="shared" si="1"/>
        <v>66</v>
      </c>
    </row>
    <row r="351" spans="3:11" x14ac:dyDescent="0.25">
      <c r="C351" s="1">
        <v>14</v>
      </c>
      <c r="D351" s="1">
        <v>2</v>
      </c>
      <c r="E351" s="1">
        <v>10</v>
      </c>
      <c r="F351" s="1">
        <v>19</v>
      </c>
      <c r="G351" s="1">
        <v>1154</v>
      </c>
      <c r="H351" s="1">
        <v>1255</v>
      </c>
      <c r="I351" s="1">
        <f t="shared" si="1"/>
        <v>101</v>
      </c>
    </row>
    <row r="352" spans="3:11" x14ac:dyDescent="0.25">
      <c r="C352" s="1">
        <v>14</v>
      </c>
      <c r="D352" s="1">
        <v>2</v>
      </c>
      <c r="E352" s="1">
        <v>10</v>
      </c>
      <c r="F352" s="1">
        <v>20</v>
      </c>
      <c r="G352" s="1">
        <v>1255</v>
      </c>
      <c r="H352" s="1">
        <v>1343</v>
      </c>
      <c r="I352" s="1">
        <f t="shared" si="1"/>
        <v>88</v>
      </c>
    </row>
    <row r="353" spans="1:11" x14ac:dyDescent="0.25">
      <c r="C353" s="1">
        <v>14</v>
      </c>
      <c r="D353" s="1">
        <v>2</v>
      </c>
      <c r="E353" s="1">
        <v>10</v>
      </c>
      <c r="F353" s="1">
        <v>21</v>
      </c>
      <c r="G353" s="1">
        <v>1343</v>
      </c>
      <c r="H353" s="1">
        <v>1427</v>
      </c>
      <c r="I353" s="1">
        <f t="shared" si="1"/>
        <v>84</v>
      </c>
    </row>
    <row r="354" spans="1:11" x14ac:dyDescent="0.25">
      <c r="C354" s="1">
        <v>14</v>
      </c>
      <c r="D354" s="1">
        <v>2</v>
      </c>
      <c r="E354" s="1">
        <v>10</v>
      </c>
      <c r="F354" s="1">
        <v>22</v>
      </c>
      <c r="G354" s="1">
        <v>1427</v>
      </c>
      <c r="H354" s="1">
        <v>1531</v>
      </c>
      <c r="I354" s="1">
        <f t="shared" si="1"/>
        <v>104</v>
      </c>
    </row>
    <row r="355" spans="1:11" x14ac:dyDescent="0.25">
      <c r="C355" s="1">
        <v>14</v>
      </c>
      <c r="D355" s="1">
        <v>2</v>
      </c>
      <c r="E355" s="1">
        <v>10</v>
      </c>
      <c r="F355" s="1">
        <v>23</v>
      </c>
      <c r="G355" s="1">
        <v>1531</v>
      </c>
      <c r="H355" s="1">
        <v>1646</v>
      </c>
      <c r="I355" s="1">
        <f t="shared" si="1"/>
        <v>115</v>
      </c>
    </row>
    <row r="356" spans="1:11" x14ac:dyDescent="0.25">
      <c r="C356" s="1">
        <v>14</v>
      </c>
      <c r="D356" s="1">
        <v>2</v>
      </c>
      <c r="E356" s="1">
        <v>10</v>
      </c>
      <c r="F356" s="1">
        <v>24</v>
      </c>
      <c r="G356" s="1">
        <v>1648</v>
      </c>
      <c r="H356" s="1">
        <v>1745</v>
      </c>
      <c r="I356" s="1">
        <f t="shared" si="1"/>
        <v>97</v>
      </c>
    </row>
    <row r="357" spans="1:11" x14ac:dyDescent="0.25">
      <c r="A357" s="5">
        <v>1</v>
      </c>
      <c r="B357" s="4">
        <v>43886</v>
      </c>
      <c r="C357" s="3">
        <v>15</v>
      </c>
      <c r="D357" s="3">
        <v>1</v>
      </c>
      <c r="E357" s="3">
        <v>1</v>
      </c>
      <c r="F357" s="3">
        <v>1</v>
      </c>
      <c r="G357" s="3">
        <v>6</v>
      </c>
      <c r="H357" s="3">
        <v>6</v>
      </c>
      <c r="I357" s="3">
        <f t="shared" si="1"/>
        <v>0</v>
      </c>
    </row>
    <row r="358" spans="1:11" x14ac:dyDescent="0.25">
      <c r="B358" s="3"/>
      <c r="C358" s="3">
        <v>15</v>
      </c>
      <c r="D358" s="3">
        <v>1</v>
      </c>
      <c r="E358" s="3">
        <v>1</v>
      </c>
      <c r="F358" s="3">
        <v>2</v>
      </c>
      <c r="G358" s="3">
        <v>6</v>
      </c>
      <c r="H358" s="3">
        <v>6</v>
      </c>
      <c r="I358" s="3">
        <f t="shared" si="1"/>
        <v>0</v>
      </c>
    </row>
    <row r="359" spans="1:11" x14ac:dyDescent="0.25">
      <c r="B359" s="3"/>
      <c r="C359" s="3">
        <v>15</v>
      </c>
      <c r="D359" s="3">
        <v>1</v>
      </c>
      <c r="E359" s="3">
        <v>1</v>
      </c>
      <c r="F359" s="3">
        <v>3</v>
      </c>
      <c r="G359" s="3">
        <v>82</v>
      </c>
      <c r="H359" s="3">
        <v>83</v>
      </c>
      <c r="I359" s="3">
        <f t="shared" si="1"/>
        <v>1</v>
      </c>
    </row>
    <row r="360" spans="1:11" x14ac:dyDescent="0.25">
      <c r="B360" s="3"/>
      <c r="C360" s="3">
        <v>15</v>
      </c>
      <c r="D360" s="3">
        <v>1</v>
      </c>
      <c r="E360" s="3">
        <v>1</v>
      </c>
      <c r="F360" s="3">
        <v>4</v>
      </c>
      <c r="G360" s="3">
        <v>83</v>
      </c>
      <c r="H360" s="3">
        <v>126</v>
      </c>
      <c r="I360" s="3">
        <f t="shared" si="1"/>
        <v>43</v>
      </c>
    </row>
    <row r="361" spans="1:11" x14ac:dyDescent="0.25">
      <c r="B361" s="3"/>
      <c r="C361" s="3">
        <v>15</v>
      </c>
      <c r="D361" s="3">
        <v>1</v>
      </c>
      <c r="E361" s="3">
        <v>10</v>
      </c>
      <c r="F361" s="3">
        <v>5</v>
      </c>
      <c r="G361" s="3">
        <v>126</v>
      </c>
      <c r="H361" s="3">
        <v>149</v>
      </c>
      <c r="I361" s="3">
        <f t="shared" si="1"/>
        <v>23</v>
      </c>
      <c r="K361" s="6">
        <f>AVERAGE(I361:I365)</f>
        <v>25.6</v>
      </c>
    </row>
    <row r="362" spans="1:11" x14ac:dyDescent="0.25">
      <c r="B362" s="3"/>
      <c r="C362" s="3">
        <v>15</v>
      </c>
      <c r="D362" s="3">
        <v>1</v>
      </c>
      <c r="E362" s="3">
        <v>10</v>
      </c>
      <c r="F362" s="3">
        <v>6</v>
      </c>
      <c r="G362" s="3">
        <v>149</v>
      </c>
      <c r="H362" s="3">
        <v>173</v>
      </c>
      <c r="I362" s="3">
        <f t="shared" si="1"/>
        <v>24</v>
      </c>
    </row>
    <row r="363" spans="1:11" x14ac:dyDescent="0.25">
      <c r="B363" s="3"/>
      <c r="C363" s="3">
        <v>15</v>
      </c>
      <c r="D363" s="3">
        <v>1</v>
      </c>
      <c r="E363" s="3">
        <v>10</v>
      </c>
      <c r="F363" s="3">
        <v>7</v>
      </c>
      <c r="G363" s="3">
        <v>173</v>
      </c>
      <c r="H363" s="3">
        <v>190</v>
      </c>
      <c r="I363" s="3">
        <f t="shared" si="1"/>
        <v>17</v>
      </c>
    </row>
    <row r="364" spans="1:11" x14ac:dyDescent="0.25">
      <c r="B364" s="3"/>
      <c r="C364" s="3">
        <v>15</v>
      </c>
      <c r="D364" s="3">
        <v>1</v>
      </c>
      <c r="E364" s="3">
        <v>10</v>
      </c>
      <c r="F364" s="3">
        <v>8</v>
      </c>
      <c r="G364" s="3">
        <v>190</v>
      </c>
      <c r="H364" s="3">
        <v>226</v>
      </c>
      <c r="I364" s="3">
        <f t="shared" si="1"/>
        <v>36</v>
      </c>
    </row>
    <row r="365" spans="1:11" x14ac:dyDescent="0.25">
      <c r="B365" s="3"/>
      <c r="C365" s="3">
        <v>15</v>
      </c>
      <c r="D365" s="3">
        <v>1</v>
      </c>
      <c r="E365" s="3">
        <v>10</v>
      </c>
      <c r="F365" s="3">
        <v>9</v>
      </c>
      <c r="G365" s="3">
        <v>226</v>
      </c>
      <c r="H365" s="3">
        <v>254</v>
      </c>
      <c r="I365" s="3">
        <f t="shared" si="1"/>
        <v>28</v>
      </c>
    </row>
    <row r="366" spans="1:11" x14ac:dyDescent="0.25">
      <c r="A366" s="5">
        <v>1</v>
      </c>
      <c r="B366" s="4">
        <v>43886</v>
      </c>
      <c r="C366" s="3">
        <v>16</v>
      </c>
      <c r="D366" s="3">
        <v>2</v>
      </c>
      <c r="E366" s="3">
        <v>1</v>
      </c>
      <c r="F366" s="3">
        <v>1</v>
      </c>
      <c r="G366" s="3">
        <v>5</v>
      </c>
      <c r="H366" s="3">
        <v>5</v>
      </c>
      <c r="I366" s="3">
        <f t="shared" si="1"/>
        <v>0</v>
      </c>
    </row>
    <row r="367" spans="1:11" x14ac:dyDescent="0.25">
      <c r="B367" s="3"/>
      <c r="C367" s="3">
        <v>16</v>
      </c>
      <c r="D367" s="3">
        <v>2</v>
      </c>
      <c r="E367" s="3">
        <v>1</v>
      </c>
      <c r="F367" s="3">
        <v>2</v>
      </c>
      <c r="G367" s="3">
        <v>5</v>
      </c>
      <c r="H367" s="3">
        <v>47</v>
      </c>
      <c r="I367" s="3">
        <f t="shared" si="1"/>
        <v>42</v>
      </c>
    </row>
    <row r="368" spans="1:11" x14ac:dyDescent="0.25">
      <c r="B368" s="3"/>
      <c r="C368" s="3">
        <v>16</v>
      </c>
      <c r="D368" s="3">
        <v>2</v>
      </c>
      <c r="E368" s="3">
        <v>1</v>
      </c>
      <c r="F368" s="3">
        <v>3</v>
      </c>
      <c r="G368" s="3">
        <v>47</v>
      </c>
      <c r="H368" s="3">
        <v>47</v>
      </c>
      <c r="I368" s="3">
        <f t="shared" si="1"/>
        <v>0</v>
      </c>
    </row>
    <row r="369" spans="1:11" x14ac:dyDescent="0.25">
      <c r="B369" s="3"/>
      <c r="C369" s="3">
        <v>16</v>
      </c>
      <c r="D369" s="3">
        <v>2</v>
      </c>
      <c r="E369" s="3">
        <v>1</v>
      </c>
      <c r="F369" s="3">
        <v>4</v>
      </c>
      <c r="G369" s="3">
        <v>47</v>
      </c>
      <c r="H369" s="3">
        <v>88</v>
      </c>
      <c r="I369" s="3">
        <f t="shared" si="1"/>
        <v>41</v>
      </c>
    </row>
    <row r="370" spans="1:11" x14ac:dyDescent="0.25">
      <c r="B370" s="3"/>
      <c r="C370" s="3">
        <v>16</v>
      </c>
      <c r="D370" s="3">
        <v>2</v>
      </c>
      <c r="E370" s="3">
        <v>10</v>
      </c>
      <c r="F370" s="3">
        <v>5</v>
      </c>
      <c r="G370" s="3">
        <v>88</v>
      </c>
      <c r="H370" s="3">
        <v>127</v>
      </c>
      <c r="I370" s="3">
        <f t="shared" si="1"/>
        <v>39</v>
      </c>
      <c r="K370" s="6">
        <f>AVERAGE(I370:I374)</f>
        <v>40.6</v>
      </c>
    </row>
    <row r="371" spans="1:11" x14ac:dyDescent="0.25">
      <c r="B371" s="3"/>
      <c r="C371" s="3">
        <v>16</v>
      </c>
      <c r="D371" s="3">
        <v>2</v>
      </c>
      <c r="E371" s="3">
        <v>10</v>
      </c>
      <c r="F371" s="3">
        <v>6</v>
      </c>
      <c r="G371" s="3">
        <v>127</v>
      </c>
      <c r="H371" s="3">
        <v>176</v>
      </c>
      <c r="I371" s="3">
        <f t="shared" si="1"/>
        <v>49</v>
      </c>
    </row>
    <row r="372" spans="1:11" x14ac:dyDescent="0.25">
      <c r="B372" s="3"/>
      <c r="C372" s="3">
        <v>16</v>
      </c>
      <c r="D372" s="3">
        <v>2</v>
      </c>
      <c r="E372" s="3">
        <v>10</v>
      </c>
      <c r="F372" s="3">
        <v>7</v>
      </c>
      <c r="G372" s="3">
        <v>176</v>
      </c>
      <c r="H372" s="3">
        <v>201</v>
      </c>
      <c r="I372" s="3">
        <f t="shared" si="1"/>
        <v>25</v>
      </c>
    </row>
    <row r="373" spans="1:11" x14ac:dyDescent="0.25">
      <c r="B373" s="3"/>
      <c r="C373" s="3">
        <v>16</v>
      </c>
      <c r="D373" s="3">
        <v>2</v>
      </c>
      <c r="E373" s="3">
        <v>10</v>
      </c>
      <c r="F373" s="3">
        <v>8</v>
      </c>
      <c r="G373" s="3">
        <v>201</v>
      </c>
      <c r="H373" s="3">
        <v>246</v>
      </c>
      <c r="I373" s="3">
        <f t="shared" si="1"/>
        <v>45</v>
      </c>
    </row>
    <row r="374" spans="1:11" x14ac:dyDescent="0.25">
      <c r="B374" s="3"/>
      <c r="C374" s="3">
        <v>16</v>
      </c>
      <c r="D374" s="3">
        <v>2</v>
      </c>
      <c r="E374" s="3">
        <v>10</v>
      </c>
      <c r="F374" s="3">
        <v>9</v>
      </c>
      <c r="G374" s="3">
        <v>246</v>
      </c>
      <c r="H374" s="3">
        <v>291</v>
      </c>
      <c r="I374" s="3">
        <f t="shared" si="1"/>
        <v>45</v>
      </c>
    </row>
    <row r="375" spans="1:11" x14ac:dyDescent="0.25">
      <c r="A375" s="5">
        <v>1</v>
      </c>
      <c r="B375" s="2">
        <v>43886</v>
      </c>
      <c r="C375" s="1">
        <v>17</v>
      </c>
      <c r="D375" s="1">
        <v>1</v>
      </c>
      <c r="E375" s="1">
        <v>1</v>
      </c>
      <c r="F375" s="1">
        <v>1</v>
      </c>
      <c r="G375" s="1">
        <v>4</v>
      </c>
      <c r="H375" s="1">
        <v>4</v>
      </c>
      <c r="I375" s="1">
        <f t="shared" si="1"/>
        <v>0</v>
      </c>
    </row>
    <row r="376" spans="1:11" x14ac:dyDescent="0.25">
      <c r="C376" s="1">
        <v>17</v>
      </c>
      <c r="D376" s="1">
        <v>1</v>
      </c>
      <c r="E376" s="1">
        <v>1</v>
      </c>
      <c r="F376" s="1">
        <v>2</v>
      </c>
      <c r="G376" s="1">
        <v>4</v>
      </c>
      <c r="H376" s="1">
        <v>19</v>
      </c>
      <c r="I376" s="1">
        <f t="shared" si="1"/>
        <v>15</v>
      </c>
    </row>
    <row r="377" spans="1:11" x14ac:dyDescent="0.25">
      <c r="C377" s="1">
        <v>17</v>
      </c>
      <c r="D377" s="1">
        <v>1</v>
      </c>
      <c r="E377" s="1">
        <v>1</v>
      </c>
      <c r="F377" s="1">
        <v>3</v>
      </c>
      <c r="G377" s="1">
        <v>19</v>
      </c>
      <c r="H377" s="1">
        <v>57</v>
      </c>
      <c r="I377" s="1">
        <f t="shared" si="1"/>
        <v>38</v>
      </c>
    </row>
    <row r="378" spans="1:11" x14ac:dyDescent="0.25">
      <c r="C378" s="1">
        <v>17</v>
      </c>
      <c r="D378" s="1">
        <v>1</v>
      </c>
      <c r="E378" s="1">
        <v>1</v>
      </c>
      <c r="F378" s="1">
        <v>4</v>
      </c>
      <c r="G378" s="1">
        <v>57</v>
      </c>
      <c r="H378" s="1">
        <v>111</v>
      </c>
      <c r="I378" s="1">
        <f t="shared" si="1"/>
        <v>54</v>
      </c>
    </row>
    <row r="379" spans="1:11" x14ac:dyDescent="0.25">
      <c r="C379" s="1">
        <v>17</v>
      </c>
      <c r="D379" s="1">
        <v>1</v>
      </c>
      <c r="E379" s="1">
        <v>10</v>
      </c>
      <c r="F379" s="1">
        <v>5</v>
      </c>
      <c r="G379" s="1">
        <v>111</v>
      </c>
      <c r="H379" s="1">
        <v>140</v>
      </c>
      <c r="I379" s="1">
        <f t="shared" si="1"/>
        <v>29</v>
      </c>
      <c r="J379" s="6">
        <f>(I379+I380+I381+I399+I398+I397+I386+I387+I388)/9</f>
        <v>46.444444444444443</v>
      </c>
      <c r="K379" s="6">
        <f>AVERAGE(I379:I399)</f>
        <v>64.80952380952381</v>
      </c>
    </row>
    <row r="380" spans="1:11" x14ac:dyDescent="0.25">
      <c r="C380" s="1">
        <v>17</v>
      </c>
      <c r="D380" s="1">
        <v>1</v>
      </c>
      <c r="E380" s="1">
        <v>10</v>
      </c>
      <c r="F380" s="1">
        <v>6</v>
      </c>
      <c r="G380" s="1">
        <v>145</v>
      </c>
      <c r="H380" s="1">
        <v>177</v>
      </c>
      <c r="I380" s="1">
        <f t="shared" si="1"/>
        <v>32</v>
      </c>
    </row>
    <row r="381" spans="1:11" x14ac:dyDescent="0.25">
      <c r="C381" s="1">
        <v>17</v>
      </c>
      <c r="D381" s="1">
        <v>1</v>
      </c>
      <c r="E381" s="1">
        <v>10</v>
      </c>
      <c r="F381" s="1">
        <v>7</v>
      </c>
      <c r="G381" s="1">
        <v>177</v>
      </c>
      <c r="H381" s="1">
        <v>224</v>
      </c>
      <c r="I381" s="1">
        <f t="shared" si="1"/>
        <v>47</v>
      </c>
    </row>
    <row r="382" spans="1:11" x14ac:dyDescent="0.25">
      <c r="C382" s="1">
        <v>17</v>
      </c>
      <c r="D382" s="1">
        <v>1</v>
      </c>
      <c r="E382" s="1">
        <v>10</v>
      </c>
      <c r="F382" s="1">
        <v>8</v>
      </c>
      <c r="G382" s="1">
        <v>236</v>
      </c>
      <c r="H382" s="1">
        <v>284</v>
      </c>
      <c r="I382" s="1">
        <f t="shared" si="1"/>
        <v>48</v>
      </c>
    </row>
    <row r="383" spans="1:11" x14ac:dyDescent="0.25">
      <c r="C383" s="1">
        <v>17</v>
      </c>
      <c r="D383" s="1">
        <v>1</v>
      </c>
      <c r="E383" s="1">
        <v>10</v>
      </c>
      <c r="F383" s="1">
        <v>9</v>
      </c>
      <c r="G383" s="1">
        <v>284</v>
      </c>
      <c r="H383" s="1">
        <v>324</v>
      </c>
      <c r="I383" s="1">
        <f t="shared" si="1"/>
        <v>40</v>
      </c>
    </row>
    <row r="384" spans="1:11" x14ac:dyDescent="0.25">
      <c r="C384" s="1">
        <v>17</v>
      </c>
      <c r="D384" s="1">
        <v>1</v>
      </c>
      <c r="E384" s="1">
        <v>10</v>
      </c>
      <c r="F384" s="1">
        <v>10</v>
      </c>
      <c r="G384" s="1">
        <v>324</v>
      </c>
      <c r="H384" s="1">
        <v>369</v>
      </c>
      <c r="I384" s="1">
        <f t="shared" si="1"/>
        <v>45</v>
      </c>
    </row>
    <row r="385" spans="1:9" x14ac:dyDescent="0.25">
      <c r="C385" s="1">
        <v>17</v>
      </c>
      <c r="D385" s="1">
        <v>1</v>
      </c>
      <c r="E385" s="1">
        <v>10</v>
      </c>
      <c r="F385" s="1">
        <v>11</v>
      </c>
      <c r="G385" s="1">
        <v>369</v>
      </c>
      <c r="H385" s="1">
        <v>420</v>
      </c>
      <c r="I385" s="1">
        <f t="shared" si="1"/>
        <v>51</v>
      </c>
    </row>
    <row r="386" spans="1:9" x14ac:dyDescent="0.25">
      <c r="C386" s="1">
        <v>17</v>
      </c>
      <c r="D386" s="1">
        <v>1</v>
      </c>
      <c r="E386" s="1">
        <v>10</v>
      </c>
      <c r="F386" s="1">
        <v>12</v>
      </c>
      <c r="G386" s="1">
        <v>420</v>
      </c>
      <c r="H386" s="1">
        <v>474</v>
      </c>
      <c r="I386" s="1">
        <f t="shared" si="1"/>
        <v>54</v>
      </c>
    </row>
    <row r="387" spans="1:9" x14ac:dyDescent="0.25">
      <c r="C387" s="1">
        <v>17</v>
      </c>
      <c r="D387" s="1">
        <v>1</v>
      </c>
      <c r="E387" s="1">
        <v>10</v>
      </c>
      <c r="F387" s="1">
        <v>13</v>
      </c>
      <c r="G387" s="1">
        <v>474</v>
      </c>
      <c r="H387" s="1">
        <v>524</v>
      </c>
      <c r="I387" s="1">
        <f t="shared" si="1"/>
        <v>50</v>
      </c>
    </row>
    <row r="388" spans="1:9" x14ac:dyDescent="0.25">
      <c r="C388" s="1">
        <v>17</v>
      </c>
      <c r="D388" s="1">
        <v>1</v>
      </c>
      <c r="E388" s="1">
        <v>10</v>
      </c>
      <c r="F388" s="1">
        <v>14</v>
      </c>
      <c r="G388" s="1">
        <v>256</v>
      </c>
      <c r="H388" s="1">
        <v>277</v>
      </c>
      <c r="I388" s="1">
        <f t="shared" si="1"/>
        <v>21</v>
      </c>
    </row>
    <row r="389" spans="1:9" x14ac:dyDescent="0.25">
      <c r="C389" s="1">
        <v>17</v>
      </c>
      <c r="D389" s="1">
        <v>1</v>
      </c>
      <c r="E389" s="1">
        <v>10</v>
      </c>
      <c r="F389" s="1">
        <v>15</v>
      </c>
      <c r="G389" s="1">
        <v>277</v>
      </c>
      <c r="H389" s="1">
        <v>363</v>
      </c>
      <c r="I389" s="1">
        <f t="shared" si="1"/>
        <v>86</v>
      </c>
    </row>
    <row r="390" spans="1:9" x14ac:dyDescent="0.25">
      <c r="C390" s="1">
        <v>17</v>
      </c>
      <c r="D390" s="1">
        <v>1</v>
      </c>
      <c r="E390" s="1">
        <v>10</v>
      </c>
      <c r="F390" s="1">
        <v>16</v>
      </c>
      <c r="G390" s="1">
        <v>363</v>
      </c>
      <c r="H390" s="1">
        <v>688</v>
      </c>
      <c r="I390" s="1">
        <f t="shared" si="1"/>
        <v>325</v>
      </c>
    </row>
    <row r="391" spans="1:9" x14ac:dyDescent="0.25">
      <c r="C391" s="1">
        <v>17</v>
      </c>
      <c r="D391" s="1">
        <v>1</v>
      </c>
      <c r="E391" s="1">
        <v>10</v>
      </c>
      <c r="F391" s="1">
        <v>17</v>
      </c>
      <c r="G391" s="1">
        <v>688</v>
      </c>
      <c r="H391" s="1">
        <v>741</v>
      </c>
      <c r="I391" s="1">
        <f t="shared" si="1"/>
        <v>53</v>
      </c>
    </row>
    <row r="392" spans="1:9" x14ac:dyDescent="0.25">
      <c r="C392" s="1">
        <v>17</v>
      </c>
      <c r="D392" s="1">
        <v>1</v>
      </c>
      <c r="E392" s="1">
        <v>10</v>
      </c>
      <c r="F392" s="1">
        <v>18</v>
      </c>
      <c r="G392" s="1">
        <v>741</v>
      </c>
      <c r="H392" s="1">
        <v>788</v>
      </c>
      <c r="I392" s="1">
        <f t="shared" si="1"/>
        <v>47</v>
      </c>
    </row>
    <row r="393" spans="1:9" x14ac:dyDescent="0.25">
      <c r="C393" s="1">
        <v>17</v>
      </c>
      <c r="D393" s="1">
        <v>1</v>
      </c>
      <c r="E393" s="1">
        <v>10</v>
      </c>
      <c r="F393" s="1">
        <v>19</v>
      </c>
      <c r="G393" s="1">
        <v>788</v>
      </c>
      <c r="H393" s="1">
        <v>837</v>
      </c>
      <c r="I393" s="1">
        <f t="shared" si="1"/>
        <v>49</v>
      </c>
    </row>
    <row r="394" spans="1:9" x14ac:dyDescent="0.25">
      <c r="C394" s="1">
        <v>17</v>
      </c>
      <c r="D394" s="1">
        <v>1</v>
      </c>
      <c r="E394" s="1">
        <v>10</v>
      </c>
      <c r="F394" s="1">
        <v>20</v>
      </c>
      <c r="G394" s="1">
        <v>838</v>
      </c>
      <c r="H394" s="1">
        <v>889</v>
      </c>
      <c r="I394" s="1">
        <f t="shared" si="1"/>
        <v>51</v>
      </c>
    </row>
    <row r="395" spans="1:9" x14ac:dyDescent="0.25">
      <c r="C395" s="1">
        <v>17</v>
      </c>
      <c r="D395" s="1">
        <v>1</v>
      </c>
      <c r="E395" s="1">
        <v>10</v>
      </c>
      <c r="F395" s="1">
        <v>21</v>
      </c>
      <c r="G395" s="1">
        <v>899</v>
      </c>
      <c r="H395" s="1">
        <v>963</v>
      </c>
      <c r="I395" s="1">
        <f t="shared" si="1"/>
        <v>64</v>
      </c>
    </row>
    <row r="396" spans="1:9" x14ac:dyDescent="0.25">
      <c r="C396" s="1">
        <v>17</v>
      </c>
      <c r="D396" s="1">
        <v>1</v>
      </c>
      <c r="E396" s="1">
        <v>10</v>
      </c>
      <c r="F396" s="1">
        <v>22</v>
      </c>
      <c r="G396" s="1">
        <v>963</v>
      </c>
      <c r="H396" s="1">
        <v>1047</v>
      </c>
      <c r="I396" s="1">
        <f t="shared" si="1"/>
        <v>84</v>
      </c>
    </row>
    <row r="397" spans="1:9" x14ac:dyDescent="0.25">
      <c r="C397" s="1">
        <v>17</v>
      </c>
      <c r="D397" s="1">
        <v>1</v>
      </c>
      <c r="E397" s="1">
        <v>10</v>
      </c>
      <c r="F397" s="1">
        <v>23</v>
      </c>
      <c r="G397" s="1">
        <v>1047</v>
      </c>
      <c r="H397" s="1">
        <v>1115</v>
      </c>
      <c r="I397" s="1">
        <f t="shared" si="1"/>
        <v>68</v>
      </c>
    </row>
    <row r="398" spans="1:9" x14ac:dyDescent="0.25">
      <c r="C398" s="1">
        <v>17</v>
      </c>
      <c r="D398" s="1">
        <v>1</v>
      </c>
      <c r="E398" s="1">
        <v>10</v>
      </c>
      <c r="F398" s="1">
        <v>24</v>
      </c>
      <c r="G398" s="1">
        <v>1115</v>
      </c>
      <c r="H398" s="1">
        <v>1180</v>
      </c>
      <c r="I398" s="1">
        <f t="shared" si="1"/>
        <v>65</v>
      </c>
    </row>
    <row r="399" spans="1:9" x14ac:dyDescent="0.25">
      <c r="C399" s="1">
        <v>17</v>
      </c>
      <c r="D399" s="1">
        <v>1</v>
      </c>
      <c r="E399" s="1">
        <v>10</v>
      </c>
      <c r="F399" s="1">
        <v>25</v>
      </c>
      <c r="G399" s="1">
        <v>1182</v>
      </c>
      <c r="H399" s="1">
        <v>1234</v>
      </c>
      <c r="I399" s="1">
        <f t="shared" si="1"/>
        <v>52</v>
      </c>
    </row>
    <row r="400" spans="1:9" x14ac:dyDescent="0.25">
      <c r="A400" s="5">
        <v>1</v>
      </c>
      <c r="B400" s="2">
        <v>43886</v>
      </c>
      <c r="C400" s="1">
        <v>18</v>
      </c>
      <c r="D400" s="1">
        <v>2</v>
      </c>
      <c r="E400" s="1">
        <v>1</v>
      </c>
      <c r="F400" s="1">
        <v>1</v>
      </c>
      <c r="G400" s="1">
        <v>3</v>
      </c>
      <c r="H400" s="1">
        <v>6</v>
      </c>
      <c r="I400" s="1">
        <f t="shared" si="1"/>
        <v>3</v>
      </c>
    </row>
    <row r="401" spans="3:11" x14ac:dyDescent="0.25">
      <c r="C401" s="1">
        <v>18</v>
      </c>
      <c r="D401" s="1">
        <v>2</v>
      </c>
      <c r="E401" s="1">
        <v>1</v>
      </c>
      <c r="F401" s="1">
        <v>2</v>
      </c>
      <c r="G401" s="1">
        <v>6</v>
      </c>
      <c r="H401" s="1">
        <v>8</v>
      </c>
      <c r="I401" s="1">
        <f t="shared" si="1"/>
        <v>2</v>
      </c>
    </row>
    <row r="402" spans="3:11" x14ac:dyDescent="0.25">
      <c r="C402" s="1">
        <v>18</v>
      </c>
      <c r="D402" s="1">
        <v>2</v>
      </c>
      <c r="E402" s="1">
        <v>1</v>
      </c>
      <c r="F402" s="1">
        <v>3</v>
      </c>
      <c r="G402" s="1">
        <v>8</v>
      </c>
      <c r="H402" s="1">
        <v>40</v>
      </c>
      <c r="I402" s="1">
        <f t="shared" si="1"/>
        <v>32</v>
      </c>
    </row>
    <row r="403" spans="3:11" x14ac:dyDescent="0.25">
      <c r="C403" s="1">
        <v>18</v>
      </c>
      <c r="D403" s="1">
        <v>2</v>
      </c>
      <c r="E403" s="1">
        <v>1</v>
      </c>
      <c r="F403" s="1">
        <v>4</v>
      </c>
      <c r="G403" s="1">
        <v>40</v>
      </c>
      <c r="H403" s="1">
        <v>58</v>
      </c>
      <c r="I403" s="1">
        <f t="shared" si="1"/>
        <v>18</v>
      </c>
    </row>
    <row r="404" spans="3:11" x14ac:dyDescent="0.25">
      <c r="C404" s="1">
        <v>18</v>
      </c>
      <c r="D404" s="1">
        <v>2</v>
      </c>
      <c r="E404" s="1">
        <v>10</v>
      </c>
      <c r="F404" s="1">
        <v>5</v>
      </c>
      <c r="G404" s="1">
        <v>58</v>
      </c>
      <c r="H404" s="1">
        <v>96</v>
      </c>
      <c r="I404" s="1">
        <f t="shared" si="1"/>
        <v>38</v>
      </c>
      <c r="J404" s="6">
        <f>(I404+I405+I406+I417+I416+I415+I411+I410+I409)/9</f>
        <v>24.555555555555557</v>
      </c>
      <c r="K404" s="6">
        <f>AVERAGE(I404:I417)</f>
        <v>19.785714285714285</v>
      </c>
    </row>
    <row r="405" spans="3:11" x14ac:dyDescent="0.25">
      <c r="C405" s="1">
        <v>18</v>
      </c>
      <c r="D405" s="1">
        <v>2</v>
      </c>
      <c r="E405" s="1">
        <v>10</v>
      </c>
      <c r="F405" s="1">
        <v>6</v>
      </c>
      <c r="G405" s="1">
        <v>97</v>
      </c>
      <c r="H405" s="1">
        <v>109</v>
      </c>
      <c r="I405" s="1">
        <f t="shared" si="1"/>
        <v>12</v>
      </c>
    </row>
    <row r="406" spans="3:11" x14ac:dyDescent="0.25">
      <c r="C406" s="1">
        <v>18</v>
      </c>
      <c r="D406" s="1">
        <v>2</v>
      </c>
      <c r="E406" s="1">
        <v>10</v>
      </c>
      <c r="F406" s="1">
        <v>7</v>
      </c>
      <c r="G406" s="1">
        <v>109</v>
      </c>
      <c r="H406" s="1">
        <v>148</v>
      </c>
      <c r="I406" s="1">
        <f t="shared" si="1"/>
        <v>39</v>
      </c>
    </row>
    <row r="407" spans="3:11" x14ac:dyDescent="0.25">
      <c r="C407" s="1">
        <v>18</v>
      </c>
      <c r="D407" s="1">
        <v>2</v>
      </c>
      <c r="E407" s="1">
        <v>10</v>
      </c>
      <c r="F407" s="1">
        <v>8</v>
      </c>
      <c r="G407" s="1">
        <v>148</v>
      </c>
      <c r="H407" s="1">
        <v>162</v>
      </c>
      <c r="I407" s="1">
        <f t="shared" si="1"/>
        <v>14</v>
      </c>
    </row>
    <row r="408" spans="3:11" x14ac:dyDescent="0.25">
      <c r="C408" s="1">
        <v>18</v>
      </c>
      <c r="D408" s="1">
        <v>2</v>
      </c>
      <c r="E408" s="1">
        <v>10</v>
      </c>
      <c r="F408" s="1">
        <v>9</v>
      </c>
      <c r="G408" s="1">
        <v>162</v>
      </c>
      <c r="H408" s="1">
        <v>177</v>
      </c>
      <c r="I408" s="1">
        <f t="shared" si="1"/>
        <v>15</v>
      </c>
    </row>
    <row r="409" spans="3:11" x14ac:dyDescent="0.25">
      <c r="C409" s="1">
        <v>18</v>
      </c>
      <c r="D409" s="1">
        <v>2</v>
      </c>
      <c r="E409" s="1">
        <v>10</v>
      </c>
      <c r="F409" s="1">
        <v>10</v>
      </c>
      <c r="G409" s="1">
        <v>177</v>
      </c>
      <c r="H409" s="1">
        <v>209</v>
      </c>
      <c r="I409" s="1">
        <f t="shared" si="1"/>
        <v>32</v>
      </c>
    </row>
    <row r="410" spans="3:11" x14ac:dyDescent="0.25">
      <c r="C410" s="1">
        <v>18</v>
      </c>
      <c r="D410" s="1">
        <v>2</v>
      </c>
      <c r="E410" s="1">
        <v>10</v>
      </c>
      <c r="F410" s="1">
        <v>11</v>
      </c>
      <c r="G410" s="1">
        <v>209</v>
      </c>
      <c r="H410" s="1">
        <v>228</v>
      </c>
      <c r="I410" s="1">
        <f t="shared" si="1"/>
        <v>19</v>
      </c>
    </row>
    <row r="411" spans="3:11" x14ac:dyDescent="0.25">
      <c r="C411" s="1">
        <v>18</v>
      </c>
      <c r="D411" s="1">
        <v>2</v>
      </c>
      <c r="E411" s="1">
        <v>10</v>
      </c>
      <c r="F411" s="1">
        <v>12</v>
      </c>
      <c r="G411" s="1">
        <v>228</v>
      </c>
      <c r="H411" s="1">
        <v>244</v>
      </c>
      <c r="I411" s="1">
        <f t="shared" si="1"/>
        <v>16</v>
      </c>
    </row>
    <row r="412" spans="3:11" x14ac:dyDescent="0.25">
      <c r="C412" s="1">
        <v>18</v>
      </c>
      <c r="D412" s="1">
        <v>2</v>
      </c>
      <c r="E412" s="1">
        <v>10</v>
      </c>
      <c r="F412" s="1">
        <v>13</v>
      </c>
      <c r="G412" s="1">
        <v>244</v>
      </c>
      <c r="H412" s="1">
        <v>244</v>
      </c>
      <c r="I412" s="1">
        <f t="shared" si="1"/>
        <v>0</v>
      </c>
    </row>
    <row r="413" spans="3:11" x14ac:dyDescent="0.25">
      <c r="C413" s="1">
        <v>18</v>
      </c>
      <c r="D413" s="1">
        <v>2</v>
      </c>
      <c r="E413" s="1">
        <v>10</v>
      </c>
      <c r="F413" s="1">
        <v>14</v>
      </c>
      <c r="G413" s="1">
        <v>244</v>
      </c>
      <c r="H413" s="1">
        <v>247</v>
      </c>
      <c r="I413" s="1">
        <f t="shared" si="1"/>
        <v>3</v>
      </c>
    </row>
    <row r="414" spans="3:11" x14ac:dyDescent="0.25">
      <c r="C414" s="1">
        <v>18</v>
      </c>
      <c r="D414" s="1">
        <v>2</v>
      </c>
      <c r="E414" s="1">
        <v>10</v>
      </c>
      <c r="F414" s="1">
        <v>15</v>
      </c>
      <c r="G414" s="1">
        <v>247</v>
      </c>
      <c r="H414" s="1">
        <v>271</v>
      </c>
      <c r="I414" s="1">
        <f t="shared" si="1"/>
        <v>24</v>
      </c>
    </row>
    <row r="415" spans="3:11" x14ac:dyDescent="0.25">
      <c r="C415" s="1">
        <v>18</v>
      </c>
      <c r="D415" s="1">
        <v>2</v>
      </c>
      <c r="E415" s="1">
        <v>10</v>
      </c>
      <c r="F415" s="1">
        <v>16</v>
      </c>
      <c r="G415" s="1">
        <v>271</v>
      </c>
      <c r="H415" s="1">
        <v>272</v>
      </c>
      <c r="I415" s="1">
        <f t="shared" si="1"/>
        <v>1</v>
      </c>
    </row>
    <row r="416" spans="3:11" x14ac:dyDescent="0.25">
      <c r="C416" s="1">
        <v>18</v>
      </c>
      <c r="D416" s="1">
        <v>2</v>
      </c>
      <c r="E416" s="1">
        <v>10</v>
      </c>
      <c r="F416" s="1">
        <v>17</v>
      </c>
      <c r="G416" s="1">
        <v>272</v>
      </c>
      <c r="H416" s="1">
        <v>300</v>
      </c>
      <c r="I416" s="1">
        <f t="shared" si="1"/>
        <v>28</v>
      </c>
    </row>
    <row r="417" spans="1:11" x14ac:dyDescent="0.25">
      <c r="C417" s="1">
        <v>18</v>
      </c>
      <c r="D417" s="1">
        <v>2</v>
      </c>
      <c r="E417" s="1">
        <v>10</v>
      </c>
      <c r="F417" s="1">
        <v>18</v>
      </c>
      <c r="G417" s="1">
        <v>300</v>
      </c>
      <c r="H417" s="1">
        <v>336</v>
      </c>
      <c r="I417" s="1">
        <f t="shared" si="1"/>
        <v>36</v>
      </c>
    </row>
    <row r="418" spans="1:11" x14ac:dyDescent="0.25">
      <c r="A418" s="5">
        <v>1</v>
      </c>
      <c r="B418" s="2">
        <v>43886</v>
      </c>
      <c r="C418" s="1">
        <v>19</v>
      </c>
      <c r="D418" s="1">
        <v>2</v>
      </c>
      <c r="E418" s="1">
        <v>1</v>
      </c>
      <c r="F418" s="1">
        <v>1</v>
      </c>
      <c r="G418" s="1">
        <v>8</v>
      </c>
      <c r="H418" s="1">
        <v>8</v>
      </c>
      <c r="I418" s="1">
        <f t="shared" si="1"/>
        <v>0</v>
      </c>
    </row>
    <row r="419" spans="1:11" x14ac:dyDescent="0.25">
      <c r="C419" s="1">
        <v>19</v>
      </c>
      <c r="D419" s="1">
        <v>2</v>
      </c>
      <c r="E419" s="1">
        <v>1</v>
      </c>
      <c r="F419" s="1">
        <v>2</v>
      </c>
      <c r="G419" s="1">
        <v>8</v>
      </c>
      <c r="H419" s="1">
        <v>42</v>
      </c>
      <c r="I419" s="1">
        <f t="shared" si="1"/>
        <v>34</v>
      </c>
    </row>
    <row r="420" spans="1:11" x14ac:dyDescent="0.25">
      <c r="C420" s="1">
        <v>19</v>
      </c>
      <c r="D420" s="1">
        <v>2</v>
      </c>
      <c r="E420" s="1">
        <v>1</v>
      </c>
      <c r="F420" s="1">
        <v>3</v>
      </c>
      <c r="G420" s="1">
        <v>42</v>
      </c>
      <c r="H420" s="1">
        <v>57</v>
      </c>
      <c r="I420" s="1">
        <f t="shared" si="1"/>
        <v>15</v>
      </c>
    </row>
    <row r="421" spans="1:11" x14ac:dyDescent="0.25">
      <c r="C421" s="1">
        <v>19</v>
      </c>
      <c r="D421" s="1">
        <v>2</v>
      </c>
      <c r="E421" s="1">
        <v>1</v>
      </c>
      <c r="F421" s="1">
        <v>4</v>
      </c>
      <c r="G421" s="1">
        <v>57</v>
      </c>
      <c r="H421" s="1">
        <v>67</v>
      </c>
      <c r="I421" s="1">
        <f t="shared" si="1"/>
        <v>10</v>
      </c>
    </row>
    <row r="422" spans="1:11" x14ac:dyDescent="0.25">
      <c r="C422" s="1">
        <v>19</v>
      </c>
      <c r="D422" s="1">
        <v>2</v>
      </c>
      <c r="E422" s="1">
        <v>10</v>
      </c>
      <c r="F422" s="1">
        <v>5</v>
      </c>
      <c r="G422" s="1">
        <v>67</v>
      </c>
      <c r="H422" s="1">
        <v>78</v>
      </c>
      <c r="I422" s="1">
        <f t="shared" si="1"/>
        <v>11</v>
      </c>
      <c r="J422" s="6">
        <f>(I422+I423+I424+I442+I441+I440+I431+I432+I433)/9</f>
        <v>10.222222222222221</v>
      </c>
      <c r="K422" s="6">
        <f>AVERAGE(I422:I442)</f>
        <v>6.333333333333333</v>
      </c>
    </row>
    <row r="423" spans="1:11" x14ac:dyDescent="0.25">
      <c r="C423" s="1">
        <v>19</v>
      </c>
      <c r="D423" s="1">
        <v>2</v>
      </c>
      <c r="E423" s="1">
        <v>10</v>
      </c>
      <c r="F423" s="1">
        <v>6</v>
      </c>
      <c r="G423" s="1">
        <v>82</v>
      </c>
      <c r="H423" s="1">
        <v>124</v>
      </c>
      <c r="I423" s="1">
        <f t="shared" si="1"/>
        <v>42</v>
      </c>
    </row>
    <row r="424" spans="1:11" x14ac:dyDescent="0.25">
      <c r="C424" s="1">
        <v>19</v>
      </c>
      <c r="D424" s="1">
        <v>2</v>
      </c>
      <c r="E424" s="1">
        <v>10</v>
      </c>
      <c r="F424" s="1">
        <v>7</v>
      </c>
      <c r="G424" s="1">
        <v>124</v>
      </c>
      <c r="H424" s="1">
        <v>160</v>
      </c>
      <c r="I424" s="1">
        <f t="shared" si="1"/>
        <v>36</v>
      </c>
    </row>
    <row r="425" spans="1:11" x14ac:dyDescent="0.25">
      <c r="C425" s="1">
        <v>19</v>
      </c>
      <c r="D425" s="1">
        <v>2</v>
      </c>
      <c r="E425" s="1">
        <v>10</v>
      </c>
      <c r="F425" s="1">
        <v>8</v>
      </c>
      <c r="G425" s="1">
        <v>164</v>
      </c>
      <c r="H425" s="1">
        <v>173</v>
      </c>
      <c r="I425" s="1">
        <f t="shared" si="1"/>
        <v>9</v>
      </c>
    </row>
    <row r="426" spans="1:11" x14ac:dyDescent="0.25">
      <c r="C426" s="1">
        <v>19</v>
      </c>
      <c r="D426" s="1">
        <v>2</v>
      </c>
      <c r="E426" s="1">
        <v>10</v>
      </c>
      <c r="F426" s="1">
        <v>9</v>
      </c>
      <c r="G426" s="1">
        <v>173</v>
      </c>
      <c r="H426" s="1">
        <v>194</v>
      </c>
      <c r="I426" s="1">
        <f t="shared" si="1"/>
        <v>21</v>
      </c>
    </row>
    <row r="427" spans="1:11" x14ac:dyDescent="0.25">
      <c r="C427" s="1">
        <v>19</v>
      </c>
      <c r="D427" s="1">
        <v>2</v>
      </c>
      <c r="E427" s="1">
        <v>10</v>
      </c>
      <c r="F427" s="1">
        <v>10</v>
      </c>
      <c r="G427" s="1">
        <v>194</v>
      </c>
      <c r="H427" s="1">
        <v>197</v>
      </c>
      <c r="I427" s="1">
        <f t="shared" si="1"/>
        <v>3</v>
      </c>
    </row>
    <row r="428" spans="1:11" x14ac:dyDescent="0.25">
      <c r="C428" s="1">
        <v>19</v>
      </c>
      <c r="D428" s="1">
        <v>2</v>
      </c>
      <c r="E428" s="1">
        <v>10</v>
      </c>
      <c r="F428" s="1">
        <v>11</v>
      </c>
      <c r="G428" s="1">
        <v>197</v>
      </c>
      <c r="H428" s="1">
        <v>197</v>
      </c>
      <c r="I428" s="1">
        <f t="shared" si="1"/>
        <v>0</v>
      </c>
    </row>
    <row r="429" spans="1:11" x14ac:dyDescent="0.25">
      <c r="C429" s="1">
        <v>19</v>
      </c>
      <c r="D429" s="1">
        <v>2</v>
      </c>
      <c r="E429" s="1">
        <v>10</v>
      </c>
      <c r="F429" s="1">
        <v>12</v>
      </c>
      <c r="G429" s="1">
        <v>197</v>
      </c>
      <c r="H429" s="1">
        <v>197</v>
      </c>
      <c r="I429" s="1">
        <f t="shared" si="1"/>
        <v>0</v>
      </c>
    </row>
    <row r="430" spans="1:11" x14ac:dyDescent="0.25">
      <c r="C430" s="1">
        <v>19</v>
      </c>
      <c r="D430" s="1">
        <v>2</v>
      </c>
      <c r="E430" s="1">
        <v>10</v>
      </c>
      <c r="F430" s="1">
        <v>13</v>
      </c>
      <c r="G430" s="1">
        <v>197</v>
      </c>
      <c r="H430" s="1">
        <v>197</v>
      </c>
      <c r="I430" s="1">
        <f t="shared" si="1"/>
        <v>0</v>
      </c>
    </row>
    <row r="431" spans="1:11" x14ac:dyDescent="0.25">
      <c r="C431" s="1">
        <v>19</v>
      </c>
      <c r="D431" s="1">
        <v>2</v>
      </c>
      <c r="E431" s="1">
        <v>10</v>
      </c>
      <c r="F431" s="1">
        <v>14</v>
      </c>
      <c r="G431" s="1">
        <v>197</v>
      </c>
      <c r="H431" s="1">
        <v>197</v>
      </c>
      <c r="I431" s="1">
        <f t="shared" si="1"/>
        <v>0</v>
      </c>
    </row>
    <row r="432" spans="1:11" x14ac:dyDescent="0.25">
      <c r="C432" s="1">
        <v>19</v>
      </c>
      <c r="D432" s="1">
        <v>2</v>
      </c>
      <c r="E432" s="1">
        <v>10</v>
      </c>
      <c r="F432" s="1">
        <v>15</v>
      </c>
      <c r="G432" s="1">
        <v>197</v>
      </c>
      <c r="H432" s="1">
        <v>197</v>
      </c>
      <c r="I432" s="1">
        <f t="shared" si="1"/>
        <v>0</v>
      </c>
    </row>
    <row r="433" spans="1:11" x14ac:dyDescent="0.25">
      <c r="C433" s="1">
        <v>19</v>
      </c>
      <c r="D433" s="1">
        <v>2</v>
      </c>
      <c r="E433" s="1">
        <v>10</v>
      </c>
      <c r="F433" s="1">
        <v>16</v>
      </c>
      <c r="G433" s="1">
        <v>197</v>
      </c>
      <c r="H433" s="1">
        <v>197</v>
      </c>
      <c r="I433" s="1">
        <f t="shared" si="1"/>
        <v>0</v>
      </c>
    </row>
    <row r="434" spans="1:11" x14ac:dyDescent="0.25">
      <c r="C434" s="1">
        <v>19</v>
      </c>
      <c r="D434" s="1">
        <v>2</v>
      </c>
      <c r="E434" s="1">
        <v>10</v>
      </c>
      <c r="F434" s="1">
        <v>17</v>
      </c>
      <c r="G434" s="1">
        <v>197</v>
      </c>
      <c r="H434" s="1">
        <v>202</v>
      </c>
      <c r="I434" s="1">
        <f t="shared" si="1"/>
        <v>5</v>
      </c>
    </row>
    <row r="435" spans="1:11" x14ac:dyDescent="0.25">
      <c r="C435" s="1">
        <v>19</v>
      </c>
      <c r="D435" s="1">
        <v>2</v>
      </c>
      <c r="E435" s="1">
        <v>10</v>
      </c>
      <c r="F435" s="1">
        <v>18</v>
      </c>
      <c r="G435" s="1">
        <v>202</v>
      </c>
      <c r="H435" s="1">
        <v>205</v>
      </c>
      <c r="I435" s="1">
        <f t="shared" si="1"/>
        <v>3</v>
      </c>
    </row>
    <row r="436" spans="1:11" x14ac:dyDescent="0.25">
      <c r="C436" s="1">
        <v>19</v>
      </c>
      <c r="D436" s="1">
        <v>2</v>
      </c>
      <c r="E436" s="1">
        <v>10</v>
      </c>
      <c r="F436" s="1">
        <v>19</v>
      </c>
      <c r="G436" s="1">
        <v>205</v>
      </c>
      <c r="H436" s="1">
        <v>205</v>
      </c>
      <c r="I436" s="1">
        <f t="shared" si="1"/>
        <v>0</v>
      </c>
    </row>
    <row r="437" spans="1:11" x14ac:dyDescent="0.25">
      <c r="C437" s="1">
        <v>19</v>
      </c>
      <c r="D437" s="1">
        <v>2</v>
      </c>
      <c r="E437" s="1">
        <v>10</v>
      </c>
      <c r="F437" s="1">
        <v>20</v>
      </c>
      <c r="G437" s="1">
        <v>205</v>
      </c>
      <c r="H437" s="1">
        <v>205</v>
      </c>
      <c r="I437" s="1">
        <f t="shared" si="1"/>
        <v>0</v>
      </c>
    </row>
    <row r="438" spans="1:11" x14ac:dyDescent="0.25">
      <c r="C438" s="1">
        <v>19</v>
      </c>
      <c r="D438" s="1">
        <v>2</v>
      </c>
      <c r="E438" s="1">
        <v>10</v>
      </c>
      <c r="F438" s="1">
        <v>21</v>
      </c>
      <c r="G438" s="1">
        <v>205</v>
      </c>
      <c r="H438" s="1">
        <v>205</v>
      </c>
      <c r="I438" s="1">
        <f t="shared" si="1"/>
        <v>0</v>
      </c>
    </row>
    <row r="439" spans="1:11" x14ac:dyDescent="0.25">
      <c r="C439" s="1">
        <v>19</v>
      </c>
      <c r="D439" s="1">
        <v>2</v>
      </c>
      <c r="E439" s="1">
        <v>10</v>
      </c>
      <c r="F439" s="1">
        <v>22</v>
      </c>
      <c r="G439" s="1">
        <v>205</v>
      </c>
      <c r="H439" s="1">
        <v>205</v>
      </c>
      <c r="I439" s="1">
        <f t="shared" si="1"/>
        <v>0</v>
      </c>
    </row>
    <row r="440" spans="1:11" x14ac:dyDescent="0.25">
      <c r="C440" s="1">
        <v>19</v>
      </c>
      <c r="D440" s="1">
        <v>2</v>
      </c>
      <c r="E440" s="1">
        <v>10</v>
      </c>
      <c r="F440" s="1">
        <v>23</v>
      </c>
      <c r="G440" s="1">
        <v>205</v>
      </c>
      <c r="H440" s="1">
        <v>205</v>
      </c>
      <c r="I440" s="1">
        <f t="shared" si="1"/>
        <v>0</v>
      </c>
    </row>
    <row r="441" spans="1:11" x14ac:dyDescent="0.25">
      <c r="C441" s="1">
        <v>19</v>
      </c>
      <c r="D441" s="1">
        <v>2</v>
      </c>
      <c r="E441" s="1">
        <v>10</v>
      </c>
      <c r="F441" s="1">
        <v>24</v>
      </c>
      <c r="G441" s="1">
        <v>205</v>
      </c>
      <c r="H441" s="1">
        <v>205</v>
      </c>
      <c r="I441" s="1">
        <f t="shared" si="1"/>
        <v>0</v>
      </c>
    </row>
    <row r="442" spans="1:11" x14ac:dyDescent="0.25">
      <c r="C442" s="1">
        <v>19</v>
      </c>
      <c r="D442" s="1">
        <v>2</v>
      </c>
      <c r="E442" s="1">
        <v>10</v>
      </c>
      <c r="F442" s="1">
        <v>25</v>
      </c>
      <c r="G442" s="1">
        <v>205</v>
      </c>
      <c r="H442" s="1">
        <v>208</v>
      </c>
      <c r="I442" s="1">
        <f t="shared" si="1"/>
        <v>3</v>
      </c>
    </row>
    <row r="443" spans="1:11" x14ac:dyDescent="0.25">
      <c r="A443" s="5">
        <v>1</v>
      </c>
      <c r="B443" s="2">
        <v>43886</v>
      </c>
      <c r="C443" s="1">
        <v>20</v>
      </c>
      <c r="D443" s="1">
        <v>2</v>
      </c>
      <c r="E443" s="1">
        <v>1</v>
      </c>
      <c r="F443" s="1">
        <v>1</v>
      </c>
      <c r="G443" s="1">
        <v>0</v>
      </c>
      <c r="H443" s="1">
        <v>0</v>
      </c>
      <c r="I443" s="1">
        <f t="shared" si="1"/>
        <v>0</v>
      </c>
    </row>
    <row r="444" spans="1:11" x14ac:dyDescent="0.25">
      <c r="C444" s="1">
        <v>20</v>
      </c>
      <c r="D444" s="1">
        <v>2</v>
      </c>
      <c r="E444" s="1">
        <v>1</v>
      </c>
      <c r="F444" s="1">
        <v>2</v>
      </c>
      <c r="G444" s="1">
        <v>0</v>
      </c>
      <c r="H444" s="1">
        <v>34</v>
      </c>
      <c r="I444" s="1">
        <f t="shared" si="1"/>
        <v>34</v>
      </c>
    </row>
    <row r="445" spans="1:11" x14ac:dyDescent="0.25">
      <c r="C445" s="1">
        <v>20</v>
      </c>
      <c r="D445" s="1">
        <v>2</v>
      </c>
      <c r="E445" s="1">
        <v>1</v>
      </c>
      <c r="F445" s="1">
        <v>3</v>
      </c>
      <c r="G445" s="1">
        <v>34</v>
      </c>
      <c r="H445" s="1">
        <v>37</v>
      </c>
      <c r="I445" s="1">
        <f t="shared" si="1"/>
        <v>3</v>
      </c>
    </row>
    <row r="446" spans="1:11" x14ac:dyDescent="0.25">
      <c r="C446" s="1">
        <v>20</v>
      </c>
      <c r="D446" s="1">
        <v>2</v>
      </c>
      <c r="E446" s="1">
        <v>1</v>
      </c>
      <c r="F446" s="1">
        <v>4</v>
      </c>
      <c r="G446" s="1">
        <v>37</v>
      </c>
      <c r="H446" s="1">
        <v>37</v>
      </c>
      <c r="I446" s="1">
        <f t="shared" si="1"/>
        <v>0</v>
      </c>
    </row>
    <row r="447" spans="1:11" x14ac:dyDescent="0.25">
      <c r="C447" s="1">
        <v>20</v>
      </c>
      <c r="D447" s="1">
        <v>2</v>
      </c>
      <c r="E447" s="1">
        <v>10</v>
      </c>
      <c r="F447" s="1">
        <v>5</v>
      </c>
      <c r="G447" s="1">
        <v>37</v>
      </c>
      <c r="H447" s="1">
        <v>43</v>
      </c>
      <c r="I447" s="1">
        <f t="shared" si="1"/>
        <v>6</v>
      </c>
      <c r="J447" s="6">
        <f>(I447+I448+I449+I458+I457+I456+I452+I453+I454)/9</f>
        <v>27.222222222222221</v>
      </c>
      <c r="K447" s="6">
        <f>AVERAGE(I447:I458)</f>
        <v>28.666666666666668</v>
      </c>
    </row>
    <row r="448" spans="1:11" x14ac:dyDescent="0.25">
      <c r="C448" s="1">
        <v>20</v>
      </c>
      <c r="D448" s="1">
        <v>2</v>
      </c>
      <c r="E448" s="1">
        <v>10</v>
      </c>
      <c r="F448" s="1">
        <v>6</v>
      </c>
      <c r="G448" s="1">
        <v>43</v>
      </c>
      <c r="H448" s="1">
        <v>74</v>
      </c>
      <c r="I448" s="1">
        <f t="shared" si="1"/>
        <v>31</v>
      </c>
    </row>
    <row r="449" spans="1:11" x14ac:dyDescent="0.25">
      <c r="C449" s="1">
        <v>20</v>
      </c>
      <c r="D449" s="1">
        <v>2</v>
      </c>
      <c r="E449" s="1">
        <v>10</v>
      </c>
      <c r="F449" s="1">
        <v>7</v>
      </c>
      <c r="G449" s="1">
        <v>74</v>
      </c>
      <c r="H449" s="1">
        <v>105</v>
      </c>
      <c r="I449" s="1">
        <f t="shared" si="1"/>
        <v>31</v>
      </c>
    </row>
    <row r="450" spans="1:11" x14ac:dyDescent="0.25">
      <c r="C450" s="1">
        <v>20</v>
      </c>
      <c r="D450" s="1">
        <v>2</v>
      </c>
      <c r="E450" s="1">
        <v>10</v>
      </c>
      <c r="F450" s="1">
        <v>8</v>
      </c>
      <c r="G450" s="1">
        <v>105</v>
      </c>
      <c r="H450" s="1">
        <v>157</v>
      </c>
      <c r="I450" s="1">
        <f t="shared" si="1"/>
        <v>52</v>
      </c>
    </row>
    <row r="451" spans="1:11" x14ac:dyDescent="0.25">
      <c r="C451" s="1">
        <v>20</v>
      </c>
      <c r="D451" s="1">
        <v>2</v>
      </c>
      <c r="E451" s="1">
        <v>10</v>
      </c>
      <c r="F451" s="1">
        <v>9</v>
      </c>
      <c r="G451" s="1">
        <v>157</v>
      </c>
      <c r="H451" s="1">
        <v>202</v>
      </c>
      <c r="I451" s="1">
        <f t="shared" si="1"/>
        <v>45</v>
      </c>
    </row>
    <row r="452" spans="1:11" x14ac:dyDescent="0.25">
      <c r="C452" s="1">
        <v>20</v>
      </c>
      <c r="D452" s="1">
        <v>2</v>
      </c>
      <c r="E452" s="1">
        <v>10</v>
      </c>
      <c r="F452" s="1">
        <v>10</v>
      </c>
      <c r="G452" s="1">
        <v>202</v>
      </c>
      <c r="H452" s="1">
        <v>244</v>
      </c>
      <c r="I452" s="1">
        <f t="shared" si="1"/>
        <v>42</v>
      </c>
    </row>
    <row r="453" spans="1:11" x14ac:dyDescent="0.25">
      <c r="C453" s="1">
        <v>20</v>
      </c>
      <c r="D453" s="1">
        <v>2</v>
      </c>
      <c r="E453" s="1">
        <v>10</v>
      </c>
      <c r="F453" s="1">
        <v>11</v>
      </c>
      <c r="G453" s="1">
        <v>244</v>
      </c>
      <c r="H453" s="1">
        <v>288</v>
      </c>
      <c r="I453" s="1">
        <f t="shared" si="1"/>
        <v>44</v>
      </c>
    </row>
    <row r="454" spans="1:11" x14ac:dyDescent="0.25">
      <c r="C454" s="1">
        <v>20</v>
      </c>
      <c r="D454" s="1">
        <v>2</v>
      </c>
      <c r="E454" s="1">
        <v>10</v>
      </c>
      <c r="F454" s="1">
        <v>12</v>
      </c>
      <c r="G454" s="1">
        <v>288</v>
      </c>
      <c r="H454" s="1">
        <v>295</v>
      </c>
      <c r="I454" s="1">
        <f t="shared" si="1"/>
        <v>7</v>
      </c>
    </row>
    <row r="455" spans="1:11" x14ac:dyDescent="0.25">
      <c r="C455" s="1">
        <v>20</v>
      </c>
      <c r="D455" s="1">
        <v>2</v>
      </c>
      <c r="E455" s="1">
        <v>10</v>
      </c>
      <c r="F455" s="1">
        <v>13</v>
      </c>
      <c r="G455" s="1">
        <v>295</v>
      </c>
      <c r="H455" s="1">
        <v>297</v>
      </c>
      <c r="I455" s="1">
        <f t="shared" si="1"/>
        <v>2</v>
      </c>
    </row>
    <row r="456" spans="1:11" x14ac:dyDescent="0.25">
      <c r="C456" s="1">
        <v>20</v>
      </c>
      <c r="D456" s="1">
        <v>2</v>
      </c>
      <c r="E456" s="1">
        <v>10</v>
      </c>
      <c r="F456" s="1">
        <v>14</v>
      </c>
      <c r="G456" s="1">
        <v>297</v>
      </c>
      <c r="H456" s="1">
        <v>298</v>
      </c>
      <c r="I456" s="1">
        <f t="shared" si="1"/>
        <v>1</v>
      </c>
    </row>
    <row r="457" spans="1:11" x14ac:dyDescent="0.25">
      <c r="C457" s="1">
        <v>20</v>
      </c>
      <c r="D457" s="1">
        <v>2</v>
      </c>
      <c r="E457" s="1">
        <v>10</v>
      </c>
      <c r="F457" s="1">
        <v>15</v>
      </c>
      <c r="G457" s="1">
        <v>298</v>
      </c>
      <c r="H457" s="1">
        <v>338</v>
      </c>
      <c r="I457" s="1">
        <f t="shared" si="1"/>
        <v>40</v>
      </c>
    </row>
    <row r="458" spans="1:11" x14ac:dyDescent="0.25">
      <c r="C458" s="1">
        <v>20</v>
      </c>
      <c r="D458" s="1">
        <v>2</v>
      </c>
      <c r="E458" s="1">
        <v>10</v>
      </c>
      <c r="F458" s="1">
        <v>16</v>
      </c>
      <c r="G458" s="1">
        <v>342</v>
      </c>
      <c r="H458" s="1">
        <v>385</v>
      </c>
      <c r="I458" s="1">
        <f t="shared" si="1"/>
        <v>43</v>
      </c>
    </row>
    <row r="459" spans="1:11" x14ac:dyDescent="0.25">
      <c r="A459" s="5">
        <v>2</v>
      </c>
      <c r="B459" s="2">
        <v>43895</v>
      </c>
      <c r="C459" s="1">
        <v>13</v>
      </c>
      <c r="D459" s="1">
        <v>1</v>
      </c>
      <c r="E459" s="1">
        <v>1</v>
      </c>
      <c r="F459" s="1">
        <v>1</v>
      </c>
      <c r="G459" s="1">
        <v>5</v>
      </c>
      <c r="H459" s="1">
        <v>68</v>
      </c>
      <c r="I459" s="1">
        <f t="shared" si="1"/>
        <v>63</v>
      </c>
      <c r="J459" s="6">
        <f>(I463+I464+I465+I483+I482+I481+I473+I472+I474)/9</f>
        <v>48.444444444444443</v>
      </c>
      <c r="K459" s="6">
        <f>AVERAGE(I463:I483)</f>
        <v>48.095238095238095</v>
      </c>
    </row>
    <row r="460" spans="1:11" x14ac:dyDescent="0.25">
      <c r="C460" s="1">
        <v>13</v>
      </c>
      <c r="D460" s="1">
        <v>1</v>
      </c>
      <c r="E460" s="1">
        <v>1</v>
      </c>
      <c r="F460" s="1">
        <v>2</v>
      </c>
      <c r="G460" s="1">
        <v>68</v>
      </c>
      <c r="H460" s="1">
        <v>128</v>
      </c>
      <c r="I460" s="1">
        <f t="shared" si="1"/>
        <v>60</v>
      </c>
    </row>
    <row r="461" spans="1:11" x14ac:dyDescent="0.25">
      <c r="C461" s="1">
        <v>13</v>
      </c>
      <c r="D461" s="1">
        <v>1</v>
      </c>
      <c r="E461" s="1">
        <v>1</v>
      </c>
      <c r="F461" s="1">
        <v>3</v>
      </c>
      <c r="G461" s="1">
        <v>128</v>
      </c>
      <c r="H461" s="1">
        <v>209</v>
      </c>
      <c r="I461" s="1">
        <f t="shared" si="1"/>
        <v>81</v>
      </c>
    </row>
    <row r="462" spans="1:11" x14ac:dyDescent="0.25">
      <c r="C462" s="1">
        <v>13</v>
      </c>
      <c r="D462" s="1">
        <v>1</v>
      </c>
      <c r="E462" s="1">
        <v>1</v>
      </c>
      <c r="F462" s="1">
        <v>4</v>
      </c>
      <c r="G462" s="1">
        <v>209</v>
      </c>
      <c r="H462" s="1">
        <v>279</v>
      </c>
      <c r="I462" s="1">
        <f t="shared" si="1"/>
        <v>70</v>
      </c>
    </row>
    <row r="463" spans="1:11" x14ac:dyDescent="0.25">
      <c r="C463" s="1">
        <v>13</v>
      </c>
      <c r="D463" s="1">
        <v>1</v>
      </c>
      <c r="E463" s="1">
        <v>10</v>
      </c>
      <c r="F463" s="1">
        <v>5</v>
      </c>
      <c r="G463" s="1">
        <v>280</v>
      </c>
      <c r="H463" s="1">
        <v>322</v>
      </c>
      <c r="I463" s="11">
        <f t="shared" si="1"/>
        <v>42</v>
      </c>
    </row>
    <row r="464" spans="1:11" x14ac:dyDescent="0.25">
      <c r="C464" s="1">
        <v>13</v>
      </c>
      <c r="D464" s="1">
        <v>1</v>
      </c>
      <c r="E464" s="1">
        <v>10</v>
      </c>
      <c r="F464" s="1">
        <v>6</v>
      </c>
      <c r="G464" s="1">
        <v>322</v>
      </c>
      <c r="H464" s="1">
        <v>372</v>
      </c>
      <c r="I464" s="1">
        <f t="shared" si="1"/>
        <v>50</v>
      </c>
    </row>
    <row r="465" spans="3:9" x14ac:dyDescent="0.25">
      <c r="C465" s="1">
        <v>13</v>
      </c>
      <c r="D465" s="1">
        <v>1</v>
      </c>
      <c r="E465" s="1">
        <v>10</v>
      </c>
      <c r="F465" s="1">
        <v>7</v>
      </c>
      <c r="G465" s="1">
        <v>373</v>
      </c>
      <c r="H465" s="1">
        <v>423</v>
      </c>
      <c r="I465" s="1">
        <f t="shared" si="1"/>
        <v>50</v>
      </c>
    </row>
    <row r="466" spans="3:9" x14ac:dyDescent="0.25">
      <c r="C466" s="1">
        <v>13</v>
      </c>
      <c r="D466" s="1">
        <v>1</v>
      </c>
      <c r="E466" s="1">
        <v>10</v>
      </c>
      <c r="F466" s="1">
        <v>8</v>
      </c>
      <c r="G466" s="1">
        <v>426</v>
      </c>
      <c r="H466" s="1">
        <v>480</v>
      </c>
      <c r="I466" s="1">
        <f t="shared" si="1"/>
        <v>54</v>
      </c>
    </row>
    <row r="467" spans="3:9" x14ac:dyDescent="0.25">
      <c r="C467" s="1">
        <v>13</v>
      </c>
      <c r="D467" s="1">
        <v>1</v>
      </c>
      <c r="E467" s="1">
        <v>10</v>
      </c>
      <c r="F467" s="1">
        <v>9</v>
      </c>
      <c r="G467" s="1">
        <v>480</v>
      </c>
      <c r="H467" s="1">
        <v>530</v>
      </c>
      <c r="I467" s="1">
        <f t="shared" si="1"/>
        <v>50</v>
      </c>
    </row>
    <row r="468" spans="3:9" x14ac:dyDescent="0.25">
      <c r="C468" s="1">
        <v>13</v>
      </c>
      <c r="D468" s="1">
        <v>1</v>
      </c>
      <c r="E468" s="1">
        <v>10</v>
      </c>
      <c r="F468" s="1">
        <v>10</v>
      </c>
      <c r="G468" s="1">
        <v>533</v>
      </c>
      <c r="H468" s="1">
        <v>583</v>
      </c>
      <c r="I468" s="1">
        <f t="shared" si="1"/>
        <v>50</v>
      </c>
    </row>
    <row r="469" spans="3:9" x14ac:dyDescent="0.25">
      <c r="C469" s="1">
        <v>13</v>
      </c>
      <c r="D469" s="1">
        <v>1</v>
      </c>
      <c r="E469" s="1">
        <v>10</v>
      </c>
      <c r="F469" s="1">
        <v>11</v>
      </c>
      <c r="G469" s="1">
        <v>583</v>
      </c>
      <c r="H469" s="1">
        <v>620</v>
      </c>
      <c r="I469" s="1">
        <f t="shared" si="1"/>
        <v>37</v>
      </c>
    </row>
    <row r="470" spans="3:9" x14ac:dyDescent="0.25">
      <c r="C470" s="1">
        <v>13</v>
      </c>
      <c r="D470" s="1">
        <v>1</v>
      </c>
      <c r="E470" s="1">
        <v>10</v>
      </c>
      <c r="F470" s="1">
        <v>12</v>
      </c>
      <c r="G470" s="1">
        <v>620</v>
      </c>
      <c r="H470" s="1">
        <v>648</v>
      </c>
      <c r="I470" s="1">
        <f t="shared" si="1"/>
        <v>28</v>
      </c>
    </row>
    <row r="471" spans="3:9" x14ac:dyDescent="0.25">
      <c r="C471" s="1">
        <v>13</v>
      </c>
      <c r="D471" s="1">
        <v>1</v>
      </c>
      <c r="E471" s="1">
        <v>10</v>
      </c>
      <c r="F471" s="1">
        <v>13</v>
      </c>
      <c r="G471" s="1">
        <v>655</v>
      </c>
      <c r="H471" s="1">
        <v>707</v>
      </c>
      <c r="I471" s="1">
        <f t="shared" si="1"/>
        <v>52</v>
      </c>
    </row>
    <row r="472" spans="3:9" x14ac:dyDescent="0.25">
      <c r="C472" s="1">
        <v>13</v>
      </c>
      <c r="D472" s="1">
        <v>1</v>
      </c>
      <c r="E472" s="1">
        <v>10</v>
      </c>
      <c r="F472" s="1">
        <v>14</v>
      </c>
      <c r="G472" s="1">
        <v>707</v>
      </c>
      <c r="H472" s="1">
        <v>759</v>
      </c>
      <c r="I472" s="1">
        <f t="shared" si="1"/>
        <v>52</v>
      </c>
    </row>
    <row r="473" spans="3:9" x14ac:dyDescent="0.25">
      <c r="C473" s="1">
        <v>13</v>
      </c>
      <c r="D473" s="1">
        <v>1</v>
      </c>
      <c r="E473" s="1">
        <v>10</v>
      </c>
      <c r="F473" s="1">
        <v>15</v>
      </c>
      <c r="G473" s="1">
        <v>762</v>
      </c>
      <c r="H473" s="1">
        <v>819</v>
      </c>
      <c r="I473" s="1">
        <f t="shared" si="1"/>
        <v>57</v>
      </c>
    </row>
    <row r="474" spans="3:9" x14ac:dyDescent="0.25">
      <c r="C474" s="1">
        <v>13</v>
      </c>
      <c r="D474" s="1">
        <v>1</v>
      </c>
      <c r="E474" s="1">
        <v>10</v>
      </c>
      <c r="F474" s="1">
        <v>16</v>
      </c>
      <c r="G474" s="1">
        <v>819</v>
      </c>
      <c r="H474" s="1">
        <v>864</v>
      </c>
      <c r="I474" s="1">
        <f t="shared" si="1"/>
        <v>45</v>
      </c>
    </row>
    <row r="475" spans="3:9" x14ac:dyDescent="0.25">
      <c r="C475" s="1">
        <v>13</v>
      </c>
      <c r="D475" s="1">
        <v>1</v>
      </c>
      <c r="E475" s="1">
        <v>10</v>
      </c>
      <c r="F475" s="1">
        <v>17</v>
      </c>
      <c r="G475" s="1">
        <v>864</v>
      </c>
      <c r="H475" s="1">
        <v>918</v>
      </c>
      <c r="I475" s="1">
        <f t="shared" si="1"/>
        <v>54</v>
      </c>
    </row>
    <row r="476" spans="3:9" x14ac:dyDescent="0.25">
      <c r="C476" s="1">
        <v>13</v>
      </c>
      <c r="D476" s="1">
        <v>1</v>
      </c>
      <c r="E476" s="1">
        <v>10</v>
      </c>
      <c r="F476" s="1">
        <v>18</v>
      </c>
      <c r="G476" s="1">
        <v>918</v>
      </c>
      <c r="H476" s="1">
        <v>964</v>
      </c>
      <c r="I476" s="1">
        <f t="shared" si="1"/>
        <v>46</v>
      </c>
    </row>
    <row r="477" spans="3:9" x14ac:dyDescent="0.25">
      <c r="C477" s="1">
        <v>13</v>
      </c>
      <c r="D477" s="1">
        <v>1</v>
      </c>
      <c r="E477" s="1">
        <v>10</v>
      </c>
      <c r="F477" s="1">
        <v>19</v>
      </c>
      <c r="G477" s="1">
        <v>964</v>
      </c>
      <c r="H477" s="1">
        <v>1020</v>
      </c>
      <c r="I477" s="1">
        <f t="shared" si="1"/>
        <v>56</v>
      </c>
    </row>
    <row r="478" spans="3:9" x14ac:dyDescent="0.25">
      <c r="C478" s="1">
        <v>13</v>
      </c>
      <c r="D478" s="1">
        <v>1</v>
      </c>
      <c r="E478" s="1">
        <v>10</v>
      </c>
      <c r="F478" s="1">
        <v>20</v>
      </c>
      <c r="G478" s="1">
        <v>1020</v>
      </c>
      <c r="H478" s="1">
        <v>1071</v>
      </c>
      <c r="I478" s="1">
        <f t="shared" si="1"/>
        <v>51</v>
      </c>
    </row>
    <row r="479" spans="3:9" x14ac:dyDescent="0.25">
      <c r="C479" s="1">
        <v>13</v>
      </c>
      <c r="D479" s="1">
        <v>1</v>
      </c>
      <c r="E479" s="1">
        <v>10</v>
      </c>
      <c r="F479" s="1">
        <v>21</v>
      </c>
      <c r="G479" s="1">
        <v>1071</v>
      </c>
      <c r="H479" s="1">
        <v>1113</v>
      </c>
      <c r="I479" s="1">
        <f t="shared" si="1"/>
        <v>42</v>
      </c>
    </row>
    <row r="480" spans="3:9" x14ac:dyDescent="0.25">
      <c r="C480" s="1">
        <v>13</v>
      </c>
      <c r="D480" s="1">
        <v>1</v>
      </c>
      <c r="E480" s="1">
        <v>10</v>
      </c>
      <c r="F480" s="1">
        <v>22</v>
      </c>
      <c r="G480" s="1">
        <v>1113</v>
      </c>
      <c r="H480" s="1">
        <v>1167</v>
      </c>
      <c r="I480" s="1">
        <f t="shared" si="1"/>
        <v>54</v>
      </c>
    </row>
    <row r="481" spans="1:11" x14ac:dyDescent="0.25">
      <c r="C481" s="1">
        <v>13</v>
      </c>
      <c r="D481" s="1">
        <v>1</v>
      </c>
      <c r="E481" s="1">
        <v>10</v>
      </c>
      <c r="F481" s="1">
        <v>23</v>
      </c>
      <c r="G481" s="1">
        <v>1169</v>
      </c>
      <c r="H481" s="1">
        <v>1219</v>
      </c>
      <c r="I481" s="1">
        <f t="shared" si="1"/>
        <v>50</v>
      </c>
    </row>
    <row r="482" spans="1:11" x14ac:dyDescent="0.25">
      <c r="C482" s="1">
        <v>13</v>
      </c>
      <c r="D482" s="1">
        <v>1</v>
      </c>
      <c r="E482" s="1">
        <v>10</v>
      </c>
      <c r="F482" s="1">
        <v>24</v>
      </c>
      <c r="G482" s="1">
        <v>1221</v>
      </c>
      <c r="H482" s="1">
        <v>1264</v>
      </c>
      <c r="I482" s="1">
        <f t="shared" si="1"/>
        <v>43</v>
      </c>
    </row>
    <row r="483" spans="1:11" x14ac:dyDescent="0.25">
      <c r="C483" s="1">
        <v>13</v>
      </c>
      <c r="D483" s="1">
        <v>1</v>
      </c>
      <c r="E483" s="1">
        <v>10</v>
      </c>
      <c r="F483" s="1">
        <v>25</v>
      </c>
      <c r="G483" s="1">
        <v>1264</v>
      </c>
      <c r="H483" s="1">
        <v>1311</v>
      </c>
      <c r="I483" s="1">
        <f t="shared" si="1"/>
        <v>47</v>
      </c>
    </row>
    <row r="484" spans="1:11" x14ac:dyDescent="0.25">
      <c r="A484" s="5">
        <v>2</v>
      </c>
      <c r="B484" s="2">
        <v>43895</v>
      </c>
      <c r="C484" s="1">
        <v>14</v>
      </c>
      <c r="D484" s="1">
        <v>2</v>
      </c>
      <c r="E484" s="1">
        <v>1</v>
      </c>
      <c r="F484" s="1">
        <v>1</v>
      </c>
      <c r="G484" s="1">
        <v>0</v>
      </c>
      <c r="H484" s="1">
        <v>0</v>
      </c>
      <c r="I484" s="1">
        <f t="shared" si="1"/>
        <v>0</v>
      </c>
      <c r="J484" s="6">
        <f>(I488+I489+I490+I508+I507+I506+I497+I498+I496)/9</f>
        <v>31.666666666666668</v>
      </c>
      <c r="K484" s="6">
        <f>AVERAGE(I488:I508)</f>
        <v>34.142857142857146</v>
      </c>
    </row>
    <row r="485" spans="1:11" x14ac:dyDescent="0.25">
      <c r="C485" s="1">
        <v>14</v>
      </c>
      <c r="D485" s="1">
        <v>2</v>
      </c>
      <c r="E485" s="1">
        <v>1</v>
      </c>
      <c r="F485" s="1">
        <v>2</v>
      </c>
      <c r="G485" s="1">
        <v>34</v>
      </c>
      <c r="H485" s="1">
        <v>104</v>
      </c>
      <c r="I485" s="1">
        <f t="shared" si="1"/>
        <v>70</v>
      </c>
    </row>
    <row r="486" spans="1:11" x14ac:dyDescent="0.25">
      <c r="C486" s="1">
        <v>14</v>
      </c>
      <c r="D486" s="1">
        <v>2</v>
      </c>
      <c r="E486" s="1">
        <v>1</v>
      </c>
      <c r="F486" s="1">
        <v>3</v>
      </c>
      <c r="G486" s="1">
        <v>104</v>
      </c>
      <c r="H486" s="1">
        <v>160</v>
      </c>
      <c r="I486" s="1">
        <f t="shared" si="1"/>
        <v>56</v>
      </c>
    </row>
    <row r="487" spans="1:11" x14ac:dyDescent="0.25">
      <c r="C487" s="1">
        <v>14</v>
      </c>
      <c r="D487" s="1">
        <v>2</v>
      </c>
      <c r="E487" s="1">
        <v>1</v>
      </c>
      <c r="F487" s="1">
        <v>4</v>
      </c>
      <c r="G487" s="1">
        <v>170</v>
      </c>
      <c r="H487" s="1">
        <v>227</v>
      </c>
      <c r="I487" s="1">
        <f t="shared" si="1"/>
        <v>57</v>
      </c>
    </row>
    <row r="488" spans="1:11" x14ac:dyDescent="0.25">
      <c r="C488" s="1">
        <v>14</v>
      </c>
      <c r="D488" s="1">
        <v>2</v>
      </c>
      <c r="E488" s="1">
        <v>10</v>
      </c>
      <c r="F488" s="1">
        <v>5</v>
      </c>
      <c r="G488" s="1">
        <v>227</v>
      </c>
      <c r="H488" s="1">
        <v>254</v>
      </c>
      <c r="I488" s="11">
        <f t="shared" si="1"/>
        <v>27</v>
      </c>
    </row>
    <row r="489" spans="1:11" x14ac:dyDescent="0.25">
      <c r="C489" s="1">
        <v>14</v>
      </c>
      <c r="D489" s="1">
        <v>2</v>
      </c>
      <c r="E489" s="1">
        <v>10</v>
      </c>
      <c r="F489" s="1">
        <v>6</v>
      </c>
      <c r="G489" s="1">
        <v>254</v>
      </c>
      <c r="H489" s="1">
        <v>294</v>
      </c>
      <c r="I489" s="1">
        <f t="shared" si="1"/>
        <v>40</v>
      </c>
    </row>
    <row r="490" spans="1:11" x14ac:dyDescent="0.25">
      <c r="C490" s="1">
        <v>14</v>
      </c>
      <c r="D490" s="1">
        <v>2</v>
      </c>
      <c r="E490" s="1">
        <v>10</v>
      </c>
      <c r="F490" s="1">
        <v>7</v>
      </c>
      <c r="G490" s="1">
        <v>294</v>
      </c>
      <c r="H490" s="1">
        <v>337</v>
      </c>
      <c r="I490" s="1">
        <f t="shared" si="1"/>
        <v>43</v>
      </c>
    </row>
    <row r="491" spans="1:11" x14ac:dyDescent="0.25">
      <c r="C491" s="1">
        <v>14</v>
      </c>
      <c r="D491" s="1">
        <v>2</v>
      </c>
      <c r="E491" s="1">
        <v>10</v>
      </c>
      <c r="F491" s="1">
        <v>8</v>
      </c>
      <c r="G491" s="1">
        <v>337</v>
      </c>
      <c r="H491" s="1">
        <v>383</v>
      </c>
      <c r="I491" s="1">
        <f t="shared" si="1"/>
        <v>46</v>
      </c>
    </row>
    <row r="492" spans="1:11" x14ac:dyDescent="0.25">
      <c r="C492" s="1">
        <v>14</v>
      </c>
      <c r="D492" s="1">
        <v>2</v>
      </c>
      <c r="E492" s="1">
        <v>10</v>
      </c>
      <c r="F492" s="1">
        <v>9</v>
      </c>
      <c r="G492" s="1">
        <v>383</v>
      </c>
      <c r="H492" s="1">
        <v>416</v>
      </c>
      <c r="I492" s="1">
        <f t="shared" si="1"/>
        <v>33</v>
      </c>
    </row>
    <row r="493" spans="1:11" x14ac:dyDescent="0.25">
      <c r="C493" s="1">
        <v>14</v>
      </c>
      <c r="D493" s="1">
        <v>2</v>
      </c>
      <c r="E493" s="1">
        <v>10</v>
      </c>
      <c r="F493" s="1">
        <v>10</v>
      </c>
      <c r="G493" s="1">
        <v>416</v>
      </c>
      <c r="H493" s="1">
        <v>452</v>
      </c>
      <c r="I493" s="1">
        <f t="shared" si="1"/>
        <v>36</v>
      </c>
    </row>
    <row r="494" spans="1:11" x14ac:dyDescent="0.25">
      <c r="C494" s="1">
        <v>14</v>
      </c>
      <c r="D494" s="1">
        <v>2</v>
      </c>
      <c r="E494" s="1">
        <v>10</v>
      </c>
      <c r="F494" s="1">
        <v>11</v>
      </c>
      <c r="G494" s="1">
        <v>452</v>
      </c>
      <c r="H494" s="1">
        <v>472</v>
      </c>
      <c r="I494" s="1">
        <f t="shared" si="1"/>
        <v>20</v>
      </c>
    </row>
    <row r="495" spans="1:11" x14ac:dyDescent="0.25">
      <c r="C495" s="1">
        <v>14</v>
      </c>
      <c r="D495" s="1">
        <v>2</v>
      </c>
      <c r="E495" s="1">
        <v>10</v>
      </c>
      <c r="F495" s="1">
        <v>12</v>
      </c>
      <c r="G495" s="1">
        <v>472</v>
      </c>
      <c r="H495" s="1">
        <v>512</v>
      </c>
      <c r="I495" s="1">
        <f t="shared" si="1"/>
        <v>40</v>
      </c>
    </row>
    <row r="496" spans="1:11" x14ac:dyDescent="0.25">
      <c r="C496" s="1">
        <v>14</v>
      </c>
      <c r="D496" s="1">
        <v>2</v>
      </c>
      <c r="E496" s="1">
        <v>10</v>
      </c>
      <c r="F496" s="1">
        <v>13</v>
      </c>
      <c r="G496" s="1">
        <v>512</v>
      </c>
      <c r="H496" s="1">
        <v>542</v>
      </c>
      <c r="I496" s="1">
        <f t="shared" si="1"/>
        <v>30</v>
      </c>
    </row>
    <row r="497" spans="1:11" x14ac:dyDescent="0.25">
      <c r="C497" s="1">
        <v>14</v>
      </c>
      <c r="D497" s="1">
        <v>2</v>
      </c>
      <c r="E497" s="1">
        <v>10</v>
      </c>
      <c r="F497" s="1">
        <v>14</v>
      </c>
      <c r="G497" s="1">
        <v>542</v>
      </c>
      <c r="H497" s="1">
        <v>575</v>
      </c>
      <c r="I497" s="1">
        <f t="shared" si="1"/>
        <v>33</v>
      </c>
    </row>
    <row r="498" spans="1:11" x14ac:dyDescent="0.25">
      <c r="C498" s="1">
        <v>14</v>
      </c>
      <c r="D498" s="1">
        <v>2</v>
      </c>
      <c r="E498" s="1">
        <v>10</v>
      </c>
      <c r="F498" s="1">
        <v>15</v>
      </c>
      <c r="G498" s="1">
        <v>575</v>
      </c>
      <c r="H498" s="1">
        <v>613</v>
      </c>
      <c r="I498" s="1">
        <f t="shared" si="1"/>
        <v>38</v>
      </c>
    </row>
    <row r="499" spans="1:11" x14ac:dyDescent="0.25">
      <c r="C499" s="1">
        <v>14</v>
      </c>
      <c r="D499" s="1">
        <v>2</v>
      </c>
      <c r="E499" s="1">
        <v>10</v>
      </c>
      <c r="F499" s="1">
        <v>16</v>
      </c>
      <c r="G499" s="1">
        <v>613</v>
      </c>
      <c r="H499" s="1">
        <v>648</v>
      </c>
      <c r="I499" s="1">
        <f t="shared" si="1"/>
        <v>35</v>
      </c>
    </row>
    <row r="500" spans="1:11" x14ac:dyDescent="0.25">
      <c r="C500" s="1">
        <v>14</v>
      </c>
      <c r="D500" s="1">
        <v>2</v>
      </c>
      <c r="E500" s="1">
        <v>10</v>
      </c>
      <c r="F500" s="1">
        <v>17</v>
      </c>
      <c r="G500" s="1">
        <v>648</v>
      </c>
      <c r="H500" s="1">
        <v>683</v>
      </c>
      <c r="I500" s="1">
        <f t="shared" si="1"/>
        <v>35</v>
      </c>
    </row>
    <row r="501" spans="1:11" x14ac:dyDescent="0.25">
      <c r="C501" s="1">
        <v>14</v>
      </c>
      <c r="D501" s="1">
        <v>2</v>
      </c>
      <c r="E501" s="1">
        <v>10</v>
      </c>
      <c r="F501" s="1">
        <v>18</v>
      </c>
      <c r="G501" s="1">
        <v>685</v>
      </c>
      <c r="H501" s="1">
        <v>722</v>
      </c>
      <c r="I501" s="1">
        <f t="shared" si="1"/>
        <v>37</v>
      </c>
    </row>
    <row r="502" spans="1:11" x14ac:dyDescent="0.25">
      <c r="C502" s="1">
        <v>14</v>
      </c>
      <c r="D502" s="1">
        <v>2</v>
      </c>
      <c r="E502" s="1">
        <v>10</v>
      </c>
      <c r="F502" s="1">
        <v>19</v>
      </c>
      <c r="G502" s="1">
        <v>722</v>
      </c>
      <c r="H502" s="1">
        <v>757</v>
      </c>
      <c r="I502" s="1">
        <f t="shared" si="1"/>
        <v>35</v>
      </c>
    </row>
    <row r="503" spans="1:11" x14ac:dyDescent="0.25">
      <c r="C503" s="1">
        <v>14</v>
      </c>
      <c r="D503" s="1">
        <v>2</v>
      </c>
      <c r="E503" s="1">
        <v>10</v>
      </c>
      <c r="F503" s="1">
        <v>20</v>
      </c>
      <c r="G503" s="1">
        <v>757</v>
      </c>
      <c r="H503" s="1">
        <v>797</v>
      </c>
      <c r="I503" s="1">
        <f t="shared" si="1"/>
        <v>40</v>
      </c>
    </row>
    <row r="504" spans="1:11" x14ac:dyDescent="0.25">
      <c r="C504" s="1">
        <v>14</v>
      </c>
      <c r="D504" s="1">
        <v>2</v>
      </c>
      <c r="E504" s="1">
        <v>10</v>
      </c>
      <c r="F504" s="1">
        <v>21</v>
      </c>
      <c r="G504" s="1">
        <v>797</v>
      </c>
      <c r="H504" s="1">
        <v>842</v>
      </c>
      <c r="I504" s="1">
        <f t="shared" si="1"/>
        <v>45</v>
      </c>
    </row>
    <row r="505" spans="1:11" x14ac:dyDescent="0.25">
      <c r="C505" s="1">
        <v>14</v>
      </c>
      <c r="D505" s="1">
        <v>2</v>
      </c>
      <c r="E505" s="1">
        <v>10</v>
      </c>
      <c r="F505" s="1">
        <v>22</v>
      </c>
      <c r="G505" s="1">
        <v>842</v>
      </c>
      <c r="H505" s="1">
        <v>872</v>
      </c>
      <c r="I505" s="1">
        <f t="shared" si="1"/>
        <v>30</v>
      </c>
    </row>
    <row r="506" spans="1:11" x14ac:dyDescent="0.25">
      <c r="C506" s="1">
        <v>14</v>
      </c>
      <c r="D506" s="1">
        <v>2</v>
      </c>
      <c r="E506" s="1">
        <v>10</v>
      </c>
      <c r="F506" s="1">
        <v>23</v>
      </c>
      <c r="G506" s="1">
        <v>872</v>
      </c>
      <c r="H506" s="1">
        <v>904</v>
      </c>
      <c r="I506" s="1">
        <f t="shared" si="1"/>
        <v>32</v>
      </c>
    </row>
    <row r="507" spans="1:11" x14ac:dyDescent="0.25">
      <c r="C507" s="1">
        <v>14</v>
      </c>
      <c r="D507" s="1">
        <v>2</v>
      </c>
      <c r="E507" s="1">
        <v>10</v>
      </c>
      <c r="F507" s="1">
        <v>24</v>
      </c>
      <c r="G507" s="1">
        <v>904</v>
      </c>
      <c r="H507" s="1">
        <v>921</v>
      </c>
      <c r="I507" s="1">
        <f t="shared" si="1"/>
        <v>17</v>
      </c>
    </row>
    <row r="508" spans="1:11" x14ac:dyDescent="0.25">
      <c r="C508" s="1">
        <v>14</v>
      </c>
      <c r="D508" s="1">
        <v>2</v>
      </c>
      <c r="E508" s="1">
        <v>10</v>
      </c>
      <c r="F508" s="1">
        <v>25</v>
      </c>
      <c r="G508" s="1">
        <v>911</v>
      </c>
      <c r="H508" s="1">
        <v>936</v>
      </c>
      <c r="I508" s="1">
        <f t="shared" si="1"/>
        <v>25</v>
      </c>
    </row>
    <row r="509" spans="1:11" x14ac:dyDescent="0.25">
      <c r="A509" s="5">
        <v>2</v>
      </c>
      <c r="B509" s="2">
        <v>43895</v>
      </c>
      <c r="C509" s="1">
        <v>15</v>
      </c>
      <c r="D509" s="1">
        <v>1</v>
      </c>
      <c r="E509" s="1">
        <v>1</v>
      </c>
      <c r="F509" s="1">
        <v>1</v>
      </c>
      <c r="G509" s="1">
        <v>0</v>
      </c>
      <c r="H509" s="1">
        <v>54</v>
      </c>
      <c r="I509" s="1">
        <f t="shared" si="1"/>
        <v>54</v>
      </c>
      <c r="J509" s="6">
        <f>(I513+I514+I515+I533+I532+I531+I522+I523+I524)/9</f>
        <v>45.888888888888886</v>
      </c>
      <c r="K509" s="6">
        <f>AVERAGE(I513:I533)</f>
        <v>46.095238095238095</v>
      </c>
    </row>
    <row r="510" spans="1:11" x14ac:dyDescent="0.25">
      <c r="C510" s="1">
        <v>15</v>
      </c>
      <c r="D510" s="1">
        <v>1</v>
      </c>
      <c r="E510" s="1">
        <v>1</v>
      </c>
      <c r="F510" s="1">
        <v>2</v>
      </c>
      <c r="G510" s="1">
        <v>62</v>
      </c>
      <c r="H510" s="1">
        <v>117</v>
      </c>
      <c r="I510" s="1">
        <f t="shared" si="1"/>
        <v>55</v>
      </c>
    </row>
    <row r="511" spans="1:11" x14ac:dyDescent="0.25">
      <c r="C511" s="1">
        <v>15</v>
      </c>
      <c r="D511" s="1">
        <v>1</v>
      </c>
      <c r="E511" s="1">
        <v>1</v>
      </c>
      <c r="F511" s="1">
        <v>3</v>
      </c>
      <c r="G511" s="1">
        <v>119</v>
      </c>
      <c r="H511" s="1">
        <v>155</v>
      </c>
      <c r="I511" s="1">
        <f t="shared" si="1"/>
        <v>36</v>
      </c>
    </row>
    <row r="512" spans="1:11" x14ac:dyDescent="0.25">
      <c r="C512" s="1">
        <v>15</v>
      </c>
      <c r="D512" s="1">
        <v>1</v>
      </c>
      <c r="E512" s="1">
        <v>1</v>
      </c>
      <c r="F512" s="1">
        <v>4</v>
      </c>
      <c r="G512" s="1">
        <v>155</v>
      </c>
      <c r="H512" s="1">
        <v>207</v>
      </c>
      <c r="I512" s="1">
        <f t="shared" si="1"/>
        <v>52</v>
      </c>
    </row>
    <row r="513" spans="3:9" x14ac:dyDescent="0.25">
      <c r="C513" s="1">
        <v>15</v>
      </c>
      <c r="D513" s="1">
        <v>1</v>
      </c>
      <c r="E513" s="1">
        <v>10</v>
      </c>
      <c r="F513" s="1">
        <v>5</v>
      </c>
      <c r="G513" s="1">
        <v>207</v>
      </c>
      <c r="H513" s="1">
        <v>258</v>
      </c>
      <c r="I513" s="11">
        <f t="shared" ref="I513:I578" si="2">H513-G513</f>
        <v>51</v>
      </c>
    </row>
    <row r="514" spans="3:9" x14ac:dyDescent="0.25">
      <c r="C514" s="1">
        <v>15</v>
      </c>
      <c r="D514" s="1">
        <v>1</v>
      </c>
      <c r="E514" s="1">
        <v>10</v>
      </c>
      <c r="F514" s="1">
        <v>6</v>
      </c>
      <c r="G514" s="1">
        <v>258</v>
      </c>
      <c r="H514" s="1">
        <v>314</v>
      </c>
      <c r="I514" s="1">
        <f t="shared" si="2"/>
        <v>56</v>
      </c>
    </row>
    <row r="515" spans="3:9" x14ac:dyDescent="0.25">
      <c r="C515" s="1">
        <v>15</v>
      </c>
      <c r="D515" s="1">
        <v>1</v>
      </c>
      <c r="E515" s="1">
        <v>10</v>
      </c>
      <c r="F515" s="1">
        <v>7</v>
      </c>
      <c r="G515" s="1">
        <v>318</v>
      </c>
      <c r="H515" s="1">
        <v>368</v>
      </c>
      <c r="I515" s="1">
        <f t="shared" si="2"/>
        <v>50</v>
      </c>
    </row>
    <row r="516" spans="3:9" x14ac:dyDescent="0.25">
      <c r="C516" s="1">
        <v>15</v>
      </c>
      <c r="D516" s="1">
        <v>1</v>
      </c>
      <c r="E516" s="1">
        <v>10</v>
      </c>
      <c r="F516" s="1">
        <v>8</v>
      </c>
      <c r="G516" s="1">
        <v>380</v>
      </c>
      <c r="H516" s="1">
        <v>439</v>
      </c>
      <c r="I516" s="1">
        <f t="shared" si="2"/>
        <v>59</v>
      </c>
    </row>
    <row r="517" spans="3:9" x14ac:dyDescent="0.25">
      <c r="C517" s="1">
        <v>15</v>
      </c>
      <c r="D517" s="1">
        <v>1</v>
      </c>
      <c r="E517" s="1">
        <v>10</v>
      </c>
      <c r="F517" s="1">
        <v>9</v>
      </c>
      <c r="G517" s="1">
        <v>439</v>
      </c>
      <c r="H517" s="1">
        <v>495</v>
      </c>
      <c r="I517" s="1">
        <f t="shared" si="2"/>
        <v>56</v>
      </c>
    </row>
    <row r="518" spans="3:9" x14ac:dyDescent="0.25">
      <c r="C518" s="1">
        <v>15</v>
      </c>
      <c r="D518" s="1">
        <v>1</v>
      </c>
      <c r="E518" s="1">
        <v>10</v>
      </c>
      <c r="F518" s="1">
        <v>10</v>
      </c>
      <c r="G518" s="1">
        <v>500</v>
      </c>
      <c r="H518" s="1">
        <v>553</v>
      </c>
      <c r="I518" s="1">
        <f t="shared" si="2"/>
        <v>53</v>
      </c>
    </row>
    <row r="519" spans="3:9" x14ac:dyDescent="0.25">
      <c r="C519" s="1">
        <v>15</v>
      </c>
      <c r="D519" s="1">
        <v>1</v>
      </c>
      <c r="E519" s="1">
        <v>10</v>
      </c>
      <c r="F519" s="1">
        <v>11</v>
      </c>
      <c r="G519" s="1">
        <v>553</v>
      </c>
      <c r="H519" s="1">
        <v>616</v>
      </c>
      <c r="I519" s="1">
        <f t="shared" si="2"/>
        <v>63</v>
      </c>
    </row>
    <row r="520" spans="3:9" x14ac:dyDescent="0.25">
      <c r="C520" s="1">
        <v>15</v>
      </c>
      <c r="D520" s="1">
        <v>1</v>
      </c>
      <c r="E520" s="1">
        <v>10</v>
      </c>
      <c r="F520" s="1">
        <v>12</v>
      </c>
      <c r="G520" s="1">
        <v>616</v>
      </c>
      <c r="H520" s="1">
        <v>668</v>
      </c>
      <c r="I520" s="1">
        <f t="shared" si="2"/>
        <v>52</v>
      </c>
    </row>
    <row r="521" spans="3:9" x14ac:dyDescent="0.25">
      <c r="C521" s="1">
        <v>15</v>
      </c>
      <c r="D521" s="1">
        <v>1</v>
      </c>
      <c r="E521" s="1">
        <v>10</v>
      </c>
      <c r="F521" s="1">
        <v>13</v>
      </c>
      <c r="G521" s="1">
        <v>668</v>
      </c>
      <c r="H521" s="1">
        <v>720</v>
      </c>
      <c r="I521" s="1">
        <f t="shared" si="2"/>
        <v>52</v>
      </c>
    </row>
    <row r="522" spans="3:9" x14ac:dyDescent="0.25">
      <c r="C522" s="1">
        <v>15</v>
      </c>
      <c r="D522" s="1">
        <v>1</v>
      </c>
      <c r="E522" s="1">
        <v>10</v>
      </c>
      <c r="F522" s="1">
        <v>14</v>
      </c>
      <c r="G522" s="1">
        <v>722</v>
      </c>
      <c r="H522" s="1">
        <v>768</v>
      </c>
      <c r="I522" s="1">
        <f t="shared" si="2"/>
        <v>46</v>
      </c>
    </row>
    <row r="523" spans="3:9" x14ac:dyDescent="0.25">
      <c r="C523" s="1">
        <v>15</v>
      </c>
      <c r="D523" s="1">
        <v>1</v>
      </c>
      <c r="E523" s="1">
        <v>10</v>
      </c>
      <c r="F523" s="1">
        <v>15</v>
      </c>
      <c r="G523" s="1">
        <v>769</v>
      </c>
      <c r="H523" s="1">
        <v>823</v>
      </c>
      <c r="I523" s="1">
        <f t="shared" si="2"/>
        <v>54</v>
      </c>
    </row>
    <row r="524" spans="3:9" x14ac:dyDescent="0.25">
      <c r="C524" s="1">
        <v>15</v>
      </c>
      <c r="D524" s="1">
        <v>1</v>
      </c>
      <c r="E524" s="1">
        <v>10</v>
      </c>
      <c r="F524" s="1">
        <v>16</v>
      </c>
      <c r="G524" s="1">
        <v>834</v>
      </c>
      <c r="H524" s="1">
        <v>887</v>
      </c>
      <c r="I524" s="1">
        <f t="shared" si="2"/>
        <v>53</v>
      </c>
    </row>
    <row r="525" spans="3:9" x14ac:dyDescent="0.25">
      <c r="C525" s="1">
        <v>15</v>
      </c>
      <c r="D525" s="1">
        <v>1</v>
      </c>
      <c r="E525" s="1">
        <v>10</v>
      </c>
      <c r="F525" s="1">
        <v>17</v>
      </c>
      <c r="G525" s="1">
        <v>887</v>
      </c>
      <c r="H525" s="1">
        <v>932</v>
      </c>
      <c r="I525" s="1">
        <f t="shared" si="2"/>
        <v>45</v>
      </c>
    </row>
    <row r="526" spans="3:9" x14ac:dyDescent="0.25">
      <c r="C526" s="1">
        <v>15</v>
      </c>
      <c r="D526" s="1">
        <v>1</v>
      </c>
      <c r="E526" s="1">
        <v>10</v>
      </c>
      <c r="F526" s="1">
        <v>18</v>
      </c>
      <c r="G526" s="1">
        <v>932</v>
      </c>
      <c r="H526" s="1">
        <v>971</v>
      </c>
      <c r="I526" s="1">
        <f t="shared" si="2"/>
        <v>39</v>
      </c>
    </row>
    <row r="527" spans="3:9" x14ac:dyDescent="0.25">
      <c r="C527" s="1">
        <v>15</v>
      </c>
      <c r="D527" s="1">
        <v>1</v>
      </c>
      <c r="E527" s="1">
        <v>10</v>
      </c>
      <c r="F527" s="1">
        <v>19</v>
      </c>
      <c r="G527" s="1">
        <v>971</v>
      </c>
      <c r="H527" s="1">
        <v>1012</v>
      </c>
      <c r="I527" s="1">
        <f t="shared" si="2"/>
        <v>41</v>
      </c>
    </row>
    <row r="528" spans="3:9" x14ac:dyDescent="0.25">
      <c r="C528" s="1">
        <v>15</v>
      </c>
      <c r="D528" s="1">
        <v>1</v>
      </c>
      <c r="E528" s="1">
        <v>10</v>
      </c>
      <c r="F528" s="1">
        <v>20</v>
      </c>
      <c r="G528" s="1">
        <v>1022</v>
      </c>
      <c r="H528" s="1">
        <v>1035</v>
      </c>
      <c r="I528" s="1">
        <f t="shared" si="2"/>
        <v>13</v>
      </c>
    </row>
    <row r="529" spans="1:11" x14ac:dyDescent="0.25">
      <c r="C529" s="1">
        <v>15</v>
      </c>
      <c r="D529" s="1">
        <v>1</v>
      </c>
      <c r="E529" s="1">
        <v>10</v>
      </c>
      <c r="F529" s="1">
        <v>21</v>
      </c>
      <c r="G529" s="1">
        <v>1035</v>
      </c>
      <c r="H529" s="1">
        <v>1078</v>
      </c>
      <c r="I529" s="1">
        <f t="shared" si="2"/>
        <v>43</v>
      </c>
    </row>
    <row r="530" spans="1:11" x14ac:dyDescent="0.25">
      <c r="C530" s="1">
        <v>15</v>
      </c>
      <c r="D530" s="1">
        <v>1</v>
      </c>
      <c r="E530" s="1">
        <v>10</v>
      </c>
      <c r="F530" s="1">
        <v>22</v>
      </c>
      <c r="G530" s="1">
        <v>1078</v>
      </c>
      <c r="H530" s="1">
        <v>1117</v>
      </c>
      <c r="I530" s="1">
        <f t="shared" si="2"/>
        <v>39</v>
      </c>
    </row>
    <row r="531" spans="1:11" x14ac:dyDescent="0.25">
      <c r="C531" s="1">
        <v>15</v>
      </c>
      <c r="D531" s="1">
        <v>1</v>
      </c>
      <c r="E531" s="1">
        <v>10</v>
      </c>
      <c r="F531" s="1">
        <v>23</v>
      </c>
      <c r="G531" s="1">
        <v>1117</v>
      </c>
      <c r="H531" s="1">
        <v>1132</v>
      </c>
      <c r="I531" s="1">
        <f t="shared" si="2"/>
        <v>15</v>
      </c>
    </row>
    <row r="532" spans="1:11" x14ac:dyDescent="0.25">
      <c r="C532" s="1">
        <v>15</v>
      </c>
      <c r="D532" s="1">
        <v>1</v>
      </c>
      <c r="E532" s="1">
        <v>10</v>
      </c>
      <c r="F532" s="1">
        <v>24</v>
      </c>
      <c r="G532" s="1">
        <v>1132</v>
      </c>
      <c r="H532" s="1">
        <v>1162</v>
      </c>
      <c r="I532" s="1">
        <f t="shared" si="2"/>
        <v>30</v>
      </c>
    </row>
    <row r="533" spans="1:11" x14ac:dyDescent="0.25">
      <c r="C533" s="1">
        <v>15</v>
      </c>
      <c r="D533" s="1">
        <v>1</v>
      </c>
      <c r="E533" s="1">
        <v>10</v>
      </c>
      <c r="F533" s="1">
        <v>25</v>
      </c>
      <c r="G533" s="1">
        <v>1165</v>
      </c>
      <c r="H533" s="1">
        <v>1223</v>
      </c>
      <c r="I533" s="1">
        <f t="shared" si="2"/>
        <v>58</v>
      </c>
    </row>
    <row r="534" spans="1:11" x14ac:dyDescent="0.25">
      <c r="A534" s="5">
        <v>2</v>
      </c>
      <c r="B534" s="4">
        <v>43895</v>
      </c>
      <c r="C534" s="3">
        <v>16</v>
      </c>
      <c r="D534" s="3">
        <v>2</v>
      </c>
      <c r="E534" s="3">
        <v>1</v>
      </c>
      <c r="F534" s="3">
        <v>1</v>
      </c>
      <c r="G534" s="3">
        <v>0</v>
      </c>
      <c r="H534" s="3">
        <v>36</v>
      </c>
      <c r="I534" s="3">
        <f t="shared" si="2"/>
        <v>36</v>
      </c>
    </row>
    <row r="535" spans="1:11" x14ac:dyDescent="0.25">
      <c r="B535" s="3"/>
      <c r="C535" s="3">
        <v>16</v>
      </c>
      <c r="D535" s="3">
        <v>2</v>
      </c>
      <c r="E535" s="3">
        <v>1</v>
      </c>
      <c r="F535" s="3">
        <v>2</v>
      </c>
      <c r="G535" s="3">
        <v>37</v>
      </c>
      <c r="H535" s="3">
        <v>98</v>
      </c>
      <c r="I535" s="3">
        <f t="shared" si="2"/>
        <v>61</v>
      </c>
    </row>
    <row r="536" spans="1:11" x14ac:dyDescent="0.25">
      <c r="B536" s="3"/>
      <c r="C536" s="3">
        <v>16</v>
      </c>
      <c r="D536" s="3">
        <v>2</v>
      </c>
      <c r="E536" s="3">
        <v>1</v>
      </c>
      <c r="F536" s="3">
        <v>3</v>
      </c>
      <c r="G536" s="3">
        <v>98</v>
      </c>
      <c r="H536" s="3">
        <v>159</v>
      </c>
      <c r="I536" s="3">
        <f t="shared" si="2"/>
        <v>61</v>
      </c>
    </row>
    <row r="537" spans="1:11" x14ac:dyDescent="0.25">
      <c r="B537" s="3"/>
      <c r="C537" s="3">
        <v>16</v>
      </c>
      <c r="D537" s="3">
        <v>2</v>
      </c>
      <c r="E537" s="3">
        <v>1</v>
      </c>
      <c r="F537" s="3">
        <v>4</v>
      </c>
      <c r="G537" s="3">
        <v>159</v>
      </c>
      <c r="H537" s="3">
        <v>159</v>
      </c>
      <c r="I537" s="3">
        <f t="shared" si="2"/>
        <v>0</v>
      </c>
    </row>
    <row r="538" spans="1:11" x14ac:dyDescent="0.25">
      <c r="B538" s="3"/>
      <c r="C538" s="3">
        <v>16</v>
      </c>
      <c r="D538" s="3">
        <v>2</v>
      </c>
      <c r="E538" s="3">
        <v>10</v>
      </c>
      <c r="F538" s="3">
        <v>5</v>
      </c>
      <c r="G538" s="3">
        <v>159</v>
      </c>
      <c r="H538" s="3">
        <v>181</v>
      </c>
      <c r="I538" s="11">
        <f t="shared" si="2"/>
        <v>22</v>
      </c>
    </row>
    <row r="539" spans="1:11" x14ac:dyDescent="0.25">
      <c r="B539" s="3"/>
      <c r="C539" s="3">
        <v>16</v>
      </c>
      <c r="D539" s="3">
        <v>2</v>
      </c>
      <c r="E539" s="3">
        <v>10</v>
      </c>
      <c r="F539" s="3">
        <v>6</v>
      </c>
      <c r="G539" s="3">
        <v>181</v>
      </c>
      <c r="H539" s="3">
        <v>200</v>
      </c>
      <c r="I539" s="3">
        <f t="shared" si="2"/>
        <v>19</v>
      </c>
    </row>
    <row r="540" spans="1:11" x14ac:dyDescent="0.25">
      <c r="A540" s="5">
        <v>2</v>
      </c>
      <c r="B540" s="2">
        <v>43895</v>
      </c>
      <c r="C540" s="1">
        <v>17</v>
      </c>
      <c r="D540" s="1">
        <v>1</v>
      </c>
      <c r="E540" s="1">
        <v>1</v>
      </c>
      <c r="F540" s="1">
        <v>1</v>
      </c>
      <c r="G540" s="1">
        <v>0</v>
      </c>
      <c r="H540" s="1">
        <v>59</v>
      </c>
      <c r="I540" s="1">
        <f t="shared" si="2"/>
        <v>59</v>
      </c>
      <c r="J540" s="6">
        <f>(I544+I545+I546+I564+I563+I562+I553+I554+I555)/9</f>
        <v>48.777777777777779</v>
      </c>
      <c r="K540" s="6">
        <f>AVERAGE(I544:I564)</f>
        <v>49.571428571428569</v>
      </c>
    </row>
    <row r="541" spans="1:11" x14ac:dyDescent="0.25">
      <c r="C541" s="1">
        <v>17</v>
      </c>
      <c r="D541" s="1">
        <v>1</v>
      </c>
      <c r="E541" s="1">
        <v>1</v>
      </c>
      <c r="F541" s="1">
        <v>2</v>
      </c>
      <c r="G541" s="1">
        <v>59</v>
      </c>
      <c r="H541" s="1">
        <v>110</v>
      </c>
      <c r="I541" s="1">
        <f t="shared" si="2"/>
        <v>51</v>
      </c>
    </row>
    <row r="542" spans="1:11" x14ac:dyDescent="0.25">
      <c r="C542" s="1">
        <v>17</v>
      </c>
      <c r="D542" s="1">
        <v>1</v>
      </c>
      <c r="E542" s="1">
        <v>1</v>
      </c>
      <c r="F542" s="1">
        <v>3</v>
      </c>
      <c r="G542" s="1">
        <v>112</v>
      </c>
      <c r="H542" s="1">
        <v>136</v>
      </c>
      <c r="I542" s="1">
        <f t="shared" si="2"/>
        <v>24</v>
      </c>
    </row>
    <row r="543" spans="1:11" x14ac:dyDescent="0.25">
      <c r="C543" s="1">
        <v>17</v>
      </c>
      <c r="D543" s="1">
        <v>1</v>
      </c>
      <c r="E543" s="1">
        <v>1</v>
      </c>
      <c r="F543" s="1">
        <v>4</v>
      </c>
      <c r="G543" s="1">
        <v>136</v>
      </c>
      <c r="H543" s="1">
        <v>179</v>
      </c>
      <c r="I543" s="1">
        <f t="shared" si="2"/>
        <v>43</v>
      </c>
    </row>
    <row r="544" spans="1:11" x14ac:dyDescent="0.25">
      <c r="C544" s="1">
        <v>17</v>
      </c>
      <c r="D544" s="1">
        <v>1</v>
      </c>
      <c r="E544" s="1">
        <v>10</v>
      </c>
      <c r="F544" s="1">
        <v>5</v>
      </c>
      <c r="G544" s="1">
        <v>179</v>
      </c>
      <c r="H544" s="1">
        <v>218</v>
      </c>
      <c r="I544" s="11">
        <f t="shared" si="2"/>
        <v>39</v>
      </c>
    </row>
    <row r="545" spans="3:9" x14ac:dyDescent="0.25">
      <c r="C545" s="1">
        <v>17</v>
      </c>
      <c r="D545" s="1">
        <v>1</v>
      </c>
      <c r="E545" s="1">
        <v>10</v>
      </c>
      <c r="F545" s="1">
        <v>6</v>
      </c>
      <c r="G545" s="1">
        <v>218</v>
      </c>
      <c r="H545" s="1">
        <v>263</v>
      </c>
      <c r="I545" s="1">
        <f t="shared" si="2"/>
        <v>45</v>
      </c>
    </row>
    <row r="546" spans="3:9" x14ac:dyDescent="0.25">
      <c r="C546" s="1">
        <v>17</v>
      </c>
      <c r="D546" s="1">
        <v>1</v>
      </c>
      <c r="E546" s="1">
        <v>10</v>
      </c>
      <c r="F546" s="1">
        <v>7</v>
      </c>
      <c r="G546" s="1">
        <v>263</v>
      </c>
      <c r="H546" s="1">
        <v>325</v>
      </c>
      <c r="I546" s="1">
        <f t="shared" si="2"/>
        <v>62</v>
      </c>
    </row>
    <row r="547" spans="3:9" x14ac:dyDescent="0.25">
      <c r="C547" s="1">
        <v>17</v>
      </c>
      <c r="D547" s="1">
        <v>1</v>
      </c>
      <c r="E547" s="1">
        <v>10</v>
      </c>
      <c r="F547" s="1">
        <v>8</v>
      </c>
      <c r="G547" s="1">
        <v>325</v>
      </c>
      <c r="H547" s="1">
        <v>370</v>
      </c>
      <c r="I547" s="1">
        <f t="shared" si="2"/>
        <v>45</v>
      </c>
    </row>
    <row r="548" spans="3:9" x14ac:dyDescent="0.25">
      <c r="C548" s="1">
        <v>17</v>
      </c>
      <c r="D548" s="1">
        <v>1</v>
      </c>
      <c r="E548" s="1">
        <v>10</v>
      </c>
      <c r="F548" s="1">
        <v>9</v>
      </c>
      <c r="G548" s="1">
        <v>370</v>
      </c>
      <c r="H548" s="1">
        <v>426</v>
      </c>
      <c r="I548" s="1">
        <f t="shared" si="2"/>
        <v>56</v>
      </c>
    </row>
    <row r="549" spans="3:9" x14ac:dyDescent="0.25">
      <c r="C549" s="1">
        <v>17</v>
      </c>
      <c r="D549" s="1">
        <v>1</v>
      </c>
      <c r="E549" s="1">
        <v>10</v>
      </c>
      <c r="F549" s="1">
        <v>10</v>
      </c>
      <c r="G549" s="1">
        <v>428</v>
      </c>
      <c r="H549" s="1">
        <v>486</v>
      </c>
      <c r="I549" s="1">
        <f t="shared" si="2"/>
        <v>58</v>
      </c>
    </row>
    <row r="550" spans="3:9" x14ac:dyDescent="0.25">
      <c r="C550" s="1">
        <v>17</v>
      </c>
      <c r="D550" s="1">
        <v>1</v>
      </c>
      <c r="E550" s="1">
        <v>10</v>
      </c>
      <c r="F550" s="1">
        <v>11</v>
      </c>
      <c r="G550" s="1">
        <v>486</v>
      </c>
      <c r="H550" s="1">
        <v>539</v>
      </c>
      <c r="I550" s="1">
        <f t="shared" si="2"/>
        <v>53</v>
      </c>
    </row>
    <row r="551" spans="3:9" x14ac:dyDescent="0.25">
      <c r="C551" s="1">
        <v>17</v>
      </c>
      <c r="D551" s="1">
        <v>1</v>
      </c>
      <c r="E551" s="1">
        <v>10</v>
      </c>
      <c r="F551" s="1">
        <v>12</v>
      </c>
      <c r="G551" s="1">
        <v>539</v>
      </c>
      <c r="H551" s="1">
        <v>592</v>
      </c>
      <c r="I551" s="1">
        <f t="shared" si="2"/>
        <v>53</v>
      </c>
    </row>
    <row r="552" spans="3:9" x14ac:dyDescent="0.25">
      <c r="C552" s="1">
        <v>17</v>
      </c>
      <c r="D552" s="1">
        <v>1</v>
      </c>
      <c r="E552" s="1">
        <v>10</v>
      </c>
      <c r="F552" s="1">
        <v>13</v>
      </c>
      <c r="G552" s="1">
        <v>592</v>
      </c>
      <c r="H552" s="1">
        <v>636</v>
      </c>
      <c r="I552" s="1">
        <f t="shared" si="2"/>
        <v>44</v>
      </c>
    </row>
    <row r="553" spans="3:9" x14ac:dyDescent="0.25">
      <c r="C553" s="1">
        <v>17</v>
      </c>
      <c r="D553" s="1">
        <v>1</v>
      </c>
      <c r="E553" s="1">
        <v>10</v>
      </c>
      <c r="F553" s="1">
        <v>14</v>
      </c>
      <c r="G553" s="1">
        <v>636</v>
      </c>
      <c r="H553" s="1">
        <v>690</v>
      </c>
      <c r="I553" s="1">
        <f t="shared" si="2"/>
        <v>54</v>
      </c>
    </row>
    <row r="554" spans="3:9" x14ac:dyDescent="0.25">
      <c r="C554" s="1">
        <v>17</v>
      </c>
      <c r="D554" s="1">
        <v>1</v>
      </c>
      <c r="E554" s="1">
        <v>10</v>
      </c>
      <c r="F554" s="1">
        <v>15</v>
      </c>
      <c r="G554" s="1">
        <v>690</v>
      </c>
      <c r="H554" s="1">
        <v>741</v>
      </c>
      <c r="I554" s="1">
        <f t="shared" si="2"/>
        <v>51</v>
      </c>
    </row>
    <row r="555" spans="3:9" x14ac:dyDescent="0.25">
      <c r="C555" s="1">
        <v>17</v>
      </c>
      <c r="D555" s="1">
        <v>1</v>
      </c>
      <c r="E555" s="1">
        <v>10</v>
      </c>
      <c r="F555" s="1">
        <v>16</v>
      </c>
      <c r="G555" s="1">
        <v>741</v>
      </c>
      <c r="H555" s="1">
        <v>796</v>
      </c>
      <c r="I555" s="1">
        <f t="shared" si="2"/>
        <v>55</v>
      </c>
    </row>
    <row r="556" spans="3:9" x14ac:dyDescent="0.25">
      <c r="C556" s="1">
        <v>17</v>
      </c>
      <c r="D556" s="1">
        <v>1</v>
      </c>
      <c r="E556" s="1">
        <v>10</v>
      </c>
      <c r="F556" s="1">
        <v>17</v>
      </c>
      <c r="G556" s="1">
        <v>805</v>
      </c>
      <c r="H556" s="1">
        <v>860</v>
      </c>
      <c r="I556" s="1">
        <f t="shared" si="2"/>
        <v>55</v>
      </c>
    </row>
    <row r="557" spans="3:9" x14ac:dyDescent="0.25">
      <c r="C557" s="1">
        <v>17</v>
      </c>
      <c r="D557" s="1">
        <v>1</v>
      </c>
      <c r="E557" s="1">
        <v>10</v>
      </c>
      <c r="F557" s="1">
        <v>18</v>
      </c>
      <c r="G557" s="1">
        <v>860</v>
      </c>
      <c r="H557" s="1">
        <v>904</v>
      </c>
      <c r="I557" s="1">
        <f t="shared" si="2"/>
        <v>44</v>
      </c>
    </row>
    <row r="558" spans="3:9" x14ac:dyDescent="0.25">
      <c r="C558" s="1">
        <v>17</v>
      </c>
      <c r="D558" s="1">
        <v>1</v>
      </c>
      <c r="E558" s="1">
        <v>10</v>
      </c>
      <c r="F558" s="1">
        <v>19</v>
      </c>
      <c r="G558" s="1">
        <v>906</v>
      </c>
      <c r="H558" s="1">
        <v>964</v>
      </c>
      <c r="I558" s="1">
        <f t="shared" si="2"/>
        <v>58</v>
      </c>
    </row>
    <row r="559" spans="3:9" x14ac:dyDescent="0.25">
      <c r="C559" s="1">
        <v>17</v>
      </c>
      <c r="D559" s="1">
        <v>1</v>
      </c>
      <c r="E559" s="1">
        <v>10</v>
      </c>
      <c r="F559" s="1">
        <v>20</v>
      </c>
      <c r="G559" s="1">
        <v>964</v>
      </c>
      <c r="H559" s="1">
        <v>1009</v>
      </c>
      <c r="I559" s="1">
        <f t="shared" si="2"/>
        <v>45</v>
      </c>
    </row>
    <row r="560" spans="3:9" x14ac:dyDescent="0.25">
      <c r="C560" s="1">
        <v>17</v>
      </c>
      <c r="D560" s="1">
        <v>1</v>
      </c>
      <c r="E560" s="1">
        <v>10</v>
      </c>
      <c r="F560" s="1">
        <v>21</v>
      </c>
      <c r="G560" s="1">
        <v>1011</v>
      </c>
      <c r="H560" s="1">
        <v>1050</v>
      </c>
      <c r="I560" s="1">
        <f t="shared" si="2"/>
        <v>39</v>
      </c>
    </row>
    <row r="561" spans="1:11" x14ac:dyDescent="0.25">
      <c r="C561" s="1">
        <v>17</v>
      </c>
      <c r="D561" s="1">
        <v>1</v>
      </c>
      <c r="E561" s="1">
        <v>10</v>
      </c>
      <c r="F561" s="1">
        <v>22</v>
      </c>
      <c r="G561" s="1">
        <v>1059</v>
      </c>
      <c r="H561" s="1">
        <v>1111</v>
      </c>
      <c r="I561" s="1">
        <f t="shared" si="2"/>
        <v>52</v>
      </c>
    </row>
    <row r="562" spans="1:11" x14ac:dyDescent="0.25">
      <c r="C562" s="1">
        <v>17</v>
      </c>
      <c r="D562" s="1">
        <v>1</v>
      </c>
      <c r="E562" s="1">
        <v>10</v>
      </c>
      <c r="F562" s="1">
        <v>23</v>
      </c>
      <c r="G562" s="1">
        <v>1111</v>
      </c>
      <c r="H562" s="1">
        <v>1160</v>
      </c>
      <c r="I562" s="1">
        <f t="shared" si="2"/>
        <v>49</v>
      </c>
    </row>
    <row r="563" spans="1:11" x14ac:dyDescent="0.25">
      <c r="C563" s="1">
        <v>17</v>
      </c>
      <c r="D563" s="1">
        <v>1</v>
      </c>
      <c r="E563" s="1">
        <v>10</v>
      </c>
      <c r="F563" s="1">
        <v>24</v>
      </c>
      <c r="G563" s="1">
        <v>1161</v>
      </c>
      <c r="H563" s="1">
        <v>1190</v>
      </c>
      <c r="I563" s="1">
        <f t="shared" si="2"/>
        <v>29</v>
      </c>
    </row>
    <row r="564" spans="1:11" x14ac:dyDescent="0.25">
      <c r="C564" s="1">
        <v>17</v>
      </c>
      <c r="D564" s="1">
        <v>1</v>
      </c>
      <c r="E564" s="1">
        <v>10</v>
      </c>
      <c r="F564" s="1">
        <v>25</v>
      </c>
      <c r="G564" s="1">
        <v>1190</v>
      </c>
      <c r="H564" s="1">
        <v>1245</v>
      </c>
      <c r="I564" s="1">
        <f t="shared" si="2"/>
        <v>55</v>
      </c>
    </row>
    <row r="565" spans="1:11" x14ac:dyDescent="0.25">
      <c r="A565" s="5">
        <v>2</v>
      </c>
      <c r="B565" s="2">
        <v>43895</v>
      </c>
      <c r="C565" s="1">
        <v>18</v>
      </c>
      <c r="D565" s="1">
        <v>2</v>
      </c>
      <c r="E565" s="1">
        <v>1</v>
      </c>
      <c r="F565" s="1">
        <v>1</v>
      </c>
      <c r="G565" s="1">
        <v>2</v>
      </c>
      <c r="H565" s="1">
        <v>4</v>
      </c>
      <c r="I565" s="1">
        <f t="shared" si="2"/>
        <v>2</v>
      </c>
      <c r="J565" s="6">
        <f>(I569+I570+I571+I589+I588+I587+I578+I581+I577)/9</f>
        <v>42.222222222222221</v>
      </c>
      <c r="K565" s="6">
        <f>AVERAGE(I569:I589)</f>
        <v>45.631578947368418</v>
      </c>
    </row>
    <row r="566" spans="1:11" x14ac:dyDescent="0.25">
      <c r="C566" s="1">
        <v>18</v>
      </c>
      <c r="D566" s="1">
        <v>2</v>
      </c>
      <c r="E566" s="1">
        <v>1</v>
      </c>
      <c r="F566" s="1">
        <v>2</v>
      </c>
      <c r="G566" s="1">
        <v>4</v>
      </c>
      <c r="H566" s="1">
        <v>42</v>
      </c>
      <c r="I566" s="1">
        <f t="shared" si="2"/>
        <v>38</v>
      </c>
    </row>
    <row r="567" spans="1:11" x14ac:dyDescent="0.25">
      <c r="C567" s="1">
        <v>18</v>
      </c>
      <c r="D567" s="1">
        <v>2</v>
      </c>
      <c r="E567" s="1">
        <v>1</v>
      </c>
      <c r="F567" s="1">
        <v>3</v>
      </c>
      <c r="G567" s="1">
        <v>42</v>
      </c>
      <c r="H567" s="1">
        <v>70</v>
      </c>
      <c r="I567" s="1">
        <f t="shared" si="2"/>
        <v>28</v>
      </c>
    </row>
    <row r="568" spans="1:11" x14ac:dyDescent="0.25">
      <c r="C568" s="1">
        <v>18</v>
      </c>
      <c r="D568" s="1">
        <v>2</v>
      </c>
      <c r="E568" s="1">
        <v>1</v>
      </c>
      <c r="F568" s="1">
        <v>4</v>
      </c>
      <c r="G568" s="1">
        <v>70</v>
      </c>
      <c r="H568" s="1">
        <v>111</v>
      </c>
      <c r="I568" s="1">
        <f t="shared" si="2"/>
        <v>41</v>
      </c>
    </row>
    <row r="569" spans="1:11" x14ac:dyDescent="0.25">
      <c r="C569" s="1">
        <v>18</v>
      </c>
      <c r="D569" s="1">
        <v>2</v>
      </c>
      <c r="E569" s="1">
        <v>10</v>
      </c>
      <c r="F569" s="1">
        <v>5</v>
      </c>
      <c r="G569" s="1">
        <v>111</v>
      </c>
      <c r="H569" s="1">
        <v>126</v>
      </c>
      <c r="I569" s="11">
        <f t="shared" si="2"/>
        <v>15</v>
      </c>
    </row>
    <row r="570" spans="1:11" x14ac:dyDescent="0.25">
      <c r="C570" s="1">
        <v>18</v>
      </c>
      <c r="D570" s="1">
        <v>2</v>
      </c>
      <c r="E570" s="1">
        <v>10</v>
      </c>
      <c r="F570" s="1">
        <v>6</v>
      </c>
      <c r="G570" s="1">
        <v>126</v>
      </c>
      <c r="H570" s="1">
        <v>159</v>
      </c>
      <c r="I570" s="1">
        <f t="shared" si="2"/>
        <v>33</v>
      </c>
    </row>
    <row r="571" spans="1:11" x14ac:dyDescent="0.25">
      <c r="C571" s="1">
        <v>18</v>
      </c>
      <c r="D571" s="1">
        <v>2</v>
      </c>
      <c r="E571" s="1">
        <v>10</v>
      </c>
      <c r="F571" s="1">
        <v>7</v>
      </c>
      <c r="G571" s="1">
        <v>167</v>
      </c>
      <c r="H571" s="1">
        <v>213</v>
      </c>
      <c r="I571" s="1">
        <f t="shared" si="2"/>
        <v>46</v>
      </c>
    </row>
    <row r="572" spans="1:11" x14ac:dyDescent="0.25">
      <c r="C572" s="1">
        <v>18</v>
      </c>
      <c r="D572" s="1">
        <v>2</v>
      </c>
      <c r="E572" s="1">
        <v>10</v>
      </c>
      <c r="F572" s="1">
        <v>8</v>
      </c>
      <c r="G572" s="1">
        <v>213</v>
      </c>
      <c r="H572" s="1">
        <v>264</v>
      </c>
      <c r="I572" s="1">
        <f t="shared" si="2"/>
        <v>51</v>
      </c>
    </row>
    <row r="573" spans="1:11" x14ac:dyDescent="0.25">
      <c r="C573" s="1">
        <v>18</v>
      </c>
      <c r="D573" s="1">
        <v>2</v>
      </c>
      <c r="E573" s="1">
        <v>10</v>
      </c>
      <c r="F573" s="1">
        <v>9</v>
      </c>
      <c r="G573" s="1">
        <v>264</v>
      </c>
      <c r="H573" s="1">
        <v>312</v>
      </c>
      <c r="I573" s="1">
        <f t="shared" si="2"/>
        <v>48</v>
      </c>
    </row>
    <row r="574" spans="1:11" x14ac:dyDescent="0.25">
      <c r="C574" s="1">
        <v>18</v>
      </c>
      <c r="D574" s="1">
        <v>2</v>
      </c>
      <c r="E574" s="1">
        <v>10</v>
      </c>
      <c r="F574" s="1">
        <v>10</v>
      </c>
      <c r="G574" s="1">
        <v>312</v>
      </c>
      <c r="H574" s="1">
        <v>360</v>
      </c>
      <c r="I574" s="1">
        <f t="shared" si="2"/>
        <v>48</v>
      </c>
    </row>
    <row r="575" spans="1:11" x14ac:dyDescent="0.25">
      <c r="C575" s="1">
        <v>18</v>
      </c>
      <c r="D575" s="1">
        <v>2</v>
      </c>
      <c r="E575" s="1">
        <v>10</v>
      </c>
      <c r="F575" s="1">
        <v>11</v>
      </c>
      <c r="G575" s="1">
        <v>374</v>
      </c>
      <c r="H575" s="1">
        <v>426</v>
      </c>
      <c r="I575" s="1">
        <f t="shared" si="2"/>
        <v>52</v>
      </c>
    </row>
    <row r="576" spans="1:11" x14ac:dyDescent="0.25">
      <c r="C576" s="1">
        <v>18</v>
      </c>
      <c r="D576" s="1">
        <v>2</v>
      </c>
      <c r="E576" s="1">
        <v>10</v>
      </c>
      <c r="F576" s="1">
        <v>12</v>
      </c>
      <c r="G576" s="1">
        <v>426</v>
      </c>
      <c r="H576" s="1">
        <v>472</v>
      </c>
      <c r="I576" s="1">
        <f t="shared" si="2"/>
        <v>46</v>
      </c>
    </row>
    <row r="577" spans="1:11" x14ac:dyDescent="0.25">
      <c r="C577" s="1">
        <v>18</v>
      </c>
      <c r="D577" s="1">
        <v>2</v>
      </c>
      <c r="E577" s="1">
        <v>10</v>
      </c>
      <c r="F577" s="1">
        <v>13</v>
      </c>
      <c r="G577" s="1">
        <v>472</v>
      </c>
      <c r="H577" s="1">
        <v>517</v>
      </c>
      <c r="I577" s="1">
        <f t="shared" si="2"/>
        <v>45</v>
      </c>
    </row>
    <row r="578" spans="1:11" x14ac:dyDescent="0.25">
      <c r="C578" s="1">
        <v>18</v>
      </c>
      <c r="D578" s="1">
        <v>2</v>
      </c>
      <c r="E578" s="1">
        <v>10</v>
      </c>
      <c r="F578" s="1">
        <v>14</v>
      </c>
      <c r="G578" s="1">
        <v>517</v>
      </c>
      <c r="H578" s="1">
        <v>567</v>
      </c>
      <c r="I578" s="1">
        <f t="shared" si="2"/>
        <v>50</v>
      </c>
    </row>
    <row r="579" spans="1:11" x14ac:dyDescent="0.25">
      <c r="C579" s="1">
        <v>18</v>
      </c>
      <c r="D579" s="1">
        <v>2</v>
      </c>
      <c r="E579" s="1">
        <v>10</v>
      </c>
      <c r="F579" s="1">
        <v>15</v>
      </c>
      <c r="G579" s="1">
        <v>567</v>
      </c>
    </row>
    <row r="580" spans="1:11" x14ac:dyDescent="0.25">
      <c r="C580" s="1">
        <v>18</v>
      </c>
      <c r="D580" s="1">
        <v>2</v>
      </c>
      <c r="E580" s="1">
        <v>10</v>
      </c>
      <c r="F580" s="1">
        <v>16</v>
      </c>
      <c r="H580" s="1">
        <v>641</v>
      </c>
    </row>
    <row r="581" spans="1:11" x14ac:dyDescent="0.25">
      <c r="C581" s="1">
        <v>18</v>
      </c>
      <c r="D581" s="1">
        <v>2</v>
      </c>
      <c r="E581" s="1">
        <v>10</v>
      </c>
      <c r="F581" s="1">
        <v>17</v>
      </c>
      <c r="G581" s="1">
        <v>641</v>
      </c>
      <c r="H581" s="1">
        <v>687</v>
      </c>
      <c r="I581" s="1">
        <f t="shared" ref="I581:I701" si="3">H581-G581</f>
        <v>46</v>
      </c>
    </row>
    <row r="582" spans="1:11" x14ac:dyDescent="0.25">
      <c r="C582" s="1">
        <v>18</v>
      </c>
      <c r="D582" s="1">
        <v>2</v>
      </c>
      <c r="E582" s="1">
        <v>10</v>
      </c>
      <c r="F582" s="1">
        <v>18</v>
      </c>
      <c r="G582" s="1">
        <v>687</v>
      </c>
      <c r="H582" s="1">
        <v>734</v>
      </c>
      <c r="I582" s="1">
        <f t="shared" si="3"/>
        <v>47</v>
      </c>
    </row>
    <row r="583" spans="1:11" x14ac:dyDescent="0.25">
      <c r="C583" s="1">
        <v>18</v>
      </c>
      <c r="D583" s="1">
        <v>2</v>
      </c>
      <c r="E583" s="1">
        <v>10</v>
      </c>
      <c r="F583" s="1">
        <v>19</v>
      </c>
      <c r="G583" s="1">
        <v>734</v>
      </c>
      <c r="H583" s="1">
        <v>786</v>
      </c>
      <c r="I583" s="1">
        <f t="shared" si="3"/>
        <v>52</v>
      </c>
    </row>
    <row r="584" spans="1:11" x14ac:dyDescent="0.25">
      <c r="C584" s="1">
        <v>18</v>
      </c>
      <c r="D584" s="1">
        <v>2</v>
      </c>
      <c r="E584" s="1">
        <v>10</v>
      </c>
      <c r="F584" s="1">
        <v>20</v>
      </c>
      <c r="G584" s="1">
        <v>786</v>
      </c>
      <c r="H584" s="1">
        <v>840</v>
      </c>
      <c r="I584" s="1">
        <f t="shared" si="3"/>
        <v>54</v>
      </c>
    </row>
    <row r="585" spans="1:11" x14ac:dyDescent="0.25">
      <c r="C585" s="1">
        <v>18</v>
      </c>
      <c r="D585" s="1">
        <v>2</v>
      </c>
      <c r="E585" s="1">
        <v>10</v>
      </c>
      <c r="F585" s="1">
        <v>21</v>
      </c>
      <c r="G585" s="1">
        <v>844</v>
      </c>
      <c r="H585" s="1">
        <v>889</v>
      </c>
      <c r="I585" s="1">
        <f t="shared" si="3"/>
        <v>45</v>
      </c>
    </row>
    <row r="586" spans="1:11" x14ac:dyDescent="0.25">
      <c r="C586" s="1">
        <v>18</v>
      </c>
      <c r="D586" s="1">
        <v>2</v>
      </c>
      <c r="E586" s="1">
        <v>10</v>
      </c>
      <c r="F586" s="1">
        <v>22</v>
      </c>
      <c r="G586" s="1">
        <v>891</v>
      </c>
      <c r="H586" s="1">
        <v>935</v>
      </c>
      <c r="I586" s="1">
        <f t="shared" si="3"/>
        <v>44</v>
      </c>
    </row>
    <row r="587" spans="1:11" x14ac:dyDescent="0.25">
      <c r="C587" s="1">
        <v>18</v>
      </c>
      <c r="D587" s="1">
        <v>2</v>
      </c>
      <c r="E587" s="1">
        <v>10</v>
      </c>
      <c r="F587" s="1">
        <v>23</v>
      </c>
      <c r="G587" s="1">
        <v>935</v>
      </c>
      <c r="H587" s="1">
        <v>980</v>
      </c>
      <c r="I587" s="1">
        <f t="shared" si="3"/>
        <v>45</v>
      </c>
    </row>
    <row r="588" spans="1:11" x14ac:dyDescent="0.25">
      <c r="C588" s="1">
        <v>18</v>
      </c>
      <c r="D588" s="1">
        <v>2</v>
      </c>
      <c r="E588" s="1">
        <v>10</v>
      </c>
      <c r="F588" s="1">
        <v>24</v>
      </c>
      <c r="G588" s="1">
        <v>980</v>
      </c>
      <c r="H588" s="1">
        <v>1027</v>
      </c>
      <c r="I588" s="1">
        <f t="shared" si="3"/>
        <v>47</v>
      </c>
    </row>
    <row r="589" spans="1:11" x14ac:dyDescent="0.25">
      <c r="C589" s="1">
        <v>18</v>
      </c>
      <c r="D589" s="1">
        <v>2</v>
      </c>
      <c r="E589" s="1">
        <v>10</v>
      </c>
      <c r="F589" s="1">
        <v>25</v>
      </c>
      <c r="G589" s="1">
        <v>1027</v>
      </c>
      <c r="H589" s="1">
        <v>1080</v>
      </c>
      <c r="I589" s="1">
        <f t="shared" si="3"/>
        <v>53</v>
      </c>
    </row>
    <row r="590" spans="1:11" x14ac:dyDescent="0.25">
      <c r="A590" s="5">
        <v>2</v>
      </c>
      <c r="B590" s="2">
        <v>43895</v>
      </c>
      <c r="C590" s="1">
        <v>19</v>
      </c>
      <c r="D590" s="1">
        <v>2</v>
      </c>
      <c r="E590" s="1">
        <v>1</v>
      </c>
      <c r="F590" s="1">
        <v>1</v>
      </c>
      <c r="G590" s="1">
        <v>0</v>
      </c>
      <c r="H590" s="1">
        <v>43</v>
      </c>
      <c r="I590" s="1">
        <f t="shared" si="3"/>
        <v>43</v>
      </c>
      <c r="J590" s="6">
        <f>(I594+I595+I596+I614+I613+I612+I603+I604+I605)/9</f>
        <v>48.333333333333336</v>
      </c>
      <c r="K590" s="6">
        <f>AVERAGE(I594:I614)</f>
        <v>47.714285714285715</v>
      </c>
    </row>
    <row r="591" spans="1:11" x14ac:dyDescent="0.25">
      <c r="C591" s="1">
        <v>19</v>
      </c>
      <c r="D591" s="1">
        <v>2</v>
      </c>
      <c r="E591" s="1">
        <v>1</v>
      </c>
      <c r="F591" s="1">
        <v>2</v>
      </c>
      <c r="G591" s="1">
        <v>54</v>
      </c>
      <c r="H591" s="1">
        <v>91</v>
      </c>
      <c r="I591" s="1">
        <f t="shared" si="3"/>
        <v>37</v>
      </c>
    </row>
    <row r="592" spans="1:11" x14ac:dyDescent="0.25">
      <c r="C592" s="1">
        <v>19</v>
      </c>
      <c r="D592" s="1">
        <v>2</v>
      </c>
      <c r="E592" s="1">
        <v>1</v>
      </c>
      <c r="F592" s="1">
        <v>3</v>
      </c>
      <c r="G592" s="1">
        <v>91</v>
      </c>
      <c r="H592" s="1">
        <v>141</v>
      </c>
      <c r="I592" s="1">
        <f t="shared" si="3"/>
        <v>50</v>
      </c>
    </row>
    <row r="593" spans="3:9" x14ac:dyDescent="0.25">
      <c r="C593" s="1">
        <v>19</v>
      </c>
      <c r="D593" s="1">
        <v>2</v>
      </c>
      <c r="E593" s="1">
        <v>1</v>
      </c>
      <c r="F593" s="1">
        <v>4</v>
      </c>
      <c r="G593" s="1">
        <v>141</v>
      </c>
      <c r="H593" s="1">
        <v>183</v>
      </c>
      <c r="I593" s="1">
        <f t="shared" si="3"/>
        <v>42</v>
      </c>
    </row>
    <row r="594" spans="3:9" x14ac:dyDescent="0.25">
      <c r="C594" s="1">
        <v>19</v>
      </c>
      <c r="D594" s="1">
        <v>2</v>
      </c>
      <c r="E594" s="1">
        <v>10</v>
      </c>
      <c r="F594" s="1">
        <v>5</v>
      </c>
      <c r="G594" s="1">
        <v>183</v>
      </c>
      <c r="H594" s="1">
        <v>229</v>
      </c>
      <c r="I594" s="11">
        <f t="shared" si="3"/>
        <v>46</v>
      </c>
    </row>
    <row r="595" spans="3:9" x14ac:dyDescent="0.25">
      <c r="C595" s="1">
        <v>19</v>
      </c>
      <c r="D595" s="1">
        <v>2</v>
      </c>
      <c r="E595" s="1">
        <v>10</v>
      </c>
      <c r="F595" s="1">
        <v>6</v>
      </c>
      <c r="G595" s="1">
        <v>229</v>
      </c>
      <c r="H595" s="1">
        <v>272</v>
      </c>
      <c r="I595" s="1">
        <f t="shared" si="3"/>
        <v>43</v>
      </c>
    </row>
    <row r="596" spans="3:9" x14ac:dyDescent="0.25">
      <c r="C596" s="1">
        <v>19</v>
      </c>
      <c r="D596" s="1">
        <v>2</v>
      </c>
      <c r="E596" s="1">
        <v>10</v>
      </c>
      <c r="F596" s="1">
        <v>7</v>
      </c>
      <c r="G596" s="1">
        <v>272</v>
      </c>
      <c r="H596" s="1">
        <v>320</v>
      </c>
      <c r="I596" s="1">
        <f t="shared" si="3"/>
        <v>48</v>
      </c>
    </row>
    <row r="597" spans="3:9" x14ac:dyDescent="0.25">
      <c r="C597" s="1">
        <v>19</v>
      </c>
      <c r="D597" s="1">
        <v>2</v>
      </c>
      <c r="E597" s="1">
        <v>10</v>
      </c>
      <c r="F597" s="1">
        <v>8</v>
      </c>
      <c r="G597" s="1">
        <v>320</v>
      </c>
      <c r="H597" s="1">
        <v>350</v>
      </c>
      <c r="I597" s="1">
        <f t="shared" si="3"/>
        <v>30</v>
      </c>
    </row>
    <row r="598" spans="3:9" x14ac:dyDescent="0.25">
      <c r="C598" s="1">
        <v>19</v>
      </c>
      <c r="D598" s="1">
        <v>2</v>
      </c>
      <c r="E598" s="1">
        <v>10</v>
      </c>
      <c r="F598" s="1">
        <v>9</v>
      </c>
      <c r="G598" s="1">
        <v>350</v>
      </c>
      <c r="H598" s="1">
        <v>405</v>
      </c>
      <c r="I598" s="1">
        <f t="shared" si="3"/>
        <v>55</v>
      </c>
    </row>
    <row r="599" spans="3:9" x14ac:dyDescent="0.25">
      <c r="C599" s="1">
        <v>19</v>
      </c>
      <c r="D599" s="1">
        <v>2</v>
      </c>
      <c r="E599" s="1">
        <v>10</v>
      </c>
      <c r="F599" s="1">
        <v>10</v>
      </c>
      <c r="G599" s="1">
        <v>405</v>
      </c>
      <c r="H599" s="1">
        <v>458</v>
      </c>
      <c r="I599" s="1">
        <f t="shared" si="3"/>
        <v>53</v>
      </c>
    </row>
    <row r="600" spans="3:9" x14ac:dyDescent="0.25">
      <c r="C600" s="1">
        <v>19</v>
      </c>
      <c r="D600" s="1">
        <v>2</v>
      </c>
      <c r="E600" s="1">
        <v>10</v>
      </c>
      <c r="F600" s="1">
        <v>11</v>
      </c>
      <c r="G600" s="1">
        <v>458</v>
      </c>
      <c r="H600" s="1">
        <v>511</v>
      </c>
      <c r="I600" s="1">
        <f t="shared" si="3"/>
        <v>53</v>
      </c>
    </row>
    <row r="601" spans="3:9" x14ac:dyDescent="0.25">
      <c r="C601" s="1">
        <v>19</v>
      </c>
      <c r="D601" s="1">
        <v>2</v>
      </c>
      <c r="E601" s="1">
        <v>10</v>
      </c>
      <c r="F601" s="1">
        <v>12</v>
      </c>
      <c r="G601" s="1">
        <v>517</v>
      </c>
      <c r="H601" s="1">
        <v>567</v>
      </c>
      <c r="I601" s="1">
        <f t="shared" si="3"/>
        <v>50</v>
      </c>
    </row>
    <row r="602" spans="3:9" x14ac:dyDescent="0.25">
      <c r="C602" s="1">
        <v>19</v>
      </c>
      <c r="D602" s="1">
        <v>2</v>
      </c>
      <c r="E602" s="1">
        <v>10</v>
      </c>
      <c r="F602" s="1">
        <v>13</v>
      </c>
      <c r="G602" s="1">
        <v>567</v>
      </c>
      <c r="H602" s="1">
        <v>619</v>
      </c>
      <c r="I602" s="1">
        <f t="shared" si="3"/>
        <v>52</v>
      </c>
    </row>
    <row r="603" spans="3:9" x14ac:dyDescent="0.25">
      <c r="C603" s="1">
        <v>19</v>
      </c>
      <c r="D603" s="1">
        <v>2</v>
      </c>
      <c r="E603" s="1">
        <v>10</v>
      </c>
      <c r="F603" s="1">
        <v>14</v>
      </c>
      <c r="G603" s="1">
        <v>622</v>
      </c>
      <c r="H603" s="1">
        <v>669</v>
      </c>
      <c r="I603" s="1">
        <f t="shared" si="3"/>
        <v>47</v>
      </c>
    </row>
    <row r="604" spans="3:9" x14ac:dyDescent="0.25">
      <c r="C604" s="1">
        <v>19</v>
      </c>
      <c r="D604" s="1">
        <v>2</v>
      </c>
      <c r="E604" s="1">
        <v>10</v>
      </c>
      <c r="F604" s="1">
        <v>15</v>
      </c>
      <c r="G604" s="1">
        <v>669</v>
      </c>
      <c r="H604" s="1">
        <v>722</v>
      </c>
      <c r="I604" s="1">
        <f t="shared" si="3"/>
        <v>53</v>
      </c>
    </row>
    <row r="605" spans="3:9" x14ac:dyDescent="0.25">
      <c r="C605" s="1">
        <v>19</v>
      </c>
      <c r="D605" s="1">
        <v>2</v>
      </c>
      <c r="E605" s="1">
        <v>10</v>
      </c>
      <c r="F605" s="1">
        <v>16</v>
      </c>
      <c r="G605" s="1">
        <v>722</v>
      </c>
      <c r="H605" s="1">
        <v>777</v>
      </c>
      <c r="I605" s="1">
        <f t="shared" si="3"/>
        <v>55</v>
      </c>
    </row>
    <row r="606" spans="3:9" x14ac:dyDescent="0.25">
      <c r="C606" s="1">
        <v>19</v>
      </c>
      <c r="D606" s="1">
        <v>2</v>
      </c>
      <c r="E606" s="1">
        <v>10</v>
      </c>
      <c r="F606" s="1">
        <v>17</v>
      </c>
      <c r="G606" s="1">
        <v>777</v>
      </c>
      <c r="H606" s="1">
        <v>826</v>
      </c>
      <c r="I606" s="1">
        <f t="shared" si="3"/>
        <v>49</v>
      </c>
    </row>
    <row r="607" spans="3:9" x14ac:dyDescent="0.25">
      <c r="C607" s="1">
        <v>19</v>
      </c>
      <c r="D607" s="1">
        <v>2</v>
      </c>
      <c r="E607" s="1">
        <v>10</v>
      </c>
      <c r="F607" s="1">
        <v>18</v>
      </c>
      <c r="G607" s="1">
        <v>826</v>
      </c>
      <c r="H607" s="1">
        <v>871</v>
      </c>
      <c r="I607" s="1">
        <f t="shared" si="3"/>
        <v>45</v>
      </c>
    </row>
    <row r="608" spans="3:9" x14ac:dyDescent="0.25">
      <c r="C608" s="1">
        <v>19</v>
      </c>
      <c r="D608" s="1">
        <v>2</v>
      </c>
      <c r="E608" s="1">
        <v>10</v>
      </c>
      <c r="F608" s="1">
        <v>19</v>
      </c>
      <c r="G608" s="1">
        <v>871</v>
      </c>
      <c r="H608" s="1">
        <v>920</v>
      </c>
      <c r="I608" s="1">
        <f t="shared" si="3"/>
        <v>49</v>
      </c>
    </row>
    <row r="609" spans="1:11" x14ac:dyDescent="0.25">
      <c r="C609" s="1">
        <v>19</v>
      </c>
      <c r="D609" s="1">
        <v>2</v>
      </c>
      <c r="E609" s="1">
        <v>10</v>
      </c>
      <c r="F609" s="1">
        <v>20</v>
      </c>
      <c r="G609" s="1">
        <v>920</v>
      </c>
      <c r="H609" s="1">
        <v>966</v>
      </c>
      <c r="I609" s="1">
        <f t="shared" si="3"/>
        <v>46</v>
      </c>
    </row>
    <row r="610" spans="1:11" x14ac:dyDescent="0.25">
      <c r="C610" s="1">
        <v>19</v>
      </c>
      <c r="D610" s="1">
        <v>2</v>
      </c>
      <c r="E610" s="1">
        <v>10</v>
      </c>
      <c r="F610" s="1">
        <v>21</v>
      </c>
      <c r="G610" s="1">
        <v>966</v>
      </c>
      <c r="H610" s="1">
        <v>1009</v>
      </c>
      <c r="I610" s="1">
        <f t="shared" si="3"/>
        <v>43</v>
      </c>
    </row>
    <row r="611" spans="1:11" x14ac:dyDescent="0.25">
      <c r="C611" s="1">
        <v>19</v>
      </c>
      <c r="D611" s="1">
        <v>2</v>
      </c>
      <c r="E611" s="1">
        <v>10</v>
      </c>
      <c r="F611" s="1">
        <v>22</v>
      </c>
      <c r="G611" s="1">
        <v>1009</v>
      </c>
      <c r="H611" s="1">
        <v>1051</v>
      </c>
      <c r="I611" s="1">
        <f t="shared" si="3"/>
        <v>42</v>
      </c>
    </row>
    <row r="612" spans="1:11" x14ac:dyDescent="0.25">
      <c r="C612" s="1">
        <v>19</v>
      </c>
      <c r="D612" s="1">
        <v>2</v>
      </c>
      <c r="E612" s="1">
        <v>10</v>
      </c>
      <c r="F612" s="1">
        <v>23</v>
      </c>
      <c r="G612" s="1">
        <v>1051</v>
      </c>
      <c r="H612" s="1">
        <v>1101</v>
      </c>
      <c r="I612" s="1">
        <f t="shared" si="3"/>
        <v>50</v>
      </c>
    </row>
    <row r="613" spans="1:11" x14ac:dyDescent="0.25">
      <c r="C613" s="1">
        <v>19</v>
      </c>
      <c r="D613" s="1">
        <v>2</v>
      </c>
      <c r="E613" s="1">
        <v>10</v>
      </c>
      <c r="F613" s="1">
        <v>24</v>
      </c>
      <c r="G613" s="1">
        <v>1101</v>
      </c>
      <c r="H613" s="1">
        <v>1148</v>
      </c>
      <c r="I613" s="1">
        <f t="shared" si="3"/>
        <v>47</v>
      </c>
    </row>
    <row r="614" spans="1:11" x14ac:dyDescent="0.25">
      <c r="C614" s="1">
        <v>19</v>
      </c>
      <c r="D614" s="1">
        <v>2</v>
      </c>
      <c r="E614" s="1">
        <v>10</v>
      </c>
      <c r="F614" s="1">
        <v>25</v>
      </c>
      <c r="G614" s="1">
        <v>1148</v>
      </c>
      <c r="H614" s="1">
        <v>1194</v>
      </c>
      <c r="I614" s="1">
        <f t="shared" si="3"/>
        <v>46</v>
      </c>
    </row>
    <row r="615" spans="1:11" x14ac:dyDescent="0.25">
      <c r="A615" s="5">
        <v>2</v>
      </c>
      <c r="B615" s="2">
        <v>43895</v>
      </c>
      <c r="C615" s="1">
        <v>20</v>
      </c>
      <c r="D615" s="1">
        <v>2</v>
      </c>
      <c r="E615" s="1">
        <v>1</v>
      </c>
      <c r="F615" s="1">
        <v>1</v>
      </c>
      <c r="G615" s="1">
        <v>6</v>
      </c>
      <c r="H615" s="1">
        <v>52</v>
      </c>
      <c r="I615" s="1">
        <f t="shared" si="3"/>
        <v>46</v>
      </c>
      <c r="J615" s="6">
        <f>(I619+I620+I621+I639+I638+I637+I628+I629+I630)/9</f>
        <v>48.777777777777779</v>
      </c>
      <c r="K615" s="6">
        <f>AVERAGE(I619:I639)</f>
        <v>46.285714285714285</v>
      </c>
    </row>
    <row r="616" spans="1:11" x14ac:dyDescent="0.25">
      <c r="C616" s="1">
        <v>20</v>
      </c>
      <c r="D616" s="1">
        <v>2</v>
      </c>
      <c r="E616" s="1">
        <v>1</v>
      </c>
      <c r="F616" s="1">
        <v>2</v>
      </c>
      <c r="G616" s="1">
        <v>52</v>
      </c>
      <c r="H616" s="1">
        <v>85</v>
      </c>
      <c r="I616" s="1">
        <f t="shared" si="3"/>
        <v>33</v>
      </c>
    </row>
    <row r="617" spans="1:11" x14ac:dyDescent="0.25">
      <c r="C617" s="1">
        <v>20</v>
      </c>
      <c r="D617" s="1">
        <v>2</v>
      </c>
      <c r="E617" s="1">
        <v>1</v>
      </c>
      <c r="F617" s="1">
        <v>3</v>
      </c>
      <c r="G617" s="1">
        <v>90</v>
      </c>
      <c r="H617" s="1">
        <v>140</v>
      </c>
      <c r="I617" s="1">
        <f t="shared" si="3"/>
        <v>50</v>
      </c>
    </row>
    <row r="618" spans="1:11" x14ac:dyDescent="0.25">
      <c r="C618" s="1">
        <v>20</v>
      </c>
      <c r="D618" s="1">
        <v>2</v>
      </c>
      <c r="E618" s="1">
        <v>1</v>
      </c>
      <c r="F618" s="1">
        <v>4</v>
      </c>
      <c r="G618" s="1">
        <v>140</v>
      </c>
      <c r="H618" s="1">
        <v>187</v>
      </c>
      <c r="I618" s="1">
        <f t="shared" si="3"/>
        <v>47</v>
      </c>
    </row>
    <row r="619" spans="1:11" x14ac:dyDescent="0.25">
      <c r="C619" s="1">
        <v>20</v>
      </c>
      <c r="D619" s="1">
        <v>2</v>
      </c>
      <c r="E619" s="1">
        <v>10</v>
      </c>
      <c r="F619" s="1">
        <v>5</v>
      </c>
      <c r="G619" s="1">
        <v>187</v>
      </c>
      <c r="H619" s="1">
        <v>225</v>
      </c>
      <c r="I619" s="11">
        <f t="shared" si="3"/>
        <v>38</v>
      </c>
    </row>
    <row r="620" spans="1:11" x14ac:dyDescent="0.25">
      <c r="C620" s="1">
        <v>20</v>
      </c>
      <c r="D620" s="1">
        <v>2</v>
      </c>
      <c r="E620" s="1">
        <v>10</v>
      </c>
      <c r="F620" s="1">
        <v>6</v>
      </c>
      <c r="G620" s="1">
        <v>227</v>
      </c>
      <c r="H620" s="1">
        <v>279</v>
      </c>
      <c r="I620" s="1">
        <f t="shared" si="3"/>
        <v>52</v>
      </c>
    </row>
    <row r="621" spans="1:11" x14ac:dyDescent="0.25">
      <c r="C621" s="1">
        <v>20</v>
      </c>
      <c r="D621" s="1">
        <v>2</v>
      </c>
      <c r="E621" s="1">
        <v>10</v>
      </c>
      <c r="F621" s="1">
        <v>7</v>
      </c>
      <c r="G621" s="1">
        <v>279</v>
      </c>
      <c r="H621" s="1">
        <v>333</v>
      </c>
      <c r="I621" s="1">
        <f t="shared" si="3"/>
        <v>54</v>
      </c>
    </row>
    <row r="622" spans="1:11" x14ac:dyDescent="0.25">
      <c r="C622" s="1">
        <v>20</v>
      </c>
      <c r="D622" s="1">
        <v>2</v>
      </c>
      <c r="E622" s="1">
        <v>10</v>
      </c>
      <c r="F622" s="1">
        <v>8</v>
      </c>
      <c r="G622" s="1">
        <v>333</v>
      </c>
      <c r="H622" s="1">
        <v>382</v>
      </c>
      <c r="I622" s="1">
        <f t="shared" si="3"/>
        <v>49</v>
      </c>
    </row>
    <row r="623" spans="1:11" x14ac:dyDescent="0.25">
      <c r="C623" s="1">
        <v>20</v>
      </c>
      <c r="D623" s="1">
        <v>2</v>
      </c>
      <c r="E623" s="1">
        <v>10</v>
      </c>
      <c r="F623" s="1">
        <v>9</v>
      </c>
      <c r="G623" s="1">
        <v>383</v>
      </c>
      <c r="H623" s="1">
        <v>421</v>
      </c>
      <c r="I623" s="1">
        <f t="shared" si="3"/>
        <v>38</v>
      </c>
    </row>
    <row r="624" spans="1:11" x14ac:dyDescent="0.25">
      <c r="C624" s="1">
        <v>20</v>
      </c>
      <c r="D624" s="1">
        <v>2</v>
      </c>
      <c r="E624" s="1">
        <v>10</v>
      </c>
      <c r="F624" s="1">
        <v>10</v>
      </c>
      <c r="G624" s="1">
        <v>421</v>
      </c>
      <c r="H624" s="1">
        <v>464</v>
      </c>
      <c r="I624" s="1">
        <f t="shared" si="3"/>
        <v>43</v>
      </c>
    </row>
    <row r="625" spans="1:9" x14ac:dyDescent="0.25">
      <c r="C625" s="1">
        <v>20</v>
      </c>
      <c r="D625" s="1">
        <v>2</v>
      </c>
      <c r="E625" s="1">
        <v>10</v>
      </c>
      <c r="F625" s="1">
        <v>11</v>
      </c>
      <c r="G625" s="1">
        <v>464</v>
      </c>
      <c r="H625" s="1">
        <v>464</v>
      </c>
      <c r="I625" s="1">
        <f t="shared" si="3"/>
        <v>0</v>
      </c>
    </row>
    <row r="626" spans="1:9" x14ac:dyDescent="0.25">
      <c r="C626" s="1">
        <v>20</v>
      </c>
      <c r="D626" s="1">
        <v>2</v>
      </c>
      <c r="E626" s="1">
        <v>10</v>
      </c>
      <c r="F626" s="1">
        <v>12</v>
      </c>
      <c r="G626" s="1">
        <v>464</v>
      </c>
      <c r="H626" s="1">
        <v>519</v>
      </c>
      <c r="I626" s="1">
        <f t="shared" si="3"/>
        <v>55</v>
      </c>
    </row>
    <row r="627" spans="1:9" x14ac:dyDescent="0.25">
      <c r="C627" s="1">
        <v>20</v>
      </c>
      <c r="D627" s="1">
        <v>2</v>
      </c>
      <c r="E627" s="1">
        <v>10</v>
      </c>
      <c r="F627" s="1">
        <v>13</v>
      </c>
      <c r="G627" s="1">
        <v>519</v>
      </c>
      <c r="H627" s="1">
        <v>573</v>
      </c>
      <c r="I627" s="1">
        <f t="shared" si="3"/>
        <v>54</v>
      </c>
    </row>
    <row r="628" spans="1:9" x14ac:dyDescent="0.25">
      <c r="C628" s="1">
        <v>20</v>
      </c>
      <c r="D628" s="1">
        <v>2</v>
      </c>
      <c r="E628" s="1">
        <v>10</v>
      </c>
      <c r="F628" s="1">
        <v>14</v>
      </c>
      <c r="G628" s="1">
        <v>573</v>
      </c>
      <c r="H628" s="1">
        <v>622</v>
      </c>
      <c r="I628" s="1">
        <f t="shared" si="3"/>
        <v>49</v>
      </c>
    </row>
    <row r="629" spans="1:9" x14ac:dyDescent="0.25">
      <c r="C629" s="1">
        <v>20</v>
      </c>
      <c r="D629" s="1">
        <v>2</v>
      </c>
      <c r="E629" s="1">
        <v>10</v>
      </c>
      <c r="F629" s="1">
        <v>15</v>
      </c>
      <c r="G629" s="1">
        <v>624</v>
      </c>
      <c r="H629" s="1">
        <v>666</v>
      </c>
      <c r="I629" s="1">
        <f t="shared" si="3"/>
        <v>42</v>
      </c>
    </row>
    <row r="630" spans="1:9" x14ac:dyDescent="0.25">
      <c r="C630" s="1">
        <v>20</v>
      </c>
      <c r="D630" s="1">
        <v>2</v>
      </c>
      <c r="E630" s="1">
        <v>10</v>
      </c>
      <c r="F630" s="1">
        <v>16</v>
      </c>
      <c r="G630" s="1">
        <v>666</v>
      </c>
      <c r="H630" s="1">
        <v>711</v>
      </c>
      <c r="I630" s="1">
        <f t="shared" si="3"/>
        <v>45</v>
      </c>
    </row>
    <row r="631" spans="1:9" x14ac:dyDescent="0.25">
      <c r="C631" s="1">
        <v>20</v>
      </c>
      <c r="D631" s="1">
        <v>2</v>
      </c>
      <c r="E631" s="1">
        <v>10</v>
      </c>
      <c r="F631" s="1">
        <v>17</v>
      </c>
      <c r="G631" s="1">
        <v>711</v>
      </c>
      <c r="H631" s="1">
        <v>757</v>
      </c>
      <c r="I631" s="1">
        <f t="shared" si="3"/>
        <v>46</v>
      </c>
    </row>
    <row r="632" spans="1:9" x14ac:dyDescent="0.25">
      <c r="C632" s="1">
        <v>20</v>
      </c>
      <c r="D632" s="1">
        <v>2</v>
      </c>
      <c r="E632" s="1">
        <v>10</v>
      </c>
      <c r="F632" s="1">
        <v>18</v>
      </c>
      <c r="G632" s="1">
        <v>757</v>
      </c>
      <c r="H632" s="1">
        <v>810</v>
      </c>
      <c r="I632" s="1">
        <f t="shared" si="3"/>
        <v>53</v>
      </c>
    </row>
    <row r="633" spans="1:9" x14ac:dyDescent="0.25">
      <c r="C633" s="1">
        <v>20</v>
      </c>
      <c r="D633" s="1">
        <v>2</v>
      </c>
      <c r="E633" s="1">
        <v>10</v>
      </c>
      <c r="F633" s="1">
        <v>19</v>
      </c>
      <c r="G633" s="1">
        <v>810</v>
      </c>
      <c r="H633" s="1">
        <v>859</v>
      </c>
      <c r="I633" s="1">
        <f t="shared" si="3"/>
        <v>49</v>
      </c>
    </row>
    <row r="634" spans="1:9" x14ac:dyDescent="0.25">
      <c r="C634" s="1">
        <v>20</v>
      </c>
      <c r="D634" s="1">
        <v>2</v>
      </c>
      <c r="E634" s="1">
        <v>10</v>
      </c>
      <c r="F634" s="1">
        <v>20</v>
      </c>
      <c r="G634" s="1">
        <v>859</v>
      </c>
      <c r="H634" s="1">
        <v>911</v>
      </c>
      <c r="I634" s="1">
        <f t="shared" si="3"/>
        <v>52</v>
      </c>
    </row>
    <row r="635" spans="1:9" x14ac:dyDescent="0.25">
      <c r="C635" s="1">
        <v>20</v>
      </c>
      <c r="D635" s="1">
        <v>2</v>
      </c>
      <c r="E635" s="1">
        <v>10</v>
      </c>
      <c r="F635" s="1">
        <v>21</v>
      </c>
      <c r="G635" s="1">
        <v>911</v>
      </c>
      <c r="H635" s="1">
        <v>961</v>
      </c>
      <c r="I635" s="1">
        <f t="shared" si="3"/>
        <v>50</v>
      </c>
    </row>
    <row r="636" spans="1:9" x14ac:dyDescent="0.25">
      <c r="C636" s="1">
        <v>20</v>
      </c>
      <c r="D636" s="1">
        <v>2</v>
      </c>
      <c r="E636" s="1">
        <v>10</v>
      </c>
      <c r="F636" s="1">
        <v>22</v>
      </c>
      <c r="G636" s="1">
        <v>961</v>
      </c>
      <c r="H636" s="1">
        <v>1005</v>
      </c>
      <c r="I636" s="1">
        <f t="shared" si="3"/>
        <v>44</v>
      </c>
    </row>
    <row r="637" spans="1:9" x14ac:dyDescent="0.25">
      <c r="C637" s="1">
        <v>20</v>
      </c>
      <c r="D637" s="1">
        <v>2</v>
      </c>
      <c r="E637" s="1">
        <v>10</v>
      </c>
      <c r="F637" s="1">
        <v>23</v>
      </c>
      <c r="G637" s="1">
        <v>1005</v>
      </c>
      <c r="H637" s="1">
        <v>1061</v>
      </c>
      <c r="I637" s="1">
        <f t="shared" si="3"/>
        <v>56</v>
      </c>
    </row>
    <row r="638" spans="1:9" x14ac:dyDescent="0.25">
      <c r="C638" s="1">
        <v>20</v>
      </c>
      <c r="D638" s="1">
        <v>2</v>
      </c>
      <c r="E638" s="1">
        <v>10</v>
      </c>
      <c r="F638" s="1">
        <v>24</v>
      </c>
      <c r="G638" s="1">
        <v>1061</v>
      </c>
      <c r="H638" s="1">
        <v>1113</v>
      </c>
      <c r="I638" s="1">
        <f t="shared" si="3"/>
        <v>52</v>
      </c>
    </row>
    <row r="639" spans="1:9" x14ac:dyDescent="0.25">
      <c r="C639" s="1">
        <v>20</v>
      </c>
      <c r="D639" s="1">
        <v>2</v>
      </c>
      <c r="E639" s="1">
        <v>10</v>
      </c>
      <c r="F639" s="1">
        <v>25</v>
      </c>
      <c r="G639" s="1">
        <v>1113</v>
      </c>
      <c r="H639" s="1">
        <v>1164</v>
      </c>
      <c r="I639" s="1">
        <f t="shared" si="3"/>
        <v>51</v>
      </c>
    </row>
    <row r="640" spans="1:9" x14ac:dyDescent="0.25">
      <c r="A640" s="5">
        <v>1</v>
      </c>
      <c r="B640" s="2">
        <v>43958</v>
      </c>
      <c r="C640" s="1">
        <v>21</v>
      </c>
      <c r="D640" s="1">
        <v>2</v>
      </c>
      <c r="E640" s="1">
        <v>1</v>
      </c>
      <c r="F640" s="1">
        <v>1</v>
      </c>
      <c r="G640" s="1">
        <v>1</v>
      </c>
      <c r="H640" s="1">
        <v>39</v>
      </c>
      <c r="I640" s="1">
        <f t="shared" si="3"/>
        <v>38</v>
      </c>
    </row>
    <row r="641" spans="3:11" x14ac:dyDescent="0.25">
      <c r="C641" s="1">
        <v>21</v>
      </c>
      <c r="D641" s="1">
        <v>2</v>
      </c>
      <c r="E641" s="1">
        <v>1</v>
      </c>
      <c r="F641" s="1">
        <v>2</v>
      </c>
      <c r="G641" s="1">
        <v>39</v>
      </c>
      <c r="H641" s="1">
        <v>69</v>
      </c>
      <c r="I641" s="1">
        <f t="shared" si="3"/>
        <v>30</v>
      </c>
    </row>
    <row r="642" spans="3:11" x14ac:dyDescent="0.25">
      <c r="C642" s="1">
        <v>21</v>
      </c>
      <c r="D642" s="1">
        <v>2</v>
      </c>
      <c r="E642" s="1">
        <v>1</v>
      </c>
      <c r="F642" s="1">
        <v>3</v>
      </c>
      <c r="G642" s="1">
        <v>69</v>
      </c>
      <c r="H642" s="1">
        <v>84</v>
      </c>
      <c r="I642" s="1">
        <f t="shared" si="3"/>
        <v>15</v>
      </c>
    </row>
    <row r="643" spans="3:11" x14ac:dyDescent="0.25">
      <c r="C643" s="1">
        <v>21</v>
      </c>
      <c r="D643" s="1">
        <v>2</v>
      </c>
      <c r="E643" s="1">
        <v>1</v>
      </c>
      <c r="F643" s="1">
        <v>4</v>
      </c>
      <c r="G643" s="1">
        <v>84</v>
      </c>
      <c r="H643" s="1">
        <v>84</v>
      </c>
      <c r="I643" s="1">
        <f t="shared" si="3"/>
        <v>0</v>
      </c>
    </row>
    <row r="644" spans="3:11" x14ac:dyDescent="0.25">
      <c r="C644" s="1">
        <v>21</v>
      </c>
      <c r="D644" s="1">
        <v>2</v>
      </c>
      <c r="E644" s="1">
        <v>10</v>
      </c>
      <c r="F644" s="1">
        <v>5</v>
      </c>
      <c r="G644" s="1">
        <v>84</v>
      </c>
      <c r="H644" s="1">
        <v>125</v>
      </c>
      <c r="I644" s="1">
        <f t="shared" si="3"/>
        <v>41</v>
      </c>
      <c r="J644" s="6">
        <f>(I644+I645+I646+I656+I655+I654+I651+I650+I649)/9</f>
        <v>35.222222222222221</v>
      </c>
      <c r="K644" s="6">
        <f>AVERAGE(I644:I656)</f>
        <v>33.153846153846153</v>
      </c>
    </row>
    <row r="645" spans="3:11" x14ac:dyDescent="0.25">
      <c r="C645" s="1">
        <v>21</v>
      </c>
      <c r="D645" s="1">
        <v>2</v>
      </c>
      <c r="E645" s="1">
        <v>10</v>
      </c>
      <c r="F645" s="1">
        <v>6</v>
      </c>
      <c r="G645" s="1">
        <v>125</v>
      </c>
      <c r="H645" s="1">
        <v>165</v>
      </c>
      <c r="I645" s="1">
        <f t="shared" si="3"/>
        <v>40</v>
      </c>
    </row>
    <row r="646" spans="3:11" x14ac:dyDescent="0.25">
      <c r="C646" s="1">
        <v>21</v>
      </c>
      <c r="D646" s="1">
        <v>2</v>
      </c>
      <c r="E646" s="1">
        <v>10</v>
      </c>
      <c r="F646" s="1">
        <v>7</v>
      </c>
      <c r="G646" s="1">
        <v>165</v>
      </c>
      <c r="H646" s="1">
        <v>205</v>
      </c>
      <c r="I646" s="1">
        <f t="shared" si="3"/>
        <v>40</v>
      </c>
    </row>
    <row r="647" spans="3:11" x14ac:dyDescent="0.25">
      <c r="C647" s="1">
        <v>21</v>
      </c>
      <c r="D647" s="1">
        <v>2</v>
      </c>
      <c r="E647" s="1">
        <v>10</v>
      </c>
      <c r="F647" s="1">
        <v>8</v>
      </c>
      <c r="G647" s="1">
        <v>205</v>
      </c>
      <c r="H647" s="1">
        <v>250</v>
      </c>
      <c r="I647" s="1">
        <f t="shared" si="3"/>
        <v>45</v>
      </c>
    </row>
    <row r="648" spans="3:11" x14ac:dyDescent="0.25">
      <c r="C648" s="1">
        <v>21</v>
      </c>
      <c r="D648" s="1">
        <v>2</v>
      </c>
      <c r="E648" s="1">
        <v>10</v>
      </c>
      <c r="F648" s="1">
        <v>9</v>
      </c>
      <c r="G648" s="1">
        <v>250</v>
      </c>
      <c r="H648" s="1">
        <v>294</v>
      </c>
      <c r="I648" s="1">
        <f t="shared" si="3"/>
        <v>44</v>
      </c>
    </row>
    <row r="649" spans="3:11" x14ac:dyDescent="0.25">
      <c r="C649" s="1">
        <v>21</v>
      </c>
      <c r="D649" s="1">
        <v>2</v>
      </c>
      <c r="E649" s="1">
        <v>10</v>
      </c>
      <c r="F649" s="1">
        <v>10</v>
      </c>
      <c r="G649" s="1">
        <v>294</v>
      </c>
      <c r="H649" s="1">
        <v>323</v>
      </c>
      <c r="I649" s="1">
        <f t="shared" si="3"/>
        <v>29</v>
      </c>
    </row>
    <row r="650" spans="3:11" x14ac:dyDescent="0.25">
      <c r="C650" s="1">
        <v>21</v>
      </c>
      <c r="D650" s="1">
        <v>2</v>
      </c>
      <c r="E650" s="1">
        <v>10</v>
      </c>
      <c r="F650" s="1">
        <v>11</v>
      </c>
      <c r="G650" s="1">
        <v>324</v>
      </c>
      <c r="H650" s="1">
        <v>364</v>
      </c>
      <c r="I650" s="1">
        <f t="shared" si="3"/>
        <v>40</v>
      </c>
    </row>
    <row r="651" spans="3:11" x14ac:dyDescent="0.25">
      <c r="C651" s="1">
        <v>21</v>
      </c>
      <c r="D651" s="1">
        <v>2</v>
      </c>
      <c r="E651" s="1">
        <v>10</v>
      </c>
      <c r="F651" s="1">
        <v>12</v>
      </c>
      <c r="G651" s="1">
        <v>364</v>
      </c>
      <c r="H651" s="1">
        <v>404</v>
      </c>
      <c r="I651" s="1">
        <f t="shared" si="3"/>
        <v>40</v>
      </c>
    </row>
    <row r="652" spans="3:11" x14ac:dyDescent="0.25">
      <c r="C652" s="1">
        <v>21</v>
      </c>
      <c r="D652" s="1">
        <v>2</v>
      </c>
      <c r="E652" s="1">
        <v>10</v>
      </c>
      <c r="F652" s="1">
        <v>13</v>
      </c>
      <c r="G652" s="1">
        <v>404</v>
      </c>
      <c r="H652" s="1">
        <v>429</v>
      </c>
      <c r="I652" s="1">
        <f t="shared" si="3"/>
        <v>25</v>
      </c>
    </row>
    <row r="653" spans="3:11" x14ac:dyDescent="0.25">
      <c r="C653" s="1">
        <v>21</v>
      </c>
      <c r="D653" s="1">
        <v>2</v>
      </c>
      <c r="E653" s="1">
        <v>10</v>
      </c>
      <c r="F653" s="1">
        <v>14</v>
      </c>
      <c r="G653" s="1">
        <v>429</v>
      </c>
      <c r="H653" s="1">
        <v>429</v>
      </c>
      <c r="I653" s="1">
        <f t="shared" si="3"/>
        <v>0</v>
      </c>
    </row>
    <row r="654" spans="3:11" x14ac:dyDescent="0.25">
      <c r="C654" s="1">
        <v>21</v>
      </c>
      <c r="D654" s="1">
        <v>2</v>
      </c>
      <c r="E654" s="1">
        <v>10</v>
      </c>
      <c r="F654" s="1">
        <v>15</v>
      </c>
      <c r="G654" s="1">
        <v>429</v>
      </c>
      <c r="H654" s="1">
        <v>468</v>
      </c>
      <c r="I654" s="1">
        <f t="shared" si="3"/>
        <v>39</v>
      </c>
    </row>
    <row r="655" spans="3:11" x14ac:dyDescent="0.25">
      <c r="C655" s="1">
        <v>21</v>
      </c>
      <c r="D655" s="1">
        <v>2</v>
      </c>
      <c r="E655" s="1">
        <v>10</v>
      </c>
      <c r="F655" s="1">
        <v>16</v>
      </c>
      <c r="G655" s="1">
        <v>468</v>
      </c>
      <c r="H655" s="1">
        <v>485</v>
      </c>
      <c r="I655" s="1">
        <f t="shared" si="3"/>
        <v>17</v>
      </c>
    </row>
    <row r="656" spans="3:11" x14ac:dyDescent="0.25">
      <c r="C656" s="1">
        <v>21</v>
      </c>
      <c r="D656" s="1">
        <v>2</v>
      </c>
      <c r="E656" s="1">
        <v>10</v>
      </c>
      <c r="F656" s="1">
        <v>17</v>
      </c>
      <c r="G656" s="1">
        <v>486</v>
      </c>
      <c r="H656" s="1">
        <v>517</v>
      </c>
      <c r="I656" s="1">
        <f t="shared" si="3"/>
        <v>31</v>
      </c>
    </row>
    <row r="657" spans="1:11" x14ac:dyDescent="0.25">
      <c r="A657" s="5">
        <v>1</v>
      </c>
      <c r="B657" s="2">
        <v>43958</v>
      </c>
      <c r="C657" s="1">
        <v>22</v>
      </c>
      <c r="D657" s="1">
        <v>1</v>
      </c>
      <c r="E657" s="1">
        <v>1</v>
      </c>
      <c r="F657" s="1">
        <v>1</v>
      </c>
      <c r="G657" s="1">
        <v>1</v>
      </c>
      <c r="H657" s="1">
        <v>47</v>
      </c>
      <c r="I657" s="1">
        <f t="shared" si="3"/>
        <v>46</v>
      </c>
    </row>
    <row r="658" spans="1:11" x14ac:dyDescent="0.25">
      <c r="C658" s="1">
        <v>22</v>
      </c>
      <c r="D658" s="1">
        <v>1</v>
      </c>
      <c r="E658" s="1">
        <v>1</v>
      </c>
      <c r="F658" s="1">
        <v>2</v>
      </c>
      <c r="G658" s="1">
        <v>47</v>
      </c>
      <c r="H658" s="1">
        <v>74</v>
      </c>
      <c r="I658" s="1">
        <f t="shared" si="3"/>
        <v>27</v>
      </c>
    </row>
    <row r="659" spans="1:11" x14ac:dyDescent="0.25">
      <c r="C659" s="1">
        <v>22</v>
      </c>
      <c r="D659" s="1">
        <v>1</v>
      </c>
      <c r="E659" s="1">
        <v>1</v>
      </c>
      <c r="F659" s="1">
        <v>3</v>
      </c>
      <c r="G659" s="1">
        <v>74</v>
      </c>
      <c r="H659" s="1">
        <v>105</v>
      </c>
      <c r="I659" s="1">
        <f t="shared" si="3"/>
        <v>31</v>
      </c>
    </row>
    <row r="660" spans="1:11" x14ac:dyDescent="0.25">
      <c r="C660" s="1">
        <v>22</v>
      </c>
      <c r="D660" s="1">
        <v>1</v>
      </c>
      <c r="E660" s="1">
        <v>1</v>
      </c>
      <c r="F660" s="1">
        <v>4</v>
      </c>
      <c r="G660" s="1">
        <v>105</v>
      </c>
      <c r="H660" s="1">
        <v>141</v>
      </c>
      <c r="I660" s="1">
        <f t="shared" si="3"/>
        <v>36</v>
      </c>
    </row>
    <row r="661" spans="1:11" x14ac:dyDescent="0.25">
      <c r="C661" s="1">
        <v>22</v>
      </c>
      <c r="D661" s="1">
        <v>1</v>
      </c>
      <c r="E661" s="1">
        <v>10</v>
      </c>
      <c r="F661" s="1">
        <v>5</v>
      </c>
      <c r="G661" s="1">
        <v>141</v>
      </c>
      <c r="H661" s="1">
        <v>179</v>
      </c>
      <c r="I661" s="1">
        <f t="shared" si="3"/>
        <v>38</v>
      </c>
      <c r="J661" s="6">
        <f>(I661+I662+I663+I681+I680+I679+I670+I671+I672)/9</f>
        <v>40.111111111111114</v>
      </c>
      <c r="K661" s="6">
        <f>AVERAGE(I661:I681)</f>
        <v>38.523809523809526</v>
      </c>
    </row>
    <row r="662" spans="1:11" x14ac:dyDescent="0.25">
      <c r="C662" s="1">
        <v>22</v>
      </c>
      <c r="D662" s="1">
        <v>1</v>
      </c>
      <c r="E662" s="1">
        <v>10</v>
      </c>
      <c r="F662" s="1">
        <v>6</v>
      </c>
      <c r="G662" s="1">
        <v>179</v>
      </c>
      <c r="H662" s="1">
        <v>225</v>
      </c>
      <c r="I662" s="1">
        <f t="shared" si="3"/>
        <v>46</v>
      </c>
    </row>
    <row r="663" spans="1:11" x14ac:dyDescent="0.25">
      <c r="C663" s="1">
        <v>22</v>
      </c>
      <c r="D663" s="1">
        <v>1</v>
      </c>
      <c r="E663" s="1">
        <v>10</v>
      </c>
      <c r="F663" s="1">
        <v>7</v>
      </c>
      <c r="G663" s="1">
        <v>229</v>
      </c>
      <c r="H663" s="1">
        <v>275</v>
      </c>
      <c r="I663" s="1">
        <f t="shared" si="3"/>
        <v>46</v>
      </c>
    </row>
    <row r="664" spans="1:11" x14ac:dyDescent="0.25">
      <c r="C664" s="1">
        <v>22</v>
      </c>
      <c r="D664" s="1">
        <v>1</v>
      </c>
      <c r="E664" s="1">
        <v>10</v>
      </c>
      <c r="F664" s="1">
        <v>8</v>
      </c>
      <c r="G664" s="1">
        <v>275</v>
      </c>
      <c r="H664" s="1">
        <v>315</v>
      </c>
      <c r="I664" s="1">
        <f t="shared" si="3"/>
        <v>40</v>
      </c>
    </row>
    <row r="665" spans="1:11" x14ac:dyDescent="0.25">
      <c r="C665" s="1">
        <v>22</v>
      </c>
      <c r="D665" s="1">
        <v>1</v>
      </c>
      <c r="E665" s="1">
        <v>10</v>
      </c>
      <c r="F665" s="1">
        <v>9</v>
      </c>
      <c r="G665" s="1">
        <v>318</v>
      </c>
      <c r="H665" s="1">
        <v>353</v>
      </c>
      <c r="I665" s="1">
        <f t="shared" si="3"/>
        <v>35</v>
      </c>
    </row>
    <row r="666" spans="1:11" x14ac:dyDescent="0.25">
      <c r="C666" s="1">
        <v>22</v>
      </c>
      <c r="D666" s="1">
        <v>1</v>
      </c>
      <c r="E666" s="1">
        <v>10</v>
      </c>
      <c r="F666" s="1">
        <v>10</v>
      </c>
      <c r="G666" s="1">
        <v>353</v>
      </c>
      <c r="H666" s="1">
        <v>394</v>
      </c>
      <c r="I666" s="1">
        <f t="shared" si="3"/>
        <v>41</v>
      </c>
    </row>
    <row r="667" spans="1:11" x14ac:dyDescent="0.25">
      <c r="C667" s="1">
        <v>22</v>
      </c>
      <c r="D667" s="1">
        <v>1</v>
      </c>
      <c r="E667" s="1">
        <v>10</v>
      </c>
      <c r="F667" s="1">
        <v>11</v>
      </c>
      <c r="G667" s="1">
        <v>395</v>
      </c>
      <c r="H667" s="1">
        <v>437</v>
      </c>
      <c r="I667" s="1">
        <f t="shared" si="3"/>
        <v>42</v>
      </c>
    </row>
    <row r="668" spans="1:11" x14ac:dyDescent="0.25">
      <c r="C668" s="1">
        <v>22</v>
      </c>
      <c r="D668" s="1">
        <v>1</v>
      </c>
      <c r="E668" s="1">
        <v>10</v>
      </c>
      <c r="F668" s="1">
        <v>12</v>
      </c>
      <c r="G668" s="1">
        <v>437</v>
      </c>
      <c r="H668" s="1">
        <v>460</v>
      </c>
      <c r="I668" s="1">
        <f t="shared" si="3"/>
        <v>23</v>
      </c>
    </row>
    <row r="669" spans="1:11" x14ac:dyDescent="0.25">
      <c r="C669" s="1">
        <v>22</v>
      </c>
      <c r="D669" s="1">
        <v>1</v>
      </c>
      <c r="E669" s="1">
        <v>10</v>
      </c>
      <c r="F669" s="1">
        <v>13</v>
      </c>
      <c r="G669" s="1">
        <v>460</v>
      </c>
      <c r="H669" s="1">
        <v>509</v>
      </c>
      <c r="I669" s="1">
        <f t="shared" si="3"/>
        <v>49</v>
      </c>
    </row>
    <row r="670" spans="1:11" x14ac:dyDescent="0.25">
      <c r="C670" s="1">
        <v>22</v>
      </c>
      <c r="D670" s="1">
        <v>1</v>
      </c>
      <c r="E670" s="1">
        <v>10</v>
      </c>
      <c r="F670" s="1">
        <v>14</v>
      </c>
      <c r="G670" s="1">
        <v>511</v>
      </c>
      <c r="H670" s="1">
        <v>562</v>
      </c>
      <c r="I670" s="1">
        <f t="shared" si="3"/>
        <v>51</v>
      </c>
    </row>
    <row r="671" spans="1:11" x14ac:dyDescent="0.25">
      <c r="C671" s="1">
        <v>22</v>
      </c>
      <c r="D671" s="1">
        <v>1</v>
      </c>
      <c r="E671" s="1">
        <v>10</v>
      </c>
      <c r="F671" s="1">
        <v>15</v>
      </c>
      <c r="G671" s="1">
        <v>562</v>
      </c>
      <c r="H671" s="1">
        <v>605</v>
      </c>
      <c r="I671" s="1">
        <f t="shared" si="3"/>
        <v>43</v>
      </c>
    </row>
    <row r="672" spans="1:11" x14ac:dyDescent="0.25">
      <c r="C672" s="1">
        <v>22</v>
      </c>
      <c r="D672" s="1">
        <v>1</v>
      </c>
      <c r="E672" s="1">
        <v>10</v>
      </c>
      <c r="F672" s="1">
        <v>16</v>
      </c>
      <c r="G672" s="1">
        <v>605</v>
      </c>
      <c r="H672" s="1">
        <v>653</v>
      </c>
      <c r="I672" s="1">
        <f t="shared" si="3"/>
        <v>48</v>
      </c>
    </row>
    <row r="673" spans="1:11" x14ac:dyDescent="0.25">
      <c r="C673" s="1">
        <v>22</v>
      </c>
      <c r="D673" s="1">
        <v>1</v>
      </c>
      <c r="E673" s="1">
        <v>10</v>
      </c>
      <c r="F673" s="1">
        <v>17</v>
      </c>
      <c r="G673" s="1">
        <v>654</v>
      </c>
      <c r="H673" s="1">
        <v>691</v>
      </c>
      <c r="I673" s="1">
        <f t="shared" si="3"/>
        <v>37</v>
      </c>
    </row>
    <row r="674" spans="1:11" x14ac:dyDescent="0.25">
      <c r="C674" s="1">
        <v>22</v>
      </c>
      <c r="D674" s="1">
        <v>1</v>
      </c>
      <c r="E674" s="1">
        <v>10</v>
      </c>
      <c r="F674" s="1">
        <v>18</v>
      </c>
      <c r="G674" s="1">
        <v>693</v>
      </c>
      <c r="H674" s="1">
        <v>726</v>
      </c>
      <c r="I674" s="1">
        <f t="shared" si="3"/>
        <v>33</v>
      </c>
    </row>
    <row r="675" spans="1:11" x14ac:dyDescent="0.25">
      <c r="C675" s="1">
        <v>22</v>
      </c>
      <c r="D675" s="1">
        <v>1</v>
      </c>
      <c r="E675" s="1">
        <v>10</v>
      </c>
      <c r="F675" s="1">
        <v>19</v>
      </c>
      <c r="G675" s="1">
        <v>726</v>
      </c>
      <c r="H675" s="1">
        <v>764</v>
      </c>
      <c r="I675" s="1">
        <f t="shared" si="3"/>
        <v>38</v>
      </c>
    </row>
    <row r="676" spans="1:11" x14ac:dyDescent="0.25">
      <c r="C676" s="1">
        <v>22</v>
      </c>
      <c r="D676" s="1">
        <v>1</v>
      </c>
      <c r="E676" s="1">
        <v>10</v>
      </c>
      <c r="F676" s="1">
        <v>20</v>
      </c>
      <c r="G676" s="1">
        <v>764</v>
      </c>
      <c r="H676" s="1">
        <v>804</v>
      </c>
      <c r="I676" s="1">
        <f t="shared" si="3"/>
        <v>40</v>
      </c>
    </row>
    <row r="677" spans="1:11" x14ac:dyDescent="0.25">
      <c r="C677" s="1">
        <v>22</v>
      </c>
      <c r="D677" s="1">
        <v>1</v>
      </c>
      <c r="E677" s="1">
        <v>10</v>
      </c>
      <c r="F677" s="1">
        <v>21</v>
      </c>
      <c r="G677" s="1">
        <v>804</v>
      </c>
      <c r="H677" s="1">
        <v>848</v>
      </c>
      <c r="I677" s="1">
        <f t="shared" si="3"/>
        <v>44</v>
      </c>
    </row>
    <row r="678" spans="1:11" x14ac:dyDescent="0.25">
      <c r="C678" s="1">
        <v>22</v>
      </c>
      <c r="D678" s="1">
        <v>1</v>
      </c>
      <c r="E678" s="1">
        <v>10</v>
      </c>
      <c r="F678" s="1">
        <v>22</v>
      </c>
      <c r="G678" s="1">
        <v>848</v>
      </c>
      <c r="H678" s="1">
        <v>874</v>
      </c>
      <c r="I678" s="1">
        <f t="shared" si="3"/>
        <v>26</v>
      </c>
    </row>
    <row r="679" spans="1:11" x14ac:dyDescent="0.25">
      <c r="C679" s="1">
        <v>22</v>
      </c>
      <c r="D679" s="1">
        <v>1</v>
      </c>
      <c r="E679" s="1">
        <v>10</v>
      </c>
      <c r="F679" s="1">
        <v>23</v>
      </c>
      <c r="G679" s="1">
        <v>874</v>
      </c>
      <c r="H679" s="1">
        <v>894</v>
      </c>
      <c r="I679" s="1">
        <f t="shared" si="3"/>
        <v>20</v>
      </c>
    </row>
    <row r="680" spans="1:11" x14ac:dyDescent="0.25">
      <c r="C680" s="1">
        <v>22</v>
      </c>
      <c r="D680" s="1">
        <v>1</v>
      </c>
      <c r="E680" s="1">
        <v>10</v>
      </c>
      <c r="F680" s="1">
        <v>24</v>
      </c>
      <c r="G680" s="1">
        <v>894</v>
      </c>
      <c r="H680" s="1">
        <v>914</v>
      </c>
      <c r="I680" s="1">
        <f t="shared" si="3"/>
        <v>20</v>
      </c>
    </row>
    <row r="681" spans="1:11" x14ac:dyDescent="0.25">
      <c r="C681" s="1">
        <v>22</v>
      </c>
      <c r="D681" s="1">
        <v>1</v>
      </c>
      <c r="E681" s="1">
        <v>10</v>
      </c>
      <c r="F681" s="1">
        <v>25</v>
      </c>
      <c r="G681" s="1">
        <v>914</v>
      </c>
      <c r="H681" s="1">
        <v>963</v>
      </c>
      <c r="I681" s="1">
        <f t="shared" si="3"/>
        <v>49</v>
      </c>
    </row>
    <row r="682" spans="1:11" x14ac:dyDescent="0.25">
      <c r="A682" s="5">
        <v>1</v>
      </c>
      <c r="B682" s="2">
        <v>43958</v>
      </c>
      <c r="C682" s="1">
        <v>23</v>
      </c>
      <c r="D682" s="1">
        <v>2</v>
      </c>
      <c r="E682" s="1">
        <v>1</v>
      </c>
      <c r="F682" s="1">
        <v>1</v>
      </c>
      <c r="G682" s="1">
        <v>1</v>
      </c>
      <c r="H682" s="1">
        <v>1</v>
      </c>
      <c r="I682" s="1">
        <f t="shared" si="3"/>
        <v>0</v>
      </c>
    </row>
    <row r="683" spans="1:11" x14ac:dyDescent="0.25">
      <c r="C683" s="1">
        <v>23</v>
      </c>
      <c r="D683" s="1">
        <v>2</v>
      </c>
      <c r="E683" s="1">
        <v>1</v>
      </c>
      <c r="F683" s="1">
        <v>2</v>
      </c>
      <c r="G683" s="1">
        <v>1</v>
      </c>
      <c r="H683" s="1">
        <v>35</v>
      </c>
      <c r="I683" s="1">
        <f t="shared" si="3"/>
        <v>34</v>
      </c>
    </row>
    <row r="684" spans="1:11" x14ac:dyDescent="0.25">
      <c r="C684" s="1">
        <v>23</v>
      </c>
      <c r="D684" s="1">
        <v>2</v>
      </c>
      <c r="E684" s="1">
        <v>1</v>
      </c>
      <c r="F684" s="1">
        <v>3</v>
      </c>
      <c r="G684" s="1">
        <v>35</v>
      </c>
      <c r="H684" s="1">
        <v>35</v>
      </c>
      <c r="I684" s="1">
        <f t="shared" si="3"/>
        <v>0</v>
      </c>
    </row>
    <row r="685" spans="1:11" x14ac:dyDescent="0.25">
      <c r="C685" s="1">
        <v>23</v>
      </c>
      <c r="D685" s="1">
        <v>2</v>
      </c>
      <c r="E685" s="1">
        <v>1</v>
      </c>
      <c r="F685" s="1">
        <v>4</v>
      </c>
      <c r="G685" s="1">
        <v>35</v>
      </c>
      <c r="H685" s="1">
        <v>62</v>
      </c>
      <c r="I685" s="1">
        <f t="shared" si="3"/>
        <v>27</v>
      </c>
    </row>
    <row r="686" spans="1:11" x14ac:dyDescent="0.25">
      <c r="C686" s="1">
        <v>23</v>
      </c>
      <c r="D686" s="1">
        <v>2</v>
      </c>
      <c r="E686" s="1">
        <v>10</v>
      </c>
      <c r="F686" s="1">
        <v>5</v>
      </c>
      <c r="G686" s="1">
        <v>62</v>
      </c>
      <c r="H686" s="1">
        <v>89</v>
      </c>
      <c r="I686" s="1">
        <f t="shared" si="3"/>
        <v>27</v>
      </c>
      <c r="J686" s="6">
        <f>(I686+I687+I688+I704+I703+I702+I694+I695+I696)/9</f>
        <v>35</v>
      </c>
      <c r="K686" s="6">
        <f>AVERAGE(I686:I704)</f>
        <v>37.89473684210526</v>
      </c>
    </row>
    <row r="687" spans="1:11" x14ac:dyDescent="0.25">
      <c r="C687" s="1">
        <v>23</v>
      </c>
      <c r="D687" s="1">
        <v>2</v>
      </c>
      <c r="E687" s="1">
        <v>10</v>
      </c>
      <c r="F687" s="1">
        <v>6</v>
      </c>
      <c r="G687" s="1">
        <v>93</v>
      </c>
      <c r="H687" s="1">
        <v>107</v>
      </c>
      <c r="I687" s="1">
        <f t="shared" si="3"/>
        <v>14</v>
      </c>
    </row>
    <row r="688" spans="1:11" x14ac:dyDescent="0.25">
      <c r="C688" s="1">
        <v>23</v>
      </c>
      <c r="D688" s="1">
        <v>2</v>
      </c>
      <c r="E688" s="1">
        <v>10</v>
      </c>
      <c r="F688" s="1">
        <v>7</v>
      </c>
      <c r="G688" s="1">
        <v>109</v>
      </c>
      <c r="H688" s="1">
        <v>152</v>
      </c>
      <c r="I688" s="1">
        <f t="shared" si="3"/>
        <v>43</v>
      </c>
    </row>
    <row r="689" spans="3:9" x14ac:dyDescent="0.25">
      <c r="C689" s="1">
        <v>23</v>
      </c>
      <c r="D689" s="1">
        <v>2</v>
      </c>
      <c r="E689" s="1">
        <v>10</v>
      </c>
      <c r="F689" s="1">
        <v>8</v>
      </c>
      <c r="G689" s="1">
        <v>153</v>
      </c>
      <c r="H689" s="1">
        <v>198</v>
      </c>
      <c r="I689" s="1">
        <f t="shared" si="3"/>
        <v>45</v>
      </c>
    </row>
    <row r="690" spans="3:9" x14ac:dyDescent="0.25">
      <c r="C690" s="1">
        <v>23</v>
      </c>
      <c r="D690" s="1">
        <v>2</v>
      </c>
      <c r="E690" s="1">
        <v>10</v>
      </c>
      <c r="F690" s="1">
        <v>9</v>
      </c>
      <c r="G690" s="1">
        <v>199</v>
      </c>
      <c r="H690" s="1">
        <v>252</v>
      </c>
      <c r="I690" s="1">
        <f t="shared" si="3"/>
        <v>53</v>
      </c>
    </row>
    <row r="691" spans="3:9" x14ac:dyDescent="0.25">
      <c r="C691" s="1">
        <v>23</v>
      </c>
      <c r="D691" s="1">
        <v>2</v>
      </c>
      <c r="E691" s="1">
        <v>10</v>
      </c>
      <c r="F691" s="1">
        <v>10</v>
      </c>
      <c r="G691" s="1">
        <v>253</v>
      </c>
      <c r="H691" s="1">
        <v>290</v>
      </c>
      <c r="I691" s="1">
        <f t="shared" si="3"/>
        <v>37</v>
      </c>
    </row>
    <row r="692" spans="3:9" x14ac:dyDescent="0.25">
      <c r="C692" s="1">
        <v>23</v>
      </c>
      <c r="D692" s="1">
        <v>2</v>
      </c>
      <c r="E692" s="1">
        <v>10</v>
      </c>
      <c r="F692" s="1">
        <v>11</v>
      </c>
      <c r="G692" s="1">
        <v>293</v>
      </c>
      <c r="H692" s="1">
        <v>344</v>
      </c>
      <c r="I692" s="1">
        <f t="shared" si="3"/>
        <v>51</v>
      </c>
    </row>
    <row r="693" spans="3:9" x14ac:dyDescent="0.25">
      <c r="C693" s="1">
        <v>23</v>
      </c>
      <c r="D693" s="1">
        <v>2</v>
      </c>
      <c r="E693" s="1">
        <v>10</v>
      </c>
      <c r="F693" s="1">
        <v>12</v>
      </c>
      <c r="G693" s="1">
        <v>344</v>
      </c>
      <c r="H693" s="1">
        <v>394</v>
      </c>
      <c r="I693" s="1">
        <f t="shared" si="3"/>
        <v>50</v>
      </c>
    </row>
    <row r="694" spans="3:9" x14ac:dyDescent="0.25">
      <c r="C694" s="1">
        <v>23</v>
      </c>
      <c r="D694" s="1">
        <v>2</v>
      </c>
      <c r="E694" s="1">
        <v>10</v>
      </c>
      <c r="F694" s="1">
        <v>13</v>
      </c>
      <c r="G694" s="1">
        <v>394</v>
      </c>
      <c r="H694" s="1">
        <v>430</v>
      </c>
      <c r="I694" s="1">
        <f t="shared" si="3"/>
        <v>36</v>
      </c>
    </row>
    <row r="695" spans="3:9" x14ac:dyDescent="0.25">
      <c r="C695" s="1">
        <v>23</v>
      </c>
      <c r="D695" s="1">
        <v>2</v>
      </c>
      <c r="E695" s="1">
        <v>10</v>
      </c>
      <c r="F695" s="1">
        <v>14</v>
      </c>
      <c r="G695" s="1">
        <v>430</v>
      </c>
      <c r="H695" s="1">
        <v>430</v>
      </c>
      <c r="I695" s="1">
        <f t="shared" si="3"/>
        <v>0</v>
      </c>
    </row>
    <row r="696" spans="3:9" x14ac:dyDescent="0.25">
      <c r="C696" s="1">
        <v>23</v>
      </c>
      <c r="D696" s="1">
        <v>2</v>
      </c>
      <c r="E696" s="1">
        <v>10</v>
      </c>
      <c r="F696" s="1">
        <v>15</v>
      </c>
      <c r="G696" s="1">
        <v>430</v>
      </c>
      <c r="H696" s="1">
        <v>475</v>
      </c>
      <c r="I696" s="1">
        <f t="shared" si="3"/>
        <v>45</v>
      </c>
    </row>
    <row r="697" spans="3:9" x14ac:dyDescent="0.25">
      <c r="C697" s="1">
        <v>23</v>
      </c>
      <c r="D697" s="1">
        <v>2</v>
      </c>
      <c r="E697" s="1">
        <v>10</v>
      </c>
      <c r="F697" s="1">
        <v>16</v>
      </c>
      <c r="G697" s="1">
        <v>475</v>
      </c>
      <c r="H697" s="1">
        <v>518</v>
      </c>
      <c r="I697" s="1">
        <f t="shared" si="3"/>
        <v>43</v>
      </c>
    </row>
    <row r="698" spans="3:9" x14ac:dyDescent="0.25">
      <c r="C698" s="1">
        <v>23</v>
      </c>
      <c r="D698" s="1">
        <v>2</v>
      </c>
      <c r="E698" s="1">
        <v>10</v>
      </c>
      <c r="F698" s="1">
        <v>17</v>
      </c>
      <c r="G698" s="1">
        <v>518</v>
      </c>
      <c r="H698" s="1">
        <v>545</v>
      </c>
      <c r="I698" s="1">
        <f t="shared" si="3"/>
        <v>27</v>
      </c>
    </row>
    <row r="699" spans="3:9" x14ac:dyDescent="0.25">
      <c r="C699" s="1">
        <v>23</v>
      </c>
      <c r="D699" s="1">
        <v>2</v>
      </c>
      <c r="E699" s="1">
        <v>10</v>
      </c>
      <c r="F699" s="1">
        <v>18</v>
      </c>
      <c r="G699" s="1">
        <v>545</v>
      </c>
      <c r="H699" s="1">
        <v>575</v>
      </c>
      <c r="I699" s="1">
        <f t="shared" si="3"/>
        <v>30</v>
      </c>
    </row>
    <row r="700" spans="3:9" x14ac:dyDescent="0.25">
      <c r="C700" s="1">
        <v>23</v>
      </c>
      <c r="D700" s="1">
        <v>2</v>
      </c>
      <c r="E700" s="1">
        <v>10</v>
      </c>
      <c r="F700" s="1">
        <v>19</v>
      </c>
      <c r="G700" s="1">
        <v>581</v>
      </c>
      <c r="H700" s="1">
        <v>626</v>
      </c>
      <c r="I700" s="1">
        <f t="shared" si="3"/>
        <v>45</v>
      </c>
    </row>
    <row r="701" spans="3:9" x14ac:dyDescent="0.25">
      <c r="C701" s="1">
        <v>23</v>
      </c>
      <c r="D701" s="1">
        <v>2</v>
      </c>
      <c r="E701" s="1">
        <v>10</v>
      </c>
      <c r="F701" s="1">
        <v>20</v>
      </c>
      <c r="G701" s="1">
        <v>630</v>
      </c>
      <c r="H701" s="1">
        <v>654</v>
      </c>
      <c r="I701" s="1">
        <f t="shared" si="3"/>
        <v>24</v>
      </c>
    </row>
    <row r="702" spans="3:9" x14ac:dyDescent="0.25">
      <c r="C702" s="1">
        <v>23</v>
      </c>
      <c r="D702" s="1">
        <v>2</v>
      </c>
      <c r="E702" s="1">
        <v>10</v>
      </c>
      <c r="F702" s="1">
        <v>21</v>
      </c>
      <c r="G702" s="1">
        <v>654</v>
      </c>
      <c r="H702" s="1">
        <v>701</v>
      </c>
      <c r="I702" s="1">
        <f>H702-G702</f>
        <v>47</v>
      </c>
    </row>
    <row r="703" spans="3:9" x14ac:dyDescent="0.25">
      <c r="C703" s="1">
        <v>23</v>
      </c>
      <c r="D703" s="1">
        <v>2</v>
      </c>
      <c r="E703" s="1">
        <v>10</v>
      </c>
      <c r="F703" s="1">
        <v>22</v>
      </c>
      <c r="G703" s="1">
        <v>704</v>
      </c>
      <c r="H703" s="1">
        <v>754</v>
      </c>
      <c r="I703" s="1">
        <f t="shared" ref="I703:I912" si="4">H703-G703</f>
        <v>50</v>
      </c>
    </row>
    <row r="704" spans="3:9" x14ac:dyDescent="0.25">
      <c r="C704" s="1">
        <v>23</v>
      </c>
      <c r="D704" s="1">
        <v>2</v>
      </c>
      <c r="E704" s="1">
        <v>10</v>
      </c>
      <c r="F704" s="1">
        <v>23</v>
      </c>
      <c r="G704" s="1">
        <v>754</v>
      </c>
      <c r="H704" s="1">
        <v>807</v>
      </c>
      <c r="I704" s="1">
        <f t="shared" si="4"/>
        <v>53</v>
      </c>
    </row>
    <row r="705" spans="1:11" x14ac:dyDescent="0.25">
      <c r="A705" s="5">
        <v>1</v>
      </c>
      <c r="B705" s="2">
        <v>43958</v>
      </c>
      <c r="C705" s="1">
        <v>24</v>
      </c>
      <c r="D705" s="1">
        <v>1</v>
      </c>
      <c r="E705" s="1">
        <v>1</v>
      </c>
      <c r="F705" s="1">
        <v>1</v>
      </c>
      <c r="G705" s="1">
        <v>0</v>
      </c>
      <c r="H705" s="1">
        <v>45</v>
      </c>
      <c r="I705" s="1">
        <f t="shared" si="4"/>
        <v>45</v>
      </c>
    </row>
    <row r="706" spans="1:11" x14ac:dyDescent="0.25">
      <c r="C706" s="1">
        <v>24</v>
      </c>
      <c r="D706" s="1">
        <v>1</v>
      </c>
      <c r="E706" s="1">
        <v>1</v>
      </c>
      <c r="F706" s="1">
        <v>2</v>
      </c>
      <c r="G706" s="1">
        <v>45</v>
      </c>
      <c r="H706" s="1">
        <v>82</v>
      </c>
      <c r="I706" s="1">
        <f t="shared" si="4"/>
        <v>37</v>
      </c>
    </row>
    <row r="707" spans="1:11" x14ac:dyDescent="0.25">
      <c r="C707" s="1">
        <v>24</v>
      </c>
      <c r="D707" s="1">
        <v>1</v>
      </c>
      <c r="E707" s="1">
        <v>1</v>
      </c>
      <c r="F707" s="1">
        <v>3</v>
      </c>
      <c r="G707" s="1">
        <v>82</v>
      </c>
      <c r="H707" s="1">
        <v>82</v>
      </c>
      <c r="I707" s="1">
        <f t="shared" si="4"/>
        <v>0</v>
      </c>
    </row>
    <row r="708" spans="1:11" x14ac:dyDescent="0.25">
      <c r="C708" s="1">
        <v>24</v>
      </c>
      <c r="D708" s="1">
        <v>1</v>
      </c>
      <c r="E708" s="1">
        <v>1</v>
      </c>
      <c r="F708" s="1">
        <v>4</v>
      </c>
      <c r="G708" s="1">
        <v>82</v>
      </c>
      <c r="H708" s="1">
        <v>125</v>
      </c>
      <c r="I708" s="1">
        <f t="shared" si="4"/>
        <v>43</v>
      </c>
    </row>
    <row r="709" spans="1:11" x14ac:dyDescent="0.25">
      <c r="C709" s="1">
        <v>24</v>
      </c>
      <c r="D709" s="1">
        <v>1</v>
      </c>
      <c r="E709" s="1">
        <v>10</v>
      </c>
      <c r="F709" s="1">
        <v>5</v>
      </c>
      <c r="G709" s="1">
        <v>125</v>
      </c>
      <c r="H709" s="1">
        <v>172</v>
      </c>
      <c r="I709" s="1">
        <f t="shared" si="4"/>
        <v>47</v>
      </c>
      <c r="J709" s="6">
        <f>(I709+I710+I711+I729+I728+I727+I718+I719+I720)/9</f>
        <v>40.666666666666664</v>
      </c>
      <c r="K709" s="6">
        <f>AVERAGE(I709:I729)</f>
        <v>43.142857142857146</v>
      </c>
    </row>
    <row r="710" spans="1:11" x14ac:dyDescent="0.25">
      <c r="C710" s="1">
        <v>24</v>
      </c>
      <c r="D710" s="1">
        <v>1</v>
      </c>
      <c r="E710" s="1">
        <v>10</v>
      </c>
      <c r="F710" s="1">
        <v>6</v>
      </c>
      <c r="G710" s="1">
        <v>173</v>
      </c>
      <c r="H710" s="1">
        <v>224</v>
      </c>
      <c r="I710" s="1">
        <f t="shared" si="4"/>
        <v>51</v>
      </c>
    </row>
    <row r="711" spans="1:11" x14ac:dyDescent="0.25">
      <c r="C711" s="1">
        <v>24</v>
      </c>
      <c r="D711" s="1">
        <v>1</v>
      </c>
      <c r="E711" s="1">
        <v>10</v>
      </c>
      <c r="F711" s="1">
        <v>7</v>
      </c>
      <c r="G711" s="1">
        <v>224</v>
      </c>
      <c r="H711" s="1">
        <v>273</v>
      </c>
      <c r="I711" s="1">
        <f t="shared" si="4"/>
        <v>49</v>
      </c>
    </row>
    <row r="712" spans="1:11" x14ac:dyDescent="0.25">
      <c r="C712" s="1">
        <v>24</v>
      </c>
      <c r="D712" s="1">
        <v>1</v>
      </c>
      <c r="E712" s="1">
        <v>10</v>
      </c>
      <c r="F712" s="1">
        <v>8</v>
      </c>
      <c r="G712" s="1">
        <v>273</v>
      </c>
      <c r="H712" s="1">
        <v>316</v>
      </c>
      <c r="I712" s="1">
        <f t="shared" si="4"/>
        <v>43</v>
      </c>
    </row>
    <row r="713" spans="1:11" x14ac:dyDescent="0.25">
      <c r="C713" s="1">
        <v>24</v>
      </c>
      <c r="D713" s="1">
        <v>1</v>
      </c>
      <c r="E713" s="1">
        <v>10</v>
      </c>
      <c r="F713" s="1">
        <v>9</v>
      </c>
      <c r="G713" s="1">
        <v>316</v>
      </c>
      <c r="H713" s="1">
        <v>367</v>
      </c>
      <c r="I713" s="1">
        <f t="shared" si="4"/>
        <v>51</v>
      </c>
    </row>
    <row r="714" spans="1:11" x14ac:dyDescent="0.25">
      <c r="C714" s="1">
        <v>24</v>
      </c>
      <c r="D714" s="1">
        <v>1</v>
      </c>
      <c r="E714" s="1">
        <v>10</v>
      </c>
      <c r="F714" s="1">
        <v>10</v>
      </c>
      <c r="G714" s="1">
        <v>367</v>
      </c>
      <c r="H714" s="1">
        <v>420</v>
      </c>
      <c r="I714" s="1">
        <f t="shared" si="4"/>
        <v>53</v>
      </c>
    </row>
    <row r="715" spans="1:11" x14ac:dyDescent="0.25">
      <c r="C715" s="1">
        <v>24</v>
      </c>
      <c r="D715" s="1">
        <v>1</v>
      </c>
      <c r="E715" s="1">
        <v>10</v>
      </c>
      <c r="F715" s="1">
        <v>11</v>
      </c>
      <c r="G715" s="1">
        <v>420</v>
      </c>
      <c r="H715" s="1">
        <v>472</v>
      </c>
      <c r="I715" s="1">
        <f t="shared" si="4"/>
        <v>52</v>
      </c>
    </row>
    <row r="716" spans="1:11" x14ac:dyDescent="0.25">
      <c r="C716" s="1">
        <v>24</v>
      </c>
      <c r="D716" s="1">
        <v>1</v>
      </c>
      <c r="E716" s="1">
        <v>10</v>
      </c>
      <c r="F716" s="1">
        <v>12</v>
      </c>
      <c r="G716" s="1">
        <v>472</v>
      </c>
      <c r="H716" s="1">
        <v>521</v>
      </c>
      <c r="I716" s="1">
        <f t="shared" si="4"/>
        <v>49</v>
      </c>
    </row>
    <row r="717" spans="1:11" x14ac:dyDescent="0.25">
      <c r="C717" s="1">
        <v>24</v>
      </c>
      <c r="D717" s="1">
        <v>1</v>
      </c>
      <c r="E717" s="1">
        <v>10</v>
      </c>
      <c r="F717" s="1">
        <v>13</v>
      </c>
      <c r="G717" s="1">
        <v>521</v>
      </c>
      <c r="H717" s="1">
        <v>561</v>
      </c>
      <c r="I717" s="1">
        <f t="shared" si="4"/>
        <v>40</v>
      </c>
    </row>
    <row r="718" spans="1:11" x14ac:dyDescent="0.25">
      <c r="C718" s="1">
        <v>24</v>
      </c>
      <c r="D718" s="1">
        <v>1</v>
      </c>
      <c r="E718" s="1">
        <v>10</v>
      </c>
      <c r="F718" s="1">
        <v>14</v>
      </c>
      <c r="G718" s="1">
        <v>561</v>
      </c>
      <c r="H718" s="1">
        <v>584</v>
      </c>
      <c r="I718" s="1">
        <f t="shared" si="4"/>
        <v>23</v>
      </c>
    </row>
    <row r="719" spans="1:11" x14ac:dyDescent="0.25">
      <c r="C719" s="1">
        <v>24</v>
      </c>
      <c r="D719" s="1">
        <v>1</v>
      </c>
      <c r="E719" s="1">
        <v>10</v>
      </c>
      <c r="F719" s="1">
        <v>15</v>
      </c>
      <c r="G719" s="1">
        <v>587</v>
      </c>
      <c r="H719" s="1">
        <v>621</v>
      </c>
      <c r="I719" s="1">
        <f t="shared" si="4"/>
        <v>34</v>
      </c>
    </row>
    <row r="720" spans="1:11" x14ac:dyDescent="0.25">
      <c r="C720" s="1">
        <v>24</v>
      </c>
      <c r="D720" s="1">
        <v>1</v>
      </c>
      <c r="E720" s="1">
        <v>10</v>
      </c>
      <c r="F720" s="1">
        <v>16</v>
      </c>
      <c r="G720" s="1">
        <v>625</v>
      </c>
      <c r="H720" s="1">
        <v>670</v>
      </c>
      <c r="I720" s="1">
        <f t="shared" si="4"/>
        <v>45</v>
      </c>
    </row>
    <row r="721" spans="1:11" x14ac:dyDescent="0.25">
      <c r="C721" s="1">
        <v>24</v>
      </c>
      <c r="D721" s="1">
        <v>1</v>
      </c>
      <c r="E721" s="1">
        <v>10</v>
      </c>
      <c r="F721" s="1">
        <v>17</v>
      </c>
      <c r="G721" s="1">
        <v>670</v>
      </c>
      <c r="H721" s="1">
        <v>710</v>
      </c>
      <c r="I721" s="1">
        <f t="shared" si="4"/>
        <v>40</v>
      </c>
    </row>
    <row r="722" spans="1:11" x14ac:dyDescent="0.25">
      <c r="C722" s="1">
        <v>24</v>
      </c>
      <c r="D722" s="1">
        <v>1</v>
      </c>
      <c r="E722" s="1">
        <v>10</v>
      </c>
      <c r="F722" s="1">
        <v>18</v>
      </c>
      <c r="G722" s="1">
        <v>710</v>
      </c>
      <c r="H722" s="1">
        <v>756</v>
      </c>
      <c r="I722" s="1">
        <f t="shared" si="4"/>
        <v>46</v>
      </c>
    </row>
    <row r="723" spans="1:11" x14ac:dyDescent="0.25">
      <c r="C723" s="1">
        <v>24</v>
      </c>
      <c r="D723" s="1">
        <v>1</v>
      </c>
      <c r="E723" s="1">
        <v>10</v>
      </c>
      <c r="F723" s="1">
        <v>19</v>
      </c>
      <c r="G723" s="1">
        <v>756</v>
      </c>
      <c r="H723" s="1">
        <v>803</v>
      </c>
      <c r="I723" s="1">
        <f t="shared" si="4"/>
        <v>47</v>
      </c>
    </row>
    <row r="724" spans="1:11" x14ac:dyDescent="0.25">
      <c r="C724" s="1">
        <v>24</v>
      </c>
      <c r="D724" s="1">
        <v>1</v>
      </c>
      <c r="E724" s="1">
        <v>10</v>
      </c>
      <c r="F724" s="1">
        <v>20</v>
      </c>
      <c r="G724" s="1">
        <v>807</v>
      </c>
      <c r="H724" s="1">
        <v>860</v>
      </c>
      <c r="I724" s="1">
        <f t="shared" si="4"/>
        <v>53</v>
      </c>
    </row>
    <row r="725" spans="1:11" x14ac:dyDescent="0.25">
      <c r="C725" s="1">
        <v>24</v>
      </c>
      <c r="D725" s="1">
        <v>1</v>
      </c>
      <c r="E725" s="1">
        <v>10</v>
      </c>
      <c r="F725" s="1">
        <v>21</v>
      </c>
      <c r="G725" s="1">
        <v>867</v>
      </c>
      <c r="H725" s="1">
        <v>900</v>
      </c>
      <c r="I725" s="1">
        <f t="shared" si="4"/>
        <v>33</v>
      </c>
    </row>
    <row r="726" spans="1:11" x14ac:dyDescent="0.25">
      <c r="C726" s="1">
        <v>24</v>
      </c>
      <c r="D726" s="1">
        <v>1</v>
      </c>
      <c r="E726" s="1">
        <v>10</v>
      </c>
      <c r="F726" s="1">
        <v>22</v>
      </c>
      <c r="G726" s="1">
        <v>900</v>
      </c>
      <c r="H726" s="1">
        <v>933</v>
      </c>
      <c r="I726" s="1">
        <f t="shared" si="4"/>
        <v>33</v>
      </c>
    </row>
    <row r="727" spans="1:11" x14ac:dyDescent="0.25">
      <c r="C727" s="1">
        <v>24</v>
      </c>
      <c r="D727" s="1">
        <v>1</v>
      </c>
      <c r="E727" s="1">
        <v>10</v>
      </c>
      <c r="F727" s="1">
        <v>23</v>
      </c>
      <c r="G727" s="1">
        <v>933</v>
      </c>
      <c r="H727" s="1">
        <v>967</v>
      </c>
      <c r="I727" s="1">
        <f t="shared" si="4"/>
        <v>34</v>
      </c>
    </row>
    <row r="728" spans="1:11" x14ac:dyDescent="0.25">
      <c r="C728" s="1">
        <v>24</v>
      </c>
      <c r="D728" s="1">
        <v>1</v>
      </c>
      <c r="E728" s="1">
        <v>10</v>
      </c>
      <c r="F728" s="1">
        <v>24</v>
      </c>
      <c r="G728" s="1">
        <v>969</v>
      </c>
      <c r="H728" s="1">
        <v>1022</v>
      </c>
      <c r="I728" s="1">
        <f t="shared" si="4"/>
        <v>53</v>
      </c>
    </row>
    <row r="729" spans="1:11" x14ac:dyDescent="0.25">
      <c r="C729" s="1">
        <v>24</v>
      </c>
      <c r="D729" s="1">
        <v>1</v>
      </c>
      <c r="E729" s="1">
        <v>10</v>
      </c>
      <c r="F729" s="1">
        <v>25</v>
      </c>
      <c r="G729" s="1">
        <v>1022</v>
      </c>
      <c r="H729" s="1">
        <v>1052</v>
      </c>
      <c r="I729" s="1">
        <f>H729-G729</f>
        <v>30</v>
      </c>
    </row>
    <row r="730" spans="1:11" x14ac:dyDescent="0.25">
      <c r="A730" s="5">
        <v>1</v>
      </c>
      <c r="B730" s="2">
        <v>43958</v>
      </c>
      <c r="C730" s="1">
        <v>25</v>
      </c>
      <c r="D730" s="1">
        <v>1</v>
      </c>
      <c r="E730" s="1">
        <v>1</v>
      </c>
      <c r="F730" s="1">
        <v>1</v>
      </c>
      <c r="G730" s="1">
        <v>2</v>
      </c>
      <c r="H730" s="1">
        <v>51</v>
      </c>
      <c r="I730" s="1">
        <f t="shared" si="4"/>
        <v>49</v>
      </c>
    </row>
    <row r="731" spans="1:11" x14ac:dyDescent="0.25">
      <c r="C731" s="1">
        <v>25</v>
      </c>
      <c r="D731" s="1">
        <v>1</v>
      </c>
      <c r="E731" s="1">
        <v>1</v>
      </c>
      <c r="F731" s="1">
        <v>2</v>
      </c>
      <c r="G731" s="1">
        <v>51</v>
      </c>
      <c r="H731" s="1">
        <v>60</v>
      </c>
      <c r="I731" s="1">
        <f t="shared" si="4"/>
        <v>9</v>
      </c>
    </row>
    <row r="732" spans="1:11" x14ac:dyDescent="0.25">
      <c r="C732" s="1">
        <v>25</v>
      </c>
      <c r="D732" s="1">
        <v>1</v>
      </c>
      <c r="E732" s="1">
        <v>1</v>
      </c>
      <c r="F732" s="1">
        <v>3</v>
      </c>
      <c r="G732" s="1">
        <v>60</v>
      </c>
      <c r="H732" s="1">
        <v>66</v>
      </c>
      <c r="I732" s="1">
        <f t="shared" si="4"/>
        <v>6</v>
      </c>
    </row>
    <row r="733" spans="1:11" x14ac:dyDescent="0.25">
      <c r="C733" s="1">
        <v>25</v>
      </c>
      <c r="D733" s="1">
        <v>1</v>
      </c>
      <c r="E733" s="1">
        <v>1</v>
      </c>
      <c r="F733" s="1">
        <v>4</v>
      </c>
      <c r="G733" s="1">
        <v>66</v>
      </c>
      <c r="H733" s="1">
        <v>74</v>
      </c>
      <c r="I733" s="1">
        <f t="shared" si="4"/>
        <v>8</v>
      </c>
    </row>
    <row r="734" spans="1:11" x14ac:dyDescent="0.25">
      <c r="C734" s="1">
        <v>25</v>
      </c>
      <c r="D734" s="1">
        <v>1</v>
      </c>
      <c r="E734" s="1">
        <v>10</v>
      </c>
      <c r="F734" s="1">
        <v>5</v>
      </c>
      <c r="G734" s="1">
        <v>74</v>
      </c>
      <c r="H734" s="1">
        <v>91</v>
      </c>
      <c r="I734" s="1">
        <f t="shared" si="4"/>
        <v>17</v>
      </c>
      <c r="J734" s="6">
        <f>(I734+I735+I736+I754+I753+I752+I742+I743+I744)/9</f>
        <v>40.888888888888886</v>
      </c>
      <c r="K734" s="6">
        <f>AVERAGE(I734:I754)</f>
        <v>40.952380952380949</v>
      </c>
    </row>
    <row r="735" spans="1:11" x14ac:dyDescent="0.25">
      <c r="C735" s="1">
        <v>25</v>
      </c>
      <c r="D735" s="1">
        <v>1</v>
      </c>
      <c r="E735" s="1">
        <v>10</v>
      </c>
      <c r="F735" s="1">
        <v>6</v>
      </c>
      <c r="G735" s="1">
        <v>94</v>
      </c>
      <c r="H735" s="1">
        <v>137</v>
      </c>
      <c r="I735" s="1">
        <f t="shared" si="4"/>
        <v>43</v>
      </c>
    </row>
    <row r="736" spans="1:11" x14ac:dyDescent="0.25">
      <c r="C736" s="1">
        <v>25</v>
      </c>
      <c r="D736" s="1">
        <v>1</v>
      </c>
      <c r="E736" s="1">
        <v>10</v>
      </c>
      <c r="F736" s="1">
        <v>7</v>
      </c>
      <c r="G736" s="1">
        <v>137</v>
      </c>
      <c r="H736" s="1">
        <v>182</v>
      </c>
      <c r="I736" s="1">
        <f t="shared" si="4"/>
        <v>45</v>
      </c>
    </row>
    <row r="737" spans="3:9" x14ac:dyDescent="0.25">
      <c r="C737" s="1">
        <v>25</v>
      </c>
      <c r="D737" s="1">
        <v>1</v>
      </c>
      <c r="E737" s="1">
        <v>10</v>
      </c>
      <c r="F737" s="1">
        <v>8</v>
      </c>
      <c r="G737" s="1">
        <v>182</v>
      </c>
      <c r="H737" s="1">
        <v>204</v>
      </c>
      <c r="I737" s="1">
        <f t="shared" si="4"/>
        <v>22</v>
      </c>
    </row>
    <row r="738" spans="3:9" x14ac:dyDescent="0.25">
      <c r="C738" s="1">
        <v>25</v>
      </c>
      <c r="D738" s="1">
        <v>1</v>
      </c>
      <c r="E738" s="1">
        <v>10</v>
      </c>
      <c r="F738" s="1">
        <v>9</v>
      </c>
      <c r="G738" s="1">
        <v>204</v>
      </c>
      <c r="H738" s="1">
        <v>248</v>
      </c>
      <c r="I738" s="1">
        <f t="shared" si="4"/>
        <v>44</v>
      </c>
    </row>
    <row r="739" spans="3:9" x14ac:dyDescent="0.25">
      <c r="C739" s="1">
        <v>25</v>
      </c>
      <c r="D739" s="1">
        <v>1</v>
      </c>
      <c r="E739" s="1">
        <v>10</v>
      </c>
      <c r="F739" s="1">
        <v>10</v>
      </c>
      <c r="G739" s="1">
        <v>248</v>
      </c>
      <c r="H739" s="1">
        <v>301</v>
      </c>
      <c r="I739" s="1">
        <f t="shared" si="4"/>
        <v>53</v>
      </c>
    </row>
    <row r="740" spans="3:9" x14ac:dyDescent="0.25">
      <c r="C740" s="1">
        <v>25</v>
      </c>
      <c r="D740" s="1">
        <v>1</v>
      </c>
      <c r="E740" s="1">
        <v>10</v>
      </c>
      <c r="F740" s="1">
        <v>11</v>
      </c>
      <c r="G740" s="1">
        <v>301</v>
      </c>
      <c r="H740" s="1">
        <v>338</v>
      </c>
      <c r="I740" s="1">
        <f t="shared" si="4"/>
        <v>37</v>
      </c>
    </row>
    <row r="741" spans="3:9" x14ac:dyDescent="0.25">
      <c r="C741" s="1">
        <v>25</v>
      </c>
      <c r="D741" s="1">
        <v>1</v>
      </c>
      <c r="E741" s="1">
        <v>10</v>
      </c>
      <c r="F741" s="1">
        <v>12</v>
      </c>
      <c r="G741" s="1">
        <v>338</v>
      </c>
      <c r="H741" s="1">
        <v>386</v>
      </c>
      <c r="I741" s="1">
        <f t="shared" si="4"/>
        <v>48</v>
      </c>
    </row>
    <row r="742" spans="3:9" x14ac:dyDescent="0.25">
      <c r="C742" s="1">
        <v>25</v>
      </c>
      <c r="D742" s="1">
        <v>1</v>
      </c>
      <c r="E742" s="1">
        <v>10</v>
      </c>
      <c r="F742" s="1">
        <v>13</v>
      </c>
      <c r="G742" s="1">
        <v>386</v>
      </c>
      <c r="H742" s="1">
        <v>426</v>
      </c>
      <c r="I742" s="1">
        <f t="shared" si="4"/>
        <v>40</v>
      </c>
    </row>
    <row r="743" spans="3:9" x14ac:dyDescent="0.25">
      <c r="C743" s="1">
        <v>25</v>
      </c>
      <c r="D743" s="1">
        <v>1</v>
      </c>
      <c r="E743" s="1">
        <v>10</v>
      </c>
      <c r="F743" s="1">
        <v>14</v>
      </c>
      <c r="G743" s="1">
        <v>426</v>
      </c>
      <c r="H743" s="1">
        <v>483</v>
      </c>
      <c r="I743" s="1">
        <f t="shared" si="4"/>
        <v>57</v>
      </c>
    </row>
    <row r="744" spans="3:9" x14ac:dyDescent="0.25">
      <c r="C744" s="1">
        <v>25</v>
      </c>
      <c r="D744" s="1">
        <v>1</v>
      </c>
      <c r="E744" s="1">
        <v>10</v>
      </c>
      <c r="F744" s="1">
        <v>15</v>
      </c>
      <c r="G744" s="1">
        <v>492</v>
      </c>
      <c r="H744" s="1">
        <v>524</v>
      </c>
      <c r="I744" s="1">
        <f t="shared" si="4"/>
        <v>32</v>
      </c>
    </row>
    <row r="745" spans="3:9" x14ac:dyDescent="0.25">
      <c r="C745" s="1">
        <v>25</v>
      </c>
      <c r="D745" s="1">
        <v>1</v>
      </c>
      <c r="E745" s="1">
        <v>10</v>
      </c>
      <c r="F745" s="1">
        <v>16</v>
      </c>
      <c r="G745" s="1">
        <v>524</v>
      </c>
      <c r="H745" s="1">
        <v>571</v>
      </c>
      <c r="I745" s="1">
        <f t="shared" si="4"/>
        <v>47</v>
      </c>
    </row>
    <row r="746" spans="3:9" x14ac:dyDescent="0.25">
      <c r="C746" s="1">
        <v>25</v>
      </c>
      <c r="D746" s="1">
        <v>1</v>
      </c>
      <c r="E746" s="1">
        <v>10</v>
      </c>
      <c r="F746" s="1">
        <v>17</v>
      </c>
      <c r="G746" s="1">
        <v>571</v>
      </c>
      <c r="H746" s="1">
        <v>611</v>
      </c>
      <c r="I746" s="1">
        <f t="shared" si="4"/>
        <v>40</v>
      </c>
    </row>
    <row r="747" spans="3:9" x14ac:dyDescent="0.25">
      <c r="C747" s="1">
        <v>25</v>
      </c>
      <c r="D747" s="1">
        <v>1</v>
      </c>
      <c r="E747" s="1">
        <v>10</v>
      </c>
      <c r="F747" s="1">
        <v>18</v>
      </c>
      <c r="G747" s="1">
        <v>611</v>
      </c>
      <c r="H747" s="1">
        <v>652</v>
      </c>
      <c r="I747" s="1">
        <f t="shared" si="4"/>
        <v>41</v>
      </c>
    </row>
    <row r="748" spans="3:9" x14ac:dyDescent="0.25">
      <c r="C748" s="1">
        <v>25</v>
      </c>
      <c r="D748" s="1">
        <v>1</v>
      </c>
      <c r="E748" s="1">
        <v>10</v>
      </c>
      <c r="F748" s="1">
        <v>19</v>
      </c>
      <c r="G748" s="1">
        <v>652</v>
      </c>
      <c r="H748" s="1">
        <v>697</v>
      </c>
      <c r="I748" s="1">
        <f t="shared" si="4"/>
        <v>45</v>
      </c>
    </row>
    <row r="749" spans="3:9" x14ac:dyDescent="0.25">
      <c r="C749" s="1">
        <v>25</v>
      </c>
      <c r="D749" s="1">
        <v>1</v>
      </c>
      <c r="E749" s="1">
        <v>10</v>
      </c>
      <c r="F749" s="1">
        <v>20</v>
      </c>
      <c r="G749" s="1">
        <v>698</v>
      </c>
      <c r="H749" s="1">
        <v>749</v>
      </c>
      <c r="I749" s="1">
        <f t="shared" si="4"/>
        <v>51</v>
      </c>
    </row>
    <row r="750" spans="3:9" x14ac:dyDescent="0.25">
      <c r="C750" s="1">
        <v>25</v>
      </c>
      <c r="D750" s="1">
        <v>1</v>
      </c>
      <c r="E750" s="1">
        <v>10</v>
      </c>
      <c r="F750" s="1">
        <v>21</v>
      </c>
      <c r="G750" s="1">
        <v>749</v>
      </c>
      <c r="H750" s="1">
        <v>783</v>
      </c>
      <c r="I750" s="1">
        <f t="shared" si="4"/>
        <v>34</v>
      </c>
    </row>
    <row r="751" spans="3:9" x14ac:dyDescent="0.25">
      <c r="C751" s="1">
        <v>25</v>
      </c>
      <c r="D751" s="1">
        <v>1</v>
      </c>
      <c r="E751" s="1">
        <v>10</v>
      </c>
      <c r="F751" s="1">
        <v>22</v>
      </c>
      <c r="G751" s="1">
        <v>783</v>
      </c>
      <c r="H751" s="1">
        <v>813</v>
      </c>
      <c r="I751" s="1">
        <f t="shared" si="4"/>
        <v>30</v>
      </c>
    </row>
    <row r="752" spans="3:9" x14ac:dyDescent="0.25">
      <c r="C752" s="1">
        <v>25</v>
      </c>
      <c r="D752" s="1">
        <v>1</v>
      </c>
      <c r="E752" s="1">
        <v>10</v>
      </c>
      <c r="F752" s="1">
        <v>23</v>
      </c>
      <c r="G752" s="1">
        <v>816</v>
      </c>
      <c r="H752" s="1">
        <v>861</v>
      </c>
      <c r="I752" s="1">
        <f t="shared" si="4"/>
        <v>45</v>
      </c>
    </row>
    <row r="753" spans="1:11" x14ac:dyDescent="0.25">
      <c r="C753" s="1">
        <v>25</v>
      </c>
      <c r="D753" s="1">
        <v>1</v>
      </c>
      <c r="E753" s="1">
        <v>10</v>
      </c>
      <c r="F753" s="1">
        <v>24</v>
      </c>
      <c r="G753" s="1">
        <v>861</v>
      </c>
      <c r="H753" s="1">
        <v>912</v>
      </c>
      <c r="I753" s="1">
        <f t="shared" si="4"/>
        <v>51</v>
      </c>
    </row>
    <row r="754" spans="1:11" x14ac:dyDescent="0.25">
      <c r="C754" s="1">
        <v>25</v>
      </c>
      <c r="D754" s="1">
        <v>1</v>
      </c>
      <c r="E754" s="1">
        <v>10</v>
      </c>
      <c r="F754" s="1">
        <v>25</v>
      </c>
      <c r="G754" s="1">
        <v>912</v>
      </c>
      <c r="H754" s="1">
        <v>950</v>
      </c>
      <c r="I754" s="1">
        <f t="shared" si="4"/>
        <v>38</v>
      </c>
    </row>
    <row r="755" spans="1:11" x14ac:dyDescent="0.25">
      <c r="A755" s="9">
        <v>1</v>
      </c>
      <c r="B755" s="4">
        <v>43958</v>
      </c>
      <c r="C755" s="3">
        <v>26</v>
      </c>
      <c r="D755" s="3">
        <v>2</v>
      </c>
      <c r="E755" s="3">
        <v>1</v>
      </c>
      <c r="F755" s="3">
        <v>1</v>
      </c>
      <c r="G755" s="3">
        <v>4</v>
      </c>
      <c r="H755" s="3">
        <v>36</v>
      </c>
      <c r="I755" s="3">
        <f t="shared" si="4"/>
        <v>32</v>
      </c>
    </row>
    <row r="756" spans="1:11" x14ac:dyDescent="0.25">
      <c r="A756" s="9"/>
      <c r="B756" s="3"/>
      <c r="C756" s="3">
        <v>26</v>
      </c>
      <c r="D756" s="3">
        <v>2</v>
      </c>
      <c r="E756" s="3">
        <v>1</v>
      </c>
      <c r="F756" s="3">
        <v>2</v>
      </c>
      <c r="G756" s="3">
        <v>39</v>
      </c>
      <c r="H756" s="3">
        <v>81</v>
      </c>
      <c r="I756" s="3">
        <f t="shared" si="4"/>
        <v>42</v>
      </c>
    </row>
    <row r="757" spans="1:11" x14ac:dyDescent="0.25">
      <c r="A757" s="9"/>
      <c r="B757" s="3"/>
      <c r="C757" s="3">
        <v>26</v>
      </c>
      <c r="D757" s="3">
        <v>2</v>
      </c>
      <c r="E757" s="3">
        <v>1</v>
      </c>
      <c r="F757" s="3">
        <v>3</v>
      </c>
      <c r="G757" s="3">
        <v>81</v>
      </c>
      <c r="H757" s="3">
        <v>118</v>
      </c>
      <c r="I757" s="3">
        <f t="shared" si="4"/>
        <v>37</v>
      </c>
    </row>
    <row r="758" spans="1:11" x14ac:dyDescent="0.25">
      <c r="A758" s="9"/>
      <c r="B758" s="3"/>
      <c r="C758" s="3">
        <v>26</v>
      </c>
      <c r="D758" s="3">
        <v>2</v>
      </c>
      <c r="E758" s="3">
        <v>1</v>
      </c>
      <c r="F758" s="3">
        <v>4</v>
      </c>
      <c r="G758" s="3">
        <v>123</v>
      </c>
      <c r="H758" s="3">
        <v>156</v>
      </c>
      <c r="I758" s="3">
        <f t="shared" si="4"/>
        <v>33</v>
      </c>
    </row>
    <row r="759" spans="1:11" x14ac:dyDescent="0.25">
      <c r="A759" s="9"/>
      <c r="B759" s="3"/>
      <c r="C759" s="3">
        <v>26</v>
      </c>
      <c r="D759" s="3">
        <v>2</v>
      </c>
      <c r="E759" s="3">
        <v>10</v>
      </c>
      <c r="F759" s="3">
        <v>5</v>
      </c>
      <c r="G759" s="3">
        <v>157</v>
      </c>
      <c r="H759" s="3">
        <v>157</v>
      </c>
      <c r="I759" s="3">
        <f t="shared" si="4"/>
        <v>0</v>
      </c>
      <c r="K759" s="6">
        <f>AVERAGE(I759:I762)</f>
        <v>4</v>
      </c>
    </row>
    <row r="760" spans="1:11" x14ac:dyDescent="0.25">
      <c r="A760" s="9"/>
      <c r="B760" s="3"/>
      <c r="C760" s="3">
        <v>26</v>
      </c>
      <c r="D760" s="3">
        <v>2</v>
      </c>
      <c r="E760" s="3">
        <v>10</v>
      </c>
      <c r="F760" s="3">
        <v>6</v>
      </c>
      <c r="G760" s="3">
        <v>175</v>
      </c>
      <c r="H760" s="3">
        <v>189</v>
      </c>
      <c r="I760" s="3">
        <f t="shared" si="4"/>
        <v>14</v>
      </c>
    </row>
    <row r="761" spans="1:11" x14ac:dyDescent="0.25">
      <c r="A761" s="9"/>
      <c r="B761" s="3"/>
      <c r="C761" s="3">
        <v>26</v>
      </c>
      <c r="D761" s="3">
        <v>2</v>
      </c>
      <c r="E761" s="3">
        <v>10</v>
      </c>
      <c r="F761" s="3">
        <v>7</v>
      </c>
      <c r="G761" s="3">
        <v>189</v>
      </c>
      <c r="H761" s="3">
        <v>190</v>
      </c>
      <c r="I761" s="3">
        <f t="shared" si="4"/>
        <v>1</v>
      </c>
    </row>
    <row r="762" spans="1:11" x14ac:dyDescent="0.25">
      <c r="A762" s="9"/>
      <c r="B762" s="3"/>
      <c r="C762" s="3">
        <v>26</v>
      </c>
      <c r="D762" s="3">
        <v>2</v>
      </c>
      <c r="E762" s="3">
        <v>10</v>
      </c>
      <c r="F762" s="3">
        <v>8</v>
      </c>
      <c r="G762" s="3">
        <v>190</v>
      </c>
      <c r="H762" s="3">
        <v>191</v>
      </c>
      <c r="I762" s="3">
        <f t="shared" si="4"/>
        <v>1</v>
      </c>
    </row>
    <row r="763" spans="1:11" x14ac:dyDescent="0.25">
      <c r="A763" s="5">
        <v>2</v>
      </c>
      <c r="B763" s="2">
        <v>43970</v>
      </c>
      <c r="C763" s="1">
        <v>21</v>
      </c>
      <c r="D763" s="1">
        <v>2</v>
      </c>
      <c r="E763" s="1">
        <v>1</v>
      </c>
      <c r="F763" s="1">
        <v>1</v>
      </c>
      <c r="G763" s="1">
        <v>0</v>
      </c>
      <c r="H763" s="1">
        <v>48</v>
      </c>
      <c r="I763" s="1">
        <f t="shared" si="4"/>
        <v>48</v>
      </c>
      <c r="J763" s="6">
        <f>(I767+I768+I769+I787+I786+I785+I776+I777+I778)/9</f>
        <v>47.555555555555557</v>
      </c>
      <c r="K763" s="6">
        <f>AVERAGE(I767:I787)</f>
        <v>42.095238095238095</v>
      </c>
    </row>
    <row r="764" spans="1:11" x14ac:dyDescent="0.25">
      <c r="C764" s="1">
        <v>21</v>
      </c>
      <c r="D764" s="1">
        <v>2</v>
      </c>
      <c r="E764" s="1">
        <v>1</v>
      </c>
      <c r="F764" s="1">
        <v>2</v>
      </c>
      <c r="G764" s="1">
        <v>48</v>
      </c>
      <c r="H764" s="1">
        <v>95</v>
      </c>
      <c r="I764" s="1">
        <f t="shared" si="4"/>
        <v>47</v>
      </c>
    </row>
    <row r="765" spans="1:11" x14ac:dyDescent="0.25">
      <c r="C765" s="1">
        <v>21</v>
      </c>
      <c r="D765" s="1">
        <v>2</v>
      </c>
      <c r="E765" s="1">
        <v>1</v>
      </c>
      <c r="F765" s="1">
        <v>3</v>
      </c>
      <c r="G765" s="1">
        <v>95</v>
      </c>
      <c r="H765" s="1">
        <v>134</v>
      </c>
      <c r="I765" s="1">
        <f t="shared" si="4"/>
        <v>39</v>
      </c>
    </row>
    <row r="766" spans="1:11" x14ac:dyDescent="0.25">
      <c r="C766" s="1">
        <v>21</v>
      </c>
      <c r="D766" s="1">
        <v>2</v>
      </c>
      <c r="E766" s="1">
        <v>1</v>
      </c>
      <c r="F766" s="1">
        <v>4</v>
      </c>
      <c r="G766" s="1">
        <v>134</v>
      </c>
      <c r="H766" s="1">
        <v>183</v>
      </c>
      <c r="I766" s="1">
        <f t="shared" si="4"/>
        <v>49</v>
      </c>
    </row>
    <row r="767" spans="1:11" x14ac:dyDescent="0.25">
      <c r="C767" s="1">
        <v>21</v>
      </c>
      <c r="D767" s="1">
        <v>2</v>
      </c>
      <c r="E767" s="1">
        <v>10</v>
      </c>
      <c r="F767" s="1">
        <v>5</v>
      </c>
      <c r="G767" s="1">
        <v>184</v>
      </c>
      <c r="H767" s="1">
        <v>230</v>
      </c>
      <c r="I767" s="11">
        <f t="shared" si="4"/>
        <v>46</v>
      </c>
    </row>
    <row r="768" spans="1:11" x14ac:dyDescent="0.25">
      <c r="C768" s="1">
        <v>21</v>
      </c>
      <c r="D768" s="1">
        <v>2</v>
      </c>
      <c r="E768" s="1">
        <v>10</v>
      </c>
      <c r="F768" s="1">
        <v>6</v>
      </c>
      <c r="G768" s="1">
        <v>230</v>
      </c>
      <c r="H768" s="1">
        <v>276</v>
      </c>
      <c r="I768" s="1">
        <f t="shared" si="4"/>
        <v>46</v>
      </c>
    </row>
    <row r="769" spans="3:9" x14ac:dyDescent="0.25">
      <c r="C769" s="1">
        <v>21</v>
      </c>
      <c r="D769" s="1">
        <v>2</v>
      </c>
      <c r="E769" s="1">
        <v>10</v>
      </c>
      <c r="F769" s="1">
        <v>7</v>
      </c>
      <c r="G769" s="1">
        <v>276</v>
      </c>
      <c r="H769" s="1">
        <v>312</v>
      </c>
      <c r="I769" s="1">
        <f t="shared" si="4"/>
        <v>36</v>
      </c>
    </row>
    <row r="770" spans="3:9" x14ac:dyDescent="0.25">
      <c r="C770" s="1">
        <v>21</v>
      </c>
      <c r="D770" s="1">
        <v>2</v>
      </c>
      <c r="E770" s="1">
        <v>10</v>
      </c>
      <c r="F770" s="1">
        <v>8</v>
      </c>
      <c r="G770" s="1">
        <v>312</v>
      </c>
      <c r="H770" s="1">
        <v>362</v>
      </c>
      <c r="I770" s="1">
        <f t="shared" si="4"/>
        <v>50</v>
      </c>
    </row>
    <row r="771" spans="3:9" x14ac:dyDescent="0.25">
      <c r="C771" s="1">
        <v>21</v>
      </c>
      <c r="D771" s="1">
        <v>2</v>
      </c>
      <c r="E771" s="1">
        <v>10</v>
      </c>
      <c r="F771" s="1">
        <v>9</v>
      </c>
      <c r="G771" s="1">
        <v>362</v>
      </c>
      <c r="H771" s="1">
        <v>408</v>
      </c>
      <c r="I771" s="1">
        <f t="shared" si="4"/>
        <v>46</v>
      </c>
    </row>
    <row r="772" spans="3:9" x14ac:dyDescent="0.25">
      <c r="C772" s="1">
        <v>21</v>
      </c>
      <c r="D772" s="1">
        <v>2</v>
      </c>
      <c r="E772" s="1">
        <v>10</v>
      </c>
      <c r="F772" s="1">
        <v>10</v>
      </c>
      <c r="G772" s="1">
        <v>408</v>
      </c>
      <c r="H772" s="1">
        <v>440</v>
      </c>
      <c r="I772" s="1">
        <f t="shared" si="4"/>
        <v>32</v>
      </c>
    </row>
    <row r="773" spans="3:9" x14ac:dyDescent="0.25">
      <c r="C773" s="1">
        <v>21</v>
      </c>
      <c r="D773" s="1">
        <v>2</v>
      </c>
      <c r="E773" s="1">
        <v>10</v>
      </c>
      <c r="F773" s="1">
        <v>11</v>
      </c>
      <c r="G773" s="1">
        <v>444</v>
      </c>
      <c r="H773" s="1">
        <v>498</v>
      </c>
      <c r="I773" s="1">
        <f t="shared" si="4"/>
        <v>54</v>
      </c>
    </row>
    <row r="774" spans="3:9" x14ac:dyDescent="0.25">
      <c r="C774" s="1">
        <v>21</v>
      </c>
      <c r="D774" s="1">
        <v>2</v>
      </c>
      <c r="E774" s="1">
        <v>10</v>
      </c>
      <c r="F774" s="1">
        <v>12</v>
      </c>
      <c r="G774" s="1">
        <v>498</v>
      </c>
      <c r="H774" s="1">
        <v>543</v>
      </c>
      <c r="I774" s="1">
        <f t="shared" si="4"/>
        <v>45</v>
      </c>
    </row>
    <row r="775" spans="3:9" x14ac:dyDescent="0.25">
      <c r="C775" s="1">
        <v>21</v>
      </c>
      <c r="D775" s="1">
        <v>2</v>
      </c>
      <c r="E775" s="1">
        <v>10</v>
      </c>
      <c r="F775" s="1">
        <v>13</v>
      </c>
      <c r="G775" s="1">
        <v>543</v>
      </c>
      <c r="H775" s="1">
        <v>583</v>
      </c>
      <c r="I775" s="1">
        <f t="shared" si="4"/>
        <v>40</v>
      </c>
    </row>
    <row r="776" spans="3:9" x14ac:dyDescent="0.25">
      <c r="C776" s="1">
        <v>21</v>
      </c>
      <c r="D776" s="1">
        <v>2</v>
      </c>
      <c r="E776" s="1">
        <v>10</v>
      </c>
      <c r="F776" s="1">
        <v>14</v>
      </c>
      <c r="G776" s="1">
        <v>583</v>
      </c>
      <c r="H776" s="1">
        <v>633</v>
      </c>
      <c r="I776" s="1">
        <f t="shared" si="4"/>
        <v>50</v>
      </c>
    </row>
    <row r="777" spans="3:9" x14ac:dyDescent="0.25">
      <c r="C777" s="1">
        <v>21</v>
      </c>
      <c r="D777" s="1">
        <v>2</v>
      </c>
      <c r="E777" s="1">
        <v>10</v>
      </c>
      <c r="F777" s="1">
        <v>15</v>
      </c>
      <c r="G777" s="1">
        <v>633</v>
      </c>
      <c r="H777" s="1">
        <v>673</v>
      </c>
      <c r="I777" s="1">
        <f t="shared" si="4"/>
        <v>40</v>
      </c>
    </row>
    <row r="778" spans="3:9" x14ac:dyDescent="0.25">
      <c r="C778" s="1">
        <v>21</v>
      </c>
      <c r="D778" s="1">
        <v>2</v>
      </c>
      <c r="E778" s="1">
        <v>10</v>
      </c>
      <c r="F778" s="1">
        <v>16</v>
      </c>
      <c r="G778" s="1">
        <v>673</v>
      </c>
      <c r="H778" s="1">
        <v>719</v>
      </c>
      <c r="I778" s="1">
        <f t="shared" si="4"/>
        <v>46</v>
      </c>
    </row>
    <row r="779" spans="3:9" x14ac:dyDescent="0.25">
      <c r="C779" s="1">
        <v>21</v>
      </c>
      <c r="D779" s="1">
        <v>2</v>
      </c>
      <c r="E779" s="1">
        <v>10</v>
      </c>
      <c r="F779" s="1">
        <v>17</v>
      </c>
      <c r="G779" s="1">
        <v>719</v>
      </c>
      <c r="H779" s="1">
        <v>765</v>
      </c>
      <c r="I779" s="1">
        <f t="shared" si="4"/>
        <v>46</v>
      </c>
    </row>
    <row r="780" spans="3:9" x14ac:dyDescent="0.25">
      <c r="C780" s="1">
        <v>21</v>
      </c>
      <c r="D780" s="1">
        <v>2</v>
      </c>
      <c r="E780" s="1">
        <v>10</v>
      </c>
      <c r="F780" s="1">
        <v>18</v>
      </c>
      <c r="G780" s="1">
        <v>765</v>
      </c>
      <c r="H780" s="1">
        <v>807</v>
      </c>
      <c r="I780" s="1">
        <f t="shared" si="4"/>
        <v>42</v>
      </c>
    </row>
    <row r="781" spans="3:9" x14ac:dyDescent="0.25">
      <c r="C781" s="1">
        <v>21</v>
      </c>
      <c r="D781" s="1">
        <v>2</v>
      </c>
      <c r="E781" s="1">
        <v>10</v>
      </c>
      <c r="F781" s="1">
        <v>19</v>
      </c>
      <c r="G781" s="1">
        <v>807</v>
      </c>
      <c r="H781" s="1">
        <v>850</v>
      </c>
      <c r="I781" s="1">
        <f t="shared" si="4"/>
        <v>43</v>
      </c>
    </row>
    <row r="782" spans="3:9" x14ac:dyDescent="0.25">
      <c r="C782" s="1">
        <v>21</v>
      </c>
      <c r="D782" s="1">
        <v>2</v>
      </c>
      <c r="E782" s="1">
        <v>10</v>
      </c>
      <c r="F782" s="1">
        <v>20</v>
      </c>
      <c r="G782" s="1">
        <v>850</v>
      </c>
      <c r="H782" s="1">
        <v>881</v>
      </c>
      <c r="I782" s="1">
        <f t="shared" si="4"/>
        <v>31</v>
      </c>
    </row>
    <row r="783" spans="3:9" x14ac:dyDescent="0.25">
      <c r="C783" s="1">
        <v>21</v>
      </c>
      <c r="D783" s="1">
        <v>2</v>
      </c>
      <c r="E783" s="1">
        <v>10</v>
      </c>
      <c r="F783" s="1">
        <v>21</v>
      </c>
      <c r="G783" s="1">
        <v>881</v>
      </c>
      <c r="H783" s="1">
        <v>881</v>
      </c>
      <c r="I783" s="1">
        <f t="shared" si="4"/>
        <v>0</v>
      </c>
    </row>
    <row r="784" spans="3:9" x14ac:dyDescent="0.25">
      <c r="C784" s="1">
        <v>21</v>
      </c>
      <c r="D784" s="1">
        <v>2</v>
      </c>
      <c r="E784" s="1">
        <v>10</v>
      </c>
      <c r="F784" s="1">
        <v>22</v>
      </c>
      <c r="G784" s="1">
        <v>881</v>
      </c>
      <c r="H784" s="1">
        <v>908</v>
      </c>
      <c r="I784" s="1">
        <f t="shared" si="4"/>
        <v>27</v>
      </c>
    </row>
    <row r="785" spans="1:11" x14ac:dyDescent="0.25">
      <c r="C785" s="1">
        <v>21</v>
      </c>
      <c r="D785" s="1">
        <v>2</v>
      </c>
      <c r="E785" s="1">
        <v>10</v>
      </c>
      <c r="F785" s="1">
        <v>23</v>
      </c>
      <c r="G785" s="1">
        <v>918</v>
      </c>
      <c r="H785" s="1">
        <v>971</v>
      </c>
      <c r="I785" s="1">
        <f t="shared" si="4"/>
        <v>53</v>
      </c>
    </row>
    <row r="786" spans="1:11" x14ac:dyDescent="0.25">
      <c r="C786" s="1">
        <v>21</v>
      </c>
      <c r="D786" s="1">
        <v>2</v>
      </c>
      <c r="E786" s="1">
        <v>10</v>
      </c>
      <c r="F786" s="1">
        <v>24</v>
      </c>
      <c r="G786" s="1">
        <v>971</v>
      </c>
      <c r="H786" s="1">
        <v>1033</v>
      </c>
      <c r="I786" s="1">
        <f t="shared" si="4"/>
        <v>62</v>
      </c>
    </row>
    <row r="787" spans="1:11" x14ac:dyDescent="0.25">
      <c r="C787" s="1">
        <v>21</v>
      </c>
      <c r="D787" s="1">
        <v>2</v>
      </c>
      <c r="E787" s="1">
        <v>10</v>
      </c>
      <c r="F787" s="1">
        <v>25</v>
      </c>
      <c r="G787" s="1">
        <v>1033</v>
      </c>
      <c r="H787" s="1">
        <v>1082</v>
      </c>
      <c r="I787" s="1">
        <f t="shared" si="4"/>
        <v>49</v>
      </c>
    </row>
    <row r="788" spans="1:11" x14ac:dyDescent="0.25">
      <c r="A788" s="5">
        <v>2</v>
      </c>
      <c r="B788" s="2">
        <v>43963</v>
      </c>
      <c r="C788" s="1">
        <v>22</v>
      </c>
      <c r="D788" s="1">
        <v>1</v>
      </c>
      <c r="E788" s="1">
        <v>1</v>
      </c>
      <c r="F788" s="1">
        <v>1</v>
      </c>
      <c r="G788" s="1">
        <v>0</v>
      </c>
      <c r="H788" s="1">
        <v>44</v>
      </c>
      <c r="I788" s="1">
        <f t="shared" si="4"/>
        <v>44</v>
      </c>
      <c r="J788" s="6">
        <f>(I792+I793+I794+I812+I811+I810+I801+I802+I803)/9</f>
        <v>42</v>
      </c>
      <c r="K788" s="6">
        <f>AVERAGE(I792:I812)</f>
        <v>39.333333333333336</v>
      </c>
    </row>
    <row r="789" spans="1:11" x14ac:dyDescent="0.25">
      <c r="C789" s="1">
        <v>22</v>
      </c>
      <c r="D789" s="1">
        <v>1</v>
      </c>
      <c r="E789" s="1">
        <v>1</v>
      </c>
      <c r="F789" s="1">
        <v>2</v>
      </c>
      <c r="G789" s="1">
        <v>45</v>
      </c>
      <c r="H789" s="1">
        <v>77</v>
      </c>
      <c r="I789" s="1">
        <f t="shared" si="4"/>
        <v>32</v>
      </c>
    </row>
    <row r="790" spans="1:11" x14ac:dyDescent="0.25">
      <c r="C790" s="1">
        <v>22</v>
      </c>
      <c r="D790" s="1">
        <v>1</v>
      </c>
      <c r="E790" s="1">
        <v>1</v>
      </c>
      <c r="F790" s="1">
        <v>3</v>
      </c>
      <c r="G790" s="1">
        <v>77</v>
      </c>
      <c r="H790" s="1">
        <v>105</v>
      </c>
      <c r="I790" s="1">
        <f t="shared" si="4"/>
        <v>28</v>
      </c>
    </row>
    <row r="791" spans="1:11" x14ac:dyDescent="0.25">
      <c r="C791" s="1">
        <v>22</v>
      </c>
      <c r="D791" s="1">
        <v>1</v>
      </c>
      <c r="E791" s="1">
        <v>1</v>
      </c>
      <c r="F791" s="1">
        <v>4</v>
      </c>
      <c r="G791" s="1">
        <v>105</v>
      </c>
      <c r="H791" s="1">
        <v>121</v>
      </c>
      <c r="I791" s="1">
        <f t="shared" si="4"/>
        <v>16</v>
      </c>
    </row>
    <row r="792" spans="1:11" x14ac:dyDescent="0.25">
      <c r="C792" s="1">
        <v>22</v>
      </c>
      <c r="D792" s="1">
        <v>1</v>
      </c>
      <c r="E792" s="1">
        <v>10</v>
      </c>
      <c r="F792" s="1">
        <v>5</v>
      </c>
      <c r="G792" s="1">
        <v>122</v>
      </c>
      <c r="H792" s="1">
        <v>169</v>
      </c>
      <c r="I792" s="11">
        <f t="shared" si="4"/>
        <v>47</v>
      </c>
    </row>
    <row r="793" spans="1:11" x14ac:dyDescent="0.25">
      <c r="C793" s="1">
        <v>22</v>
      </c>
      <c r="D793" s="1">
        <v>1</v>
      </c>
      <c r="E793" s="1">
        <v>10</v>
      </c>
      <c r="F793" s="1">
        <v>6</v>
      </c>
      <c r="G793" s="1">
        <v>170</v>
      </c>
      <c r="H793" s="1">
        <v>225</v>
      </c>
      <c r="I793" s="1">
        <f t="shared" si="4"/>
        <v>55</v>
      </c>
    </row>
    <row r="794" spans="1:11" x14ac:dyDescent="0.25">
      <c r="C794" s="1">
        <v>22</v>
      </c>
      <c r="D794" s="1">
        <v>1</v>
      </c>
      <c r="E794" s="1">
        <v>10</v>
      </c>
      <c r="F794" s="1">
        <v>7</v>
      </c>
      <c r="G794" s="1">
        <v>225</v>
      </c>
      <c r="H794" s="1">
        <v>258</v>
      </c>
      <c r="I794" s="1">
        <f t="shared" si="4"/>
        <v>33</v>
      </c>
    </row>
    <row r="795" spans="1:11" x14ac:dyDescent="0.25">
      <c r="C795" s="1">
        <v>22</v>
      </c>
      <c r="D795" s="1">
        <v>1</v>
      </c>
      <c r="E795" s="1">
        <v>10</v>
      </c>
      <c r="F795" s="1">
        <v>8</v>
      </c>
      <c r="G795" s="1">
        <v>258</v>
      </c>
      <c r="H795" s="1">
        <v>281</v>
      </c>
      <c r="I795" s="1">
        <f t="shared" si="4"/>
        <v>23</v>
      </c>
    </row>
    <row r="796" spans="1:11" x14ac:dyDescent="0.25">
      <c r="C796" s="1">
        <v>22</v>
      </c>
      <c r="D796" s="1">
        <v>1</v>
      </c>
      <c r="E796" s="1">
        <v>10</v>
      </c>
      <c r="F796" s="1">
        <v>9</v>
      </c>
      <c r="G796" s="1">
        <v>281</v>
      </c>
      <c r="H796" s="1">
        <v>315</v>
      </c>
      <c r="I796" s="1">
        <f t="shared" si="4"/>
        <v>34</v>
      </c>
    </row>
    <row r="797" spans="1:11" x14ac:dyDescent="0.25">
      <c r="C797" s="1">
        <v>22</v>
      </c>
      <c r="D797" s="1">
        <v>1</v>
      </c>
      <c r="E797" s="1">
        <v>10</v>
      </c>
      <c r="F797" s="1">
        <v>10</v>
      </c>
      <c r="G797" s="1">
        <v>315</v>
      </c>
      <c r="H797" s="1">
        <v>354</v>
      </c>
      <c r="I797" s="1">
        <f t="shared" si="4"/>
        <v>39</v>
      </c>
    </row>
    <row r="798" spans="1:11" x14ac:dyDescent="0.25">
      <c r="C798" s="1">
        <v>22</v>
      </c>
      <c r="D798" s="1">
        <v>1</v>
      </c>
      <c r="E798" s="1">
        <v>10</v>
      </c>
      <c r="F798" s="1">
        <v>11</v>
      </c>
      <c r="G798" s="1">
        <v>354</v>
      </c>
      <c r="H798" s="1">
        <v>392</v>
      </c>
      <c r="I798" s="1">
        <f t="shared" si="4"/>
        <v>38</v>
      </c>
    </row>
    <row r="799" spans="1:11" x14ac:dyDescent="0.25">
      <c r="C799" s="1">
        <v>22</v>
      </c>
      <c r="D799" s="1">
        <v>1</v>
      </c>
      <c r="E799" s="1">
        <v>10</v>
      </c>
      <c r="F799" s="1">
        <v>12</v>
      </c>
      <c r="G799" s="1">
        <v>395</v>
      </c>
      <c r="H799" s="1">
        <v>436</v>
      </c>
      <c r="I799" s="1">
        <f t="shared" si="4"/>
        <v>41</v>
      </c>
    </row>
    <row r="800" spans="1:11" x14ac:dyDescent="0.25">
      <c r="C800" s="1">
        <v>22</v>
      </c>
      <c r="D800" s="1">
        <v>1</v>
      </c>
      <c r="E800" s="1">
        <v>10</v>
      </c>
      <c r="F800" s="1">
        <v>13</v>
      </c>
      <c r="G800" s="1">
        <v>436</v>
      </c>
      <c r="H800" s="1">
        <v>476</v>
      </c>
      <c r="I800" s="1">
        <f t="shared" si="4"/>
        <v>40</v>
      </c>
    </row>
    <row r="801" spans="1:11" x14ac:dyDescent="0.25">
      <c r="C801" s="1">
        <v>22</v>
      </c>
      <c r="D801" s="1">
        <v>1</v>
      </c>
      <c r="E801" s="1">
        <v>10</v>
      </c>
      <c r="F801" s="1">
        <v>14</v>
      </c>
      <c r="G801" s="1">
        <v>477</v>
      </c>
      <c r="H801" s="1">
        <v>526</v>
      </c>
      <c r="I801" s="1">
        <f t="shared" si="4"/>
        <v>49</v>
      </c>
    </row>
    <row r="802" spans="1:11" x14ac:dyDescent="0.25">
      <c r="C802" s="1">
        <v>22</v>
      </c>
      <c r="D802" s="1">
        <v>1</v>
      </c>
      <c r="E802" s="1">
        <v>10</v>
      </c>
      <c r="F802" s="1">
        <v>15</v>
      </c>
      <c r="G802" s="1">
        <v>526</v>
      </c>
      <c r="H802" s="1">
        <v>575</v>
      </c>
      <c r="I802" s="1">
        <f t="shared" si="4"/>
        <v>49</v>
      </c>
    </row>
    <row r="803" spans="1:11" x14ac:dyDescent="0.25">
      <c r="C803" s="1">
        <v>22</v>
      </c>
      <c r="D803" s="1">
        <v>1</v>
      </c>
      <c r="E803" s="1">
        <v>10</v>
      </c>
      <c r="F803" s="1">
        <v>16</v>
      </c>
      <c r="G803" s="1">
        <v>575</v>
      </c>
      <c r="H803" s="1">
        <v>614</v>
      </c>
      <c r="I803" s="1">
        <f t="shared" si="4"/>
        <v>39</v>
      </c>
    </row>
    <row r="804" spans="1:11" x14ac:dyDescent="0.25">
      <c r="C804" s="1">
        <v>22</v>
      </c>
      <c r="D804" s="1">
        <v>1</v>
      </c>
      <c r="E804" s="1">
        <v>10</v>
      </c>
      <c r="F804" s="1">
        <v>17</v>
      </c>
      <c r="G804" s="1">
        <v>614</v>
      </c>
      <c r="H804" s="1">
        <v>667</v>
      </c>
      <c r="I804" s="1">
        <f t="shared" si="4"/>
        <v>53</v>
      </c>
    </row>
    <row r="805" spans="1:11" x14ac:dyDescent="0.25">
      <c r="C805" s="1">
        <v>22</v>
      </c>
      <c r="D805" s="1">
        <v>1</v>
      </c>
      <c r="E805" s="1">
        <v>10</v>
      </c>
      <c r="F805" s="1">
        <v>18</v>
      </c>
      <c r="G805" s="1">
        <v>668</v>
      </c>
      <c r="H805" s="1">
        <v>714</v>
      </c>
      <c r="I805" s="1">
        <f t="shared" si="4"/>
        <v>46</v>
      </c>
    </row>
    <row r="806" spans="1:11" x14ac:dyDescent="0.25">
      <c r="C806" s="1">
        <v>22</v>
      </c>
      <c r="D806" s="1">
        <v>1</v>
      </c>
      <c r="E806" s="1">
        <v>10</v>
      </c>
      <c r="F806" s="1">
        <v>19</v>
      </c>
      <c r="G806" s="1">
        <v>714</v>
      </c>
      <c r="H806" s="1">
        <v>747</v>
      </c>
      <c r="I806" s="1">
        <f t="shared" si="4"/>
        <v>33</v>
      </c>
    </row>
    <row r="807" spans="1:11" x14ac:dyDescent="0.25">
      <c r="C807" s="1">
        <v>22</v>
      </c>
      <c r="D807" s="1">
        <v>1</v>
      </c>
      <c r="E807" s="1">
        <v>10</v>
      </c>
      <c r="F807" s="1">
        <v>20</v>
      </c>
      <c r="G807" s="1">
        <v>747</v>
      </c>
      <c r="H807" s="1">
        <v>786</v>
      </c>
      <c r="I807" s="1">
        <f t="shared" si="4"/>
        <v>39</v>
      </c>
    </row>
    <row r="808" spans="1:11" x14ac:dyDescent="0.25">
      <c r="C808" s="1">
        <v>22</v>
      </c>
      <c r="D808" s="1">
        <v>1</v>
      </c>
      <c r="E808" s="1">
        <v>10</v>
      </c>
      <c r="F808" s="1">
        <v>21</v>
      </c>
      <c r="G808" s="1">
        <v>786</v>
      </c>
      <c r="H808" s="1">
        <v>813</v>
      </c>
      <c r="I808" s="1">
        <f t="shared" si="4"/>
        <v>27</v>
      </c>
    </row>
    <row r="809" spans="1:11" x14ac:dyDescent="0.25">
      <c r="C809" s="1">
        <v>22</v>
      </c>
      <c r="D809" s="1">
        <v>1</v>
      </c>
      <c r="E809" s="1">
        <v>10</v>
      </c>
      <c r="F809" s="1">
        <v>22</v>
      </c>
      <c r="G809" s="1">
        <v>813</v>
      </c>
      <c r="H809" s="1">
        <v>848</v>
      </c>
      <c r="I809" s="1">
        <f t="shared" si="4"/>
        <v>35</v>
      </c>
    </row>
    <row r="810" spans="1:11" x14ac:dyDescent="0.25">
      <c r="C810" s="1">
        <v>22</v>
      </c>
      <c r="D810" s="1">
        <v>1</v>
      </c>
      <c r="E810" s="1">
        <v>10</v>
      </c>
      <c r="F810" s="1">
        <v>23</v>
      </c>
      <c r="G810" s="1">
        <v>848</v>
      </c>
      <c r="H810" s="1">
        <v>882</v>
      </c>
      <c r="I810" s="1">
        <f t="shared" si="4"/>
        <v>34</v>
      </c>
    </row>
    <row r="811" spans="1:11" x14ac:dyDescent="0.25">
      <c r="C811" s="1">
        <v>22</v>
      </c>
      <c r="D811" s="1">
        <v>1</v>
      </c>
      <c r="E811" s="1">
        <v>10</v>
      </c>
      <c r="F811" s="1">
        <v>24</v>
      </c>
      <c r="G811" s="1">
        <v>882</v>
      </c>
      <c r="H811" s="1">
        <v>924</v>
      </c>
      <c r="I811" s="1">
        <f t="shared" si="4"/>
        <v>42</v>
      </c>
    </row>
    <row r="812" spans="1:11" x14ac:dyDescent="0.25">
      <c r="C812" s="1">
        <v>22</v>
      </c>
      <c r="D812" s="1">
        <v>1</v>
      </c>
      <c r="E812" s="1">
        <v>10</v>
      </c>
      <c r="F812" s="1">
        <v>25</v>
      </c>
      <c r="G812" s="1">
        <v>924</v>
      </c>
      <c r="H812" s="1">
        <v>954</v>
      </c>
      <c r="I812" s="1">
        <f t="shared" si="4"/>
        <v>30</v>
      </c>
    </row>
    <row r="813" spans="1:11" x14ac:dyDescent="0.25">
      <c r="A813" s="5">
        <v>2</v>
      </c>
      <c r="B813" s="2">
        <v>43963</v>
      </c>
      <c r="C813" s="1">
        <v>23</v>
      </c>
      <c r="D813" s="1">
        <v>2</v>
      </c>
      <c r="E813" s="1">
        <v>1</v>
      </c>
      <c r="F813" s="1">
        <v>1</v>
      </c>
      <c r="G813" s="1">
        <v>0</v>
      </c>
      <c r="H813" s="1">
        <v>0</v>
      </c>
      <c r="I813" s="1">
        <f t="shared" si="4"/>
        <v>0</v>
      </c>
      <c r="J813" s="6">
        <f>(I817+I818+I819+I837+I836+I835+I826+I827+I828)/9</f>
        <v>44.888888888888886</v>
      </c>
      <c r="K813" s="6">
        <f>AVERAGE(I817:I837)</f>
        <v>41.333333333333336</v>
      </c>
    </row>
    <row r="814" spans="1:11" x14ac:dyDescent="0.25">
      <c r="C814" s="1">
        <v>23</v>
      </c>
      <c r="D814" s="1">
        <v>2</v>
      </c>
      <c r="E814" s="1">
        <v>1</v>
      </c>
      <c r="F814" s="1">
        <v>2</v>
      </c>
      <c r="G814" s="1">
        <v>0</v>
      </c>
      <c r="H814" s="1">
        <v>0</v>
      </c>
      <c r="I814" s="1">
        <f t="shared" si="4"/>
        <v>0</v>
      </c>
    </row>
    <row r="815" spans="1:11" x14ac:dyDescent="0.25">
      <c r="C815" s="1">
        <v>23</v>
      </c>
      <c r="D815" s="1">
        <v>2</v>
      </c>
      <c r="E815" s="1">
        <v>1</v>
      </c>
      <c r="F815" s="1">
        <v>3</v>
      </c>
      <c r="G815" s="1">
        <v>0</v>
      </c>
      <c r="H815" s="1">
        <v>0</v>
      </c>
      <c r="I815" s="1">
        <f t="shared" si="4"/>
        <v>0</v>
      </c>
    </row>
    <row r="816" spans="1:11" x14ac:dyDescent="0.25">
      <c r="C816" s="1">
        <v>23</v>
      </c>
      <c r="D816" s="1">
        <v>2</v>
      </c>
      <c r="E816" s="1">
        <v>1</v>
      </c>
      <c r="F816" s="1">
        <v>4</v>
      </c>
      <c r="G816" s="1">
        <v>0</v>
      </c>
      <c r="H816" s="1">
        <v>36</v>
      </c>
      <c r="I816" s="1">
        <f t="shared" si="4"/>
        <v>36</v>
      </c>
    </row>
    <row r="817" spans="3:9" x14ac:dyDescent="0.25">
      <c r="C817" s="1">
        <v>23</v>
      </c>
      <c r="D817" s="1">
        <v>2</v>
      </c>
      <c r="E817" s="1">
        <v>10</v>
      </c>
      <c r="F817" s="1">
        <v>5</v>
      </c>
      <c r="G817" s="1">
        <v>36</v>
      </c>
      <c r="H817" s="1">
        <v>81</v>
      </c>
      <c r="I817" s="11">
        <f t="shared" si="4"/>
        <v>45</v>
      </c>
    </row>
    <row r="818" spans="3:9" x14ac:dyDescent="0.25">
      <c r="C818" s="1">
        <v>23</v>
      </c>
      <c r="D818" s="1">
        <v>2</v>
      </c>
      <c r="E818" s="1">
        <v>10</v>
      </c>
      <c r="F818" s="1">
        <v>6</v>
      </c>
      <c r="G818" s="1">
        <v>92</v>
      </c>
      <c r="H818" s="1">
        <v>132</v>
      </c>
      <c r="I818" s="1">
        <f t="shared" si="4"/>
        <v>40</v>
      </c>
    </row>
    <row r="819" spans="3:9" x14ac:dyDescent="0.25">
      <c r="C819" s="1">
        <v>23</v>
      </c>
      <c r="D819" s="1">
        <v>2</v>
      </c>
      <c r="E819" s="1">
        <v>10</v>
      </c>
      <c r="F819" s="1">
        <v>7</v>
      </c>
      <c r="G819" s="1">
        <v>132</v>
      </c>
      <c r="H819" s="1">
        <v>179</v>
      </c>
      <c r="I819" s="1">
        <f t="shared" si="4"/>
        <v>47</v>
      </c>
    </row>
    <row r="820" spans="3:9" x14ac:dyDescent="0.25">
      <c r="C820" s="1">
        <v>23</v>
      </c>
      <c r="D820" s="1">
        <v>2</v>
      </c>
      <c r="E820" s="1">
        <v>10</v>
      </c>
      <c r="F820" s="1">
        <v>8</v>
      </c>
      <c r="G820" s="1">
        <v>179</v>
      </c>
      <c r="H820" s="1">
        <v>215</v>
      </c>
      <c r="I820" s="1">
        <f t="shared" si="4"/>
        <v>36</v>
      </c>
    </row>
    <row r="821" spans="3:9" x14ac:dyDescent="0.25">
      <c r="C821" s="1">
        <v>23</v>
      </c>
      <c r="D821" s="1">
        <v>2</v>
      </c>
      <c r="E821" s="1">
        <v>10</v>
      </c>
      <c r="F821" s="1">
        <v>9</v>
      </c>
      <c r="G821" s="1">
        <v>215</v>
      </c>
      <c r="H821" s="1">
        <v>253</v>
      </c>
      <c r="I821" s="1">
        <f t="shared" si="4"/>
        <v>38</v>
      </c>
    </row>
    <row r="822" spans="3:9" x14ac:dyDescent="0.25">
      <c r="C822" s="1">
        <v>23</v>
      </c>
      <c r="D822" s="1">
        <v>2</v>
      </c>
      <c r="E822" s="1">
        <v>10</v>
      </c>
      <c r="F822" s="1">
        <v>10</v>
      </c>
      <c r="G822" s="1">
        <v>253</v>
      </c>
      <c r="H822" s="1">
        <v>302</v>
      </c>
      <c r="I822" s="1">
        <f t="shared" si="4"/>
        <v>49</v>
      </c>
    </row>
    <row r="823" spans="3:9" x14ac:dyDescent="0.25">
      <c r="C823" s="1">
        <v>23</v>
      </c>
      <c r="D823" s="1">
        <v>2</v>
      </c>
      <c r="E823" s="1">
        <v>10</v>
      </c>
      <c r="F823" s="1">
        <v>11</v>
      </c>
      <c r="G823" s="1">
        <v>302</v>
      </c>
      <c r="H823" s="1">
        <v>347</v>
      </c>
      <c r="I823" s="1">
        <f t="shared" si="4"/>
        <v>45</v>
      </c>
    </row>
    <row r="824" spans="3:9" x14ac:dyDescent="0.25">
      <c r="C824" s="1">
        <v>23</v>
      </c>
      <c r="D824" s="1">
        <v>2</v>
      </c>
      <c r="E824" s="1">
        <v>10</v>
      </c>
      <c r="F824" s="1">
        <v>12</v>
      </c>
      <c r="G824" s="1">
        <v>347</v>
      </c>
      <c r="H824" s="1">
        <v>395</v>
      </c>
      <c r="I824" s="1">
        <f t="shared" si="4"/>
        <v>48</v>
      </c>
    </row>
    <row r="825" spans="3:9" x14ac:dyDescent="0.25">
      <c r="C825" s="1">
        <v>23</v>
      </c>
      <c r="D825" s="1">
        <v>2</v>
      </c>
      <c r="E825" s="1">
        <v>10</v>
      </c>
      <c r="F825" s="1">
        <v>13</v>
      </c>
      <c r="G825" s="1">
        <v>395</v>
      </c>
      <c r="H825" s="1">
        <v>395</v>
      </c>
      <c r="I825" s="1">
        <f t="shared" si="4"/>
        <v>0</v>
      </c>
    </row>
    <row r="826" spans="3:9" x14ac:dyDescent="0.25">
      <c r="C826" s="1">
        <v>23</v>
      </c>
      <c r="D826" s="1">
        <v>2</v>
      </c>
      <c r="E826" s="1">
        <v>10</v>
      </c>
      <c r="F826" s="1">
        <v>14</v>
      </c>
      <c r="G826" s="1">
        <v>395</v>
      </c>
      <c r="H826" s="1">
        <v>432</v>
      </c>
      <c r="I826" s="1">
        <f t="shared" si="4"/>
        <v>37</v>
      </c>
    </row>
    <row r="827" spans="3:9" x14ac:dyDescent="0.25">
      <c r="C827" s="1">
        <v>23</v>
      </c>
      <c r="D827" s="1">
        <v>2</v>
      </c>
      <c r="E827" s="1">
        <v>10</v>
      </c>
      <c r="F827" s="1">
        <v>15</v>
      </c>
      <c r="G827" s="1">
        <v>433</v>
      </c>
      <c r="H827" s="1">
        <v>487</v>
      </c>
      <c r="I827" s="1">
        <f t="shared" si="4"/>
        <v>54</v>
      </c>
    </row>
    <row r="828" spans="3:9" x14ac:dyDescent="0.25">
      <c r="C828" s="1">
        <v>23</v>
      </c>
      <c r="D828" s="1">
        <v>2</v>
      </c>
      <c r="E828" s="1">
        <v>10</v>
      </c>
      <c r="F828" s="1">
        <v>16</v>
      </c>
      <c r="G828" s="1">
        <v>487</v>
      </c>
      <c r="H828" s="1">
        <v>535</v>
      </c>
      <c r="I828" s="1">
        <f t="shared" si="4"/>
        <v>48</v>
      </c>
    </row>
    <row r="829" spans="3:9" x14ac:dyDescent="0.25">
      <c r="C829" s="1">
        <v>23</v>
      </c>
      <c r="D829" s="1">
        <v>2</v>
      </c>
      <c r="E829" s="1">
        <v>10</v>
      </c>
      <c r="F829" s="1">
        <v>17</v>
      </c>
      <c r="G829" s="1">
        <v>535</v>
      </c>
      <c r="H829" s="1">
        <v>579</v>
      </c>
      <c r="I829" s="1">
        <f t="shared" si="4"/>
        <v>44</v>
      </c>
    </row>
    <row r="830" spans="3:9" x14ac:dyDescent="0.25">
      <c r="C830" s="1">
        <v>23</v>
      </c>
      <c r="D830" s="1">
        <v>2</v>
      </c>
      <c r="E830" s="1">
        <v>10</v>
      </c>
      <c r="F830" s="1">
        <v>18</v>
      </c>
      <c r="G830" s="1">
        <v>579</v>
      </c>
      <c r="H830" s="1">
        <v>615</v>
      </c>
      <c r="I830" s="1">
        <f t="shared" si="4"/>
        <v>36</v>
      </c>
    </row>
    <row r="831" spans="3:9" x14ac:dyDescent="0.25">
      <c r="C831" s="1">
        <v>23</v>
      </c>
      <c r="D831" s="1">
        <v>2</v>
      </c>
      <c r="E831" s="1">
        <v>10</v>
      </c>
      <c r="F831" s="1">
        <v>19</v>
      </c>
      <c r="G831" s="1">
        <v>615</v>
      </c>
      <c r="H831" s="1">
        <v>651</v>
      </c>
      <c r="I831" s="1">
        <f t="shared" si="4"/>
        <v>36</v>
      </c>
    </row>
    <row r="832" spans="3:9" x14ac:dyDescent="0.25">
      <c r="C832" s="1">
        <v>23</v>
      </c>
      <c r="D832" s="1">
        <v>2</v>
      </c>
      <c r="E832" s="1">
        <v>10</v>
      </c>
      <c r="F832" s="1">
        <v>20</v>
      </c>
      <c r="G832" s="1">
        <v>651</v>
      </c>
      <c r="H832" s="1">
        <v>692</v>
      </c>
      <c r="I832" s="1">
        <f t="shared" si="4"/>
        <v>41</v>
      </c>
    </row>
    <row r="833" spans="1:11" x14ac:dyDescent="0.25">
      <c r="C833" s="1">
        <v>23</v>
      </c>
      <c r="D833" s="1">
        <v>2</v>
      </c>
      <c r="E833" s="1">
        <v>10</v>
      </c>
      <c r="F833" s="1">
        <v>21</v>
      </c>
      <c r="G833" s="1">
        <v>704</v>
      </c>
      <c r="H833" s="1">
        <v>751</v>
      </c>
      <c r="I833" s="1">
        <f t="shared" si="4"/>
        <v>47</v>
      </c>
    </row>
    <row r="834" spans="1:11" x14ac:dyDescent="0.25">
      <c r="C834" s="1">
        <v>23</v>
      </c>
      <c r="D834" s="1">
        <v>2</v>
      </c>
      <c r="E834" s="1">
        <v>10</v>
      </c>
      <c r="F834" s="1">
        <v>22</v>
      </c>
      <c r="G834" s="1">
        <v>751</v>
      </c>
      <c r="H834" s="1">
        <v>795</v>
      </c>
      <c r="I834" s="1">
        <f t="shared" si="4"/>
        <v>44</v>
      </c>
    </row>
    <row r="835" spans="1:11" x14ac:dyDescent="0.25">
      <c r="C835" s="1">
        <v>23</v>
      </c>
      <c r="D835" s="1">
        <v>2</v>
      </c>
      <c r="E835" s="1">
        <v>10</v>
      </c>
      <c r="F835" s="1">
        <v>23</v>
      </c>
      <c r="G835" s="1">
        <v>795</v>
      </c>
      <c r="H835" s="1">
        <v>838</v>
      </c>
      <c r="I835" s="1">
        <f t="shared" si="4"/>
        <v>43</v>
      </c>
    </row>
    <row r="836" spans="1:11" x14ac:dyDescent="0.25">
      <c r="C836" s="1">
        <v>23</v>
      </c>
      <c r="D836" s="1">
        <v>2</v>
      </c>
      <c r="E836" s="1">
        <v>10</v>
      </c>
      <c r="F836" s="1">
        <v>24</v>
      </c>
      <c r="G836" s="1">
        <v>838</v>
      </c>
      <c r="H836" s="1">
        <v>882</v>
      </c>
      <c r="I836" s="1">
        <f t="shared" si="4"/>
        <v>44</v>
      </c>
    </row>
    <row r="837" spans="1:11" x14ac:dyDescent="0.25">
      <c r="C837" s="1">
        <v>23</v>
      </c>
      <c r="D837" s="1">
        <v>2</v>
      </c>
      <c r="E837" s="1">
        <v>10</v>
      </c>
      <c r="F837" s="1">
        <v>25</v>
      </c>
      <c r="G837" s="1">
        <v>882</v>
      </c>
      <c r="H837" s="1">
        <v>928</v>
      </c>
      <c r="I837" s="1">
        <f t="shared" si="4"/>
        <v>46</v>
      </c>
    </row>
    <row r="838" spans="1:11" x14ac:dyDescent="0.25">
      <c r="A838" s="5">
        <v>2</v>
      </c>
      <c r="B838" s="2">
        <v>43963</v>
      </c>
      <c r="C838" s="1">
        <v>24</v>
      </c>
      <c r="D838" s="1">
        <v>1</v>
      </c>
      <c r="E838" s="1">
        <v>1</v>
      </c>
      <c r="F838" s="1">
        <v>1</v>
      </c>
      <c r="G838" s="1">
        <v>0</v>
      </c>
      <c r="H838" s="1">
        <v>48</v>
      </c>
      <c r="I838" s="1">
        <f t="shared" si="4"/>
        <v>48</v>
      </c>
      <c r="J838" s="6">
        <f>(I842+I843+I844+I862+I861+I860+I851+I852+I853)/9</f>
        <v>45.111111111111114</v>
      </c>
      <c r="K838" s="6">
        <f>AVERAGE(I842:I862)</f>
        <v>45.571428571428569</v>
      </c>
    </row>
    <row r="839" spans="1:11" x14ac:dyDescent="0.25">
      <c r="C839" s="1">
        <v>24</v>
      </c>
      <c r="D839" s="1">
        <v>1</v>
      </c>
      <c r="E839" s="1">
        <v>1</v>
      </c>
      <c r="F839" s="1">
        <v>2</v>
      </c>
      <c r="G839" s="1">
        <v>49</v>
      </c>
      <c r="H839" s="1">
        <v>91</v>
      </c>
      <c r="I839" s="1">
        <f t="shared" si="4"/>
        <v>42</v>
      </c>
    </row>
    <row r="840" spans="1:11" x14ac:dyDescent="0.25">
      <c r="C840" s="1">
        <v>24</v>
      </c>
      <c r="D840" s="1">
        <v>1</v>
      </c>
      <c r="E840" s="1">
        <v>1</v>
      </c>
      <c r="F840" s="1">
        <v>3</v>
      </c>
      <c r="G840" s="1">
        <v>91</v>
      </c>
      <c r="H840" s="1">
        <v>93</v>
      </c>
      <c r="I840" s="1">
        <f t="shared" si="4"/>
        <v>2</v>
      </c>
    </row>
    <row r="841" spans="1:11" x14ac:dyDescent="0.25">
      <c r="C841" s="1">
        <v>24</v>
      </c>
      <c r="D841" s="1">
        <v>1</v>
      </c>
      <c r="E841" s="1">
        <v>1</v>
      </c>
      <c r="F841" s="1">
        <v>4</v>
      </c>
      <c r="G841" s="1">
        <v>93</v>
      </c>
      <c r="H841" s="1">
        <v>132</v>
      </c>
      <c r="I841" s="1">
        <f t="shared" si="4"/>
        <v>39</v>
      </c>
    </row>
    <row r="842" spans="1:11" x14ac:dyDescent="0.25">
      <c r="C842" s="1">
        <v>24</v>
      </c>
      <c r="D842" s="1">
        <v>1</v>
      </c>
      <c r="E842" s="1">
        <v>10</v>
      </c>
      <c r="F842" s="1">
        <v>5</v>
      </c>
      <c r="G842" s="1">
        <v>133</v>
      </c>
      <c r="H842" s="1">
        <v>174</v>
      </c>
      <c r="I842" s="11">
        <f t="shared" si="4"/>
        <v>41</v>
      </c>
    </row>
    <row r="843" spans="1:11" x14ac:dyDescent="0.25">
      <c r="C843" s="1">
        <v>24</v>
      </c>
      <c r="D843" s="1">
        <v>1</v>
      </c>
      <c r="E843" s="1">
        <v>10</v>
      </c>
      <c r="F843" s="1">
        <v>6</v>
      </c>
      <c r="G843" s="1">
        <v>176</v>
      </c>
      <c r="H843" s="1">
        <v>226</v>
      </c>
      <c r="I843" s="1">
        <f t="shared" si="4"/>
        <v>50</v>
      </c>
    </row>
    <row r="844" spans="1:11" x14ac:dyDescent="0.25">
      <c r="C844" s="1">
        <v>24</v>
      </c>
      <c r="D844" s="1">
        <v>1</v>
      </c>
      <c r="E844" s="1">
        <v>10</v>
      </c>
      <c r="F844" s="1">
        <v>7</v>
      </c>
      <c r="G844" s="1">
        <v>229</v>
      </c>
      <c r="H844" s="1">
        <v>276</v>
      </c>
      <c r="I844" s="1">
        <f t="shared" si="4"/>
        <v>47</v>
      </c>
    </row>
    <row r="845" spans="1:11" x14ac:dyDescent="0.25">
      <c r="C845" s="1">
        <v>24</v>
      </c>
      <c r="D845" s="1">
        <v>1</v>
      </c>
      <c r="E845" s="1">
        <v>10</v>
      </c>
      <c r="F845" s="1">
        <v>8</v>
      </c>
      <c r="G845" s="1">
        <v>278</v>
      </c>
      <c r="H845" s="1">
        <v>319</v>
      </c>
      <c r="I845" s="1">
        <f t="shared" si="4"/>
        <v>41</v>
      </c>
    </row>
    <row r="846" spans="1:11" x14ac:dyDescent="0.25">
      <c r="C846" s="1">
        <v>24</v>
      </c>
      <c r="D846" s="1">
        <v>1</v>
      </c>
      <c r="E846" s="1">
        <v>10</v>
      </c>
      <c r="F846" s="1">
        <v>9</v>
      </c>
      <c r="G846" s="1">
        <v>319</v>
      </c>
      <c r="H846" s="1">
        <v>360</v>
      </c>
      <c r="I846" s="1">
        <f t="shared" si="4"/>
        <v>41</v>
      </c>
    </row>
    <row r="847" spans="1:11" x14ac:dyDescent="0.25">
      <c r="C847" s="1">
        <v>24</v>
      </c>
      <c r="D847" s="1">
        <v>1</v>
      </c>
      <c r="E847" s="1">
        <v>10</v>
      </c>
      <c r="F847" s="1">
        <v>10</v>
      </c>
      <c r="G847" s="1">
        <v>360</v>
      </c>
      <c r="H847" s="1">
        <v>412</v>
      </c>
      <c r="I847" s="1">
        <f t="shared" si="4"/>
        <v>52</v>
      </c>
    </row>
    <row r="848" spans="1:11" x14ac:dyDescent="0.25">
      <c r="C848" s="1">
        <v>24</v>
      </c>
      <c r="D848" s="1">
        <v>1</v>
      </c>
      <c r="E848" s="1">
        <v>10</v>
      </c>
      <c r="F848" s="1">
        <v>11</v>
      </c>
      <c r="G848" s="1">
        <v>412</v>
      </c>
      <c r="H848" s="1">
        <v>460</v>
      </c>
      <c r="I848" s="1">
        <f t="shared" si="4"/>
        <v>48</v>
      </c>
    </row>
    <row r="849" spans="1:11" x14ac:dyDescent="0.25">
      <c r="C849" s="1">
        <v>24</v>
      </c>
      <c r="D849" s="1">
        <v>1</v>
      </c>
      <c r="E849" s="1">
        <v>10</v>
      </c>
      <c r="F849" s="1">
        <v>12</v>
      </c>
      <c r="G849" s="1">
        <v>460</v>
      </c>
      <c r="H849" s="1">
        <v>507</v>
      </c>
      <c r="I849" s="1">
        <f t="shared" si="4"/>
        <v>47</v>
      </c>
    </row>
    <row r="850" spans="1:11" x14ac:dyDescent="0.25">
      <c r="C850" s="1">
        <v>24</v>
      </c>
      <c r="D850" s="1">
        <v>1</v>
      </c>
      <c r="E850" s="1">
        <v>10</v>
      </c>
      <c r="F850" s="1">
        <v>13</v>
      </c>
      <c r="G850" s="1">
        <v>507</v>
      </c>
      <c r="H850" s="1">
        <v>554</v>
      </c>
      <c r="I850" s="1">
        <f t="shared" si="4"/>
        <v>47</v>
      </c>
    </row>
    <row r="851" spans="1:11" x14ac:dyDescent="0.25">
      <c r="C851" s="1">
        <v>24</v>
      </c>
      <c r="D851" s="1">
        <v>1</v>
      </c>
      <c r="E851" s="1">
        <v>10</v>
      </c>
      <c r="F851" s="1">
        <v>14</v>
      </c>
      <c r="G851" s="1">
        <v>554</v>
      </c>
      <c r="H851" s="1">
        <v>600</v>
      </c>
      <c r="I851" s="1">
        <f t="shared" si="4"/>
        <v>46</v>
      </c>
    </row>
    <row r="852" spans="1:11" x14ac:dyDescent="0.25">
      <c r="C852" s="1">
        <v>24</v>
      </c>
      <c r="D852" s="1">
        <v>1</v>
      </c>
      <c r="E852" s="1">
        <v>10</v>
      </c>
      <c r="F852" s="1">
        <v>15</v>
      </c>
      <c r="G852" s="1">
        <v>603</v>
      </c>
      <c r="H852" s="1">
        <v>649</v>
      </c>
      <c r="I852" s="1">
        <f t="shared" si="4"/>
        <v>46</v>
      </c>
    </row>
    <row r="853" spans="1:11" x14ac:dyDescent="0.25">
      <c r="C853" s="1">
        <v>24</v>
      </c>
      <c r="D853" s="1">
        <v>1</v>
      </c>
      <c r="E853" s="1">
        <v>10</v>
      </c>
      <c r="F853" s="1">
        <v>16</v>
      </c>
      <c r="G853" s="1">
        <v>649</v>
      </c>
      <c r="H853" s="1">
        <v>690</v>
      </c>
      <c r="I853" s="1">
        <f t="shared" si="4"/>
        <v>41</v>
      </c>
    </row>
    <row r="854" spans="1:11" x14ac:dyDescent="0.25">
      <c r="C854" s="1">
        <v>24</v>
      </c>
      <c r="D854" s="1">
        <v>1</v>
      </c>
      <c r="E854" s="1">
        <v>10</v>
      </c>
      <c r="F854" s="1">
        <v>17</v>
      </c>
      <c r="G854" s="1">
        <v>690</v>
      </c>
      <c r="H854" s="1">
        <v>731</v>
      </c>
      <c r="I854" s="1">
        <f t="shared" si="4"/>
        <v>41</v>
      </c>
    </row>
    <row r="855" spans="1:11" x14ac:dyDescent="0.25">
      <c r="C855" s="1">
        <v>24</v>
      </c>
      <c r="D855" s="1">
        <v>1</v>
      </c>
      <c r="E855" s="1">
        <v>10</v>
      </c>
      <c r="F855" s="1">
        <v>18</v>
      </c>
      <c r="G855" s="1">
        <v>731</v>
      </c>
      <c r="H855" s="1">
        <v>779</v>
      </c>
      <c r="I855" s="1">
        <f t="shared" si="4"/>
        <v>48</v>
      </c>
    </row>
    <row r="856" spans="1:11" x14ac:dyDescent="0.25">
      <c r="C856" s="1">
        <v>24</v>
      </c>
      <c r="D856" s="1">
        <v>1</v>
      </c>
      <c r="E856" s="1">
        <v>10</v>
      </c>
      <c r="F856" s="1">
        <v>19</v>
      </c>
      <c r="G856" s="1">
        <v>779</v>
      </c>
      <c r="H856" s="1">
        <v>828</v>
      </c>
      <c r="I856" s="1">
        <f t="shared" si="4"/>
        <v>49</v>
      </c>
    </row>
    <row r="857" spans="1:11" x14ac:dyDescent="0.25">
      <c r="C857" s="1">
        <v>24</v>
      </c>
      <c r="D857" s="1">
        <v>1</v>
      </c>
      <c r="E857" s="1">
        <v>10</v>
      </c>
      <c r="F857" s="1">
        <v>20</v>
      </c>
      <c r="G857" s="1">
        <v>830</v>
      </c>
      <c r="H857" s="1">
        <v>869</v>
      </c>
      <c r="I857" s="1">
        <f t="shared" si="4"/>
        <v>39</v>
      </c>
    </row>
    <row r="858" spans="1:11" x14ac:dyDescent="0.25">
      <c r="C858" s="1">
        <v>24</v>
      </c>
      <c r="D858" s="1">
        <v>1</v>
      </c>
      <c r="E858" s="1">
        <v>10</v>
      </c>
      <c r="F858" s="1">
        <v>21</v>
      </c>
      <c r="G858" s="1">
        <v>872</v>
      </c>
      <c r="H858" s="1">
        <v>927</v>
      </c>
      <c r="I858" s="1">
        <f t="shared" si="4"/>
        <v>55</v>
      </c>
    </row>
    <row r="859" spans="1:11" x14ac:dyDescent="0.25">
      <c r="C859" s="1">
        <v>24</v>
      </c>
      <c r="D859" s="1">
        <v>1</v>
      </c>
      <c r="E859" s="1">
        <v>10</v>
      </c>
      <c r="F859" s="1">
        <v>22</v>
      </c>
      <c r="G859" s="1">
        <v>927</v>
      </c>
      <c r="H859" s="1">
        <v>970</v>
      </c>
      <c r="I859" s="1">
        <f t="shared" si="4"/>
        <v>43</v>
      </c>
    </row>
    <row r="860" spans="1:11" x14ac:dyDescent="0.25">
      <c r="C860" s="1">
        <v>24</v>
      </c>
      <c r="D860" s="1">
        <v>1</v>
      </c>
      <c r="E860" s="1">
        <v>10</v>
      </c>
      <c r="F860" s="1">
        <v>23</v>
      </c>
      <c r="G860" s="1">
        <v>972</v>
      </c>
      <c r="H860" s="1">
        <v>1018</v>
      </c>
      <c r="I860" s="1">
        <f t="shared" si="4"/>
        <v>46</v>
      </c>
    </row>
    <row r="861" spans="1:11" x14ac:dyDescent="0.25">
      <c r="C861" s="1">
        <v>24</v>
      </c>
      <c r="D861" s="1">
        <v>1</v>
      </c>
      <c r="E861" s="1">
        <v>10</v>
      </c>
      <c r="F861" s="1">
        <v>24</v>
      </c>
      <c r="G861" s="1">
        <v>1018</v>
      </c>
      <c r="H861" s="1">
        <v>1060</v>
      </c>
      <c r="I861" s="1">
        <f t="shared" si="4"/>
        <v>42</v>
      </c>
    </row>
    <row r="862" spans="1:11" x14ac:dyDescent="0.25">
      <c r="C862" s="1">
        <v>24</v>
      </c>
      <c r="D862" s="1">
        <v>1</v>
      </c>
      <c r="E862" s="1">
        <v>10</v>
      </c>
      <c r="F862" s="1">
        <v>25</v>
      </c>
      <c r="G862" s="1">
        <v>1060</v>
      </c>
      <c r="H862" s="1">
        <v>1107</v>
      </c>
      <c r="I862" s="1">
        <f t="shared" si="4"/>
        <v>47</v>
      </c>
    </row>
    <row r="863" spans="1:11" x14ac:dyDescent="0.25">
      <c r="A863" s="5">
        <v>2</v>
      </c>
      <c r="B863" s="2">
        <v>43963</v>
      </c>
      <c r="C863" s="1">
        <v>25</v>
      </c>
      <c r="D863" s="1">
        <v>1</v>
      </c>
      <c r="E863" s="1">
        <v>1</v>
      </c>
      <c r="F863" s="1">
        <v>1</v>
      </c>
      <c r="G863" s="1">
        <v>0</v>
      </c>
      <c r="H863" s="1">
        <v>15</v>
      </c>
      <c r="I863" s="1">
        <f t="shared" si="4"/>
        <v>15</v>
      </c>
      <c r="J863" s="6">
        <f>(I867+I868+I869+I887+I886+I885+I876+I877+I878)/9</f>
        <v>36.444444444444443</v>
      </c>
      <c r="K863" s="6">
        <f>AVERAGE(I867:I887)</f>
        <v>42.095238095238095</v>
      </c>
    </row>
    <row r="864" spans="1:11" x14ac:dyDescent="0.25">
      <c r="C864" s="1">
        <v>25</v>
      </c>
      <c r="D864" s="1">
        <v>1</v>
      </c>
      <c r="E864" s="1">
        <v>1</v>
      </c>
      <c r="F864" s="1">
        <v>2</v>
      </c>
      <c r="G864" s="1">
        <v>15</v>
      </c>
      <c r="H864" s="1">
        <v>53</v>
      </c>
      <c r="I864" s="1">
        <f t="shared" si="4"/>
        <v>38</v>
      </c>
    </row>
    <row r="865" spans="3:9" x14ac:dyDescent="0.25">
      <c r="C865" s="1">
        <v>25</v>
      </c>
      <c r="D865" s="1">
        <v>1</v>
      </c>
      <c r="E865" s="1">
        <v>1</v>
      </c>
      <c r="F865" s="1">
        <v>3</v>
      </c>
      <c r="G865" s="1">
        <v>57</v>
      </c>
      <c r="H865" s="1">
        <v>69</v>
      </c>
      <c r="I865" s="1">
        <f t="shared" si="4"/>
        <v>12</v>
      </c>
    </row>
    <row r="866" spans="3:9" x14ac:dyDescent="0.25">
      <c r="C866" s="1">
        <v>25</v>
      </c>
      <c r="D866" s="1">
        <v>1</v>
      </c>
      <c r="E866" s="1">
        <v>1</v>
      </c>
      <c r="F866" s="1">
        <v>4</v>
      </c>
      <c r="G866" s="1">
        <v>69</v>
      </c>
      <c r="H866" s="1">
        <v>80</v>
      </c>
      <c r="I866" s="1">
        <f t="shared" si="4"/>
        <v>11</v>
      </c>
    </row>
    <row r="867" spans="3:9" x14ac:dyDescent="0.25">
      <c r="C867" s="1">
        <v>25</v>
      </c>
      <c r="D867" s="1">
        <v>1</v>
      </c>
      <c r="E867" s="1">
        <v>10</v>
      </c>
      <c r="F867" s="1">
        <v>5</v>
      </c>
      <c r="G867" s="1">
        <v>81</v>
      </c>
      <c r="H867" s="1">
        <v>92</v>
      </c>
      <c r="I867" s="11">
        <f t="shared" si="4"/>
        <v>11</v>
      </c>
    </row>
    <row r="868" spans="3:9" x14ac:dyDescent="0.25">
      <c r="C868" s="1">
        <v>25</v>
      </c>
      <c r="D868" s="1">
        <v>1</v>
      </c>
      <c r="E868" s="1">
        <v>10</v>
      </c>
      <c r="F868" s="1">
        <v>6</v>
      </c>
      <c r="G868" s="1">
        <v>92</v>
      </c>
      <c r="H868" s="1">
        <v>107</v>
      </c>
      <c r="I868" s="1">
        <f t="shared" si="4"/>
        <v>15</v>
      </c>
    </row>
    <row r="869" spans="3:9" x14ac:dyDescent="0.25">
      <c r="C869" s="1">
        <v>25</v>
      </c>
      <c r="D869" s="1">
        <v>1</v>
      </c>
      <c r="E869" s="1">
        <v>10</v>
      </c>
      <c r="F869" s="1">
        <v>7</v>
      </c>
      <c r="G869" s="1">
        <v>107</v>
      </c>
      <c r="H869" s="1">
        <v>125</v>
      </c>
      <c r="I869" s="1">
        <f t="shared" si="4"/>
        <v>18</v>
      </c>
    </row>
    <row r="870" spans="3:9" x14ac:dyDescent="0.25">
      <c r="C870" s="1">
        <v>25</v>
      </c>
      <c r="D870" s="1">
        <v>1</v>
      </c>
      <c r="E870" s="1">
        <v>10</v>
      </c>
      <c r="F870" s="1">
        <v>8</v>
      </c>
      <c r="G870" s="1">
        <v>125</v>
      </c>
      <c r="H870" s="1">
        <v>172</v>
      </c>
      <c r="I870" s="1">
        <f t="shared" si="4"/>
        <v>47</v>
      </c>
    </row>
    <row r="871" spans="3:9" x14ac:dyDescent="0.25">
      <c r="C871" s="1">
        <v>25</v>
      </c>
      <c r="D871" s="1">
        <v>1</v>
      </c>
      <c r="E871" s="1">
        <v>10</v>
      </c>
      <c r="F871" s="1">
        <v>9</v>
      </c>
      <c r="G871" s="1">
        <v>172</v>
      </c>
      <c r="H871" s="1">
        <v>223</v>
      </c>
      <c r="I871" s="1">
        <f t="shared" si="4"/>
        <v>51</v>
      </c>
    </row>
    <row r="872" spans="3:9" x14ac:dyDescent="0.25">
      <c r="C872" s="1">
        <v>25</v>
      </c>
      <c r="D872" s="1">
        <v>1</v>
      </c>
      <c r="E872" s="1">
        <v>10</v>
      </c>
      <c r="F872" s="1">
        <v>10</v>
      </c>
      <c r="G872" s="1">
        <v>223</v>
      </c>
      <c r="H872" s="1">
        <v>275</v>
      </c>
      <c r="I872" s="1">
        <f t="shared" si="4"/>
        <v>52</v>
      </c>
    </row>
    <row r="873" spans="3:9" x14ac:dyDescent="0.25">
      <c r="C873" s="1">
        <v>25</v>
      </c>
      <c r="D873" s="1">
        <v>1</v>
      </c>
      <c r="E873" s="1">
        <v>10</v>
      </c>
      <c r="F873" s="1">
        <v>11</v>
      </c>
      <c r="G873" s="1">
        <v>275</v>
      </c>
      <c r="H873" s="1">
        <v>333</v>
      </c>
      <c r="I873" s="1">
        <f t="shared" si="4"/>
        <v>58</v>
      </c>
    </row>
    <row r="874" spans="3:9" x14ac:dyDescent="0.25">
      <c r="C874" s="1">
        <v>25</v>
      </c>
      <c r="D874" s="1">
        <v>1</v>
      </c>
      <c r="E874" s="1">
        <v>10</v>
      </c>
      <c r="F874" s="1">
        <v>12</v>
      </c>
      <c r="G874" s="1">
        <v>333</v>
      </c>
      <c r="H874" s="1">
        <v>384</v>
      </c>
      <c r="I874" s="1">
        <f t="shared" si="4"/>
        <v>51</v>
      </c>
    </row>
    <row r="875" spans="3:9" x14ac:dyDescent="0.25">
      <c r="C875" s="1">
        <v>25</v>
      </c>
      <c r="D875" s="1">
        <v>1</v>
      </c>
      <c r="E875" s="1">
        <v>10</v>
      </c>
      <c r="F875" s="1">
        <v>13</v>
      </c>
      <c r="G875" s="1">
        <v>384</v>
      </c>
      <c r="H875" s="1">
        <v>434</v>
      </c>
      <c r="I875" s="1">
        <f t="shared" si="4"/>
        <v>50</v>
      </c>
    </row>
    <row r="876" spans="3:9" x14ac:dyDescent="0.25">
      <c r="C876" s="1">
        <v>25</v>
      </c>
      <c r="D876" s="1">
        <v>1</v>
      </c>
      <c r="E876" s="1">
        <v>10</v>
      </c>
      <c r="F876" s="1">
        <v>14</v>
      </c>
      <c r="G876" s="1">
        <v>434</v>
      </c>
      <c r="H876" s="1">
        <v>478</v>
      </c>
      <c r="I876" s="1">
        <f t="shared" si="4"/>
        <v>44</v>
      </c>
    </row>
    <row r="877" spans="3:9" x14ac:dyDescent="0.25">
      <c r="C877" s="1">
        <v>25</v>
      </c>
      <c r="D877" s="1">
        <v>1</v>
      </c>
      <c r="E877" s="1">
        <v>10</v>
      </c>
      <c r="F877" s="1">
        <v>15</v>
      </c>
      <c r="G877" s="1">
        <v>479</v>
      </c>
      <c r="H877" s="1">
        <v>531</v>
      </c>
      <c r="I877" s="1">
        <f t="shared" si="4"/>
        <v>52</v>
      </c>
    </row>
    <row r="878" spans="3:9" x14ac:dyDescent="0.25">
      <c r="C878" s="1">
        <v>25</v>
      </c>
      <c r="D878" s="1">
        <v>1</v>
      </c>
      <c r="E878" s="1">
        <v>10</v>
      </c>
      <c r="F878" s="1">
        <v>16</v>
      </c>
      <c r="G878" s="1">
        <v>531</v>
      </c>
      <c r="H878" s="1">
        <v>584</v>
      </c>
      <c r="I878" s="1">
        <f t="shared" si="4"/>
        <v>53</v>
      </c>
    </row>
    <row r="879" spans="3:9" x14ac:dyDescent="0.25">
      <c r="C879" s="1">
        <v>25</v>
      </c>
      <c r="D879" s="1">
        <v>1</v>
      </c>
      <c r="E879" s="1">
        <v>10</v>
      </c>
      <c r="F879" s="1">
        <v>17</v>
      </c>
      <c r="G879" s="1">
        <v>584</v>
      </c>
      <c r="H879" s="1">
        <v>610</v>
      </c>
      <c r="I879" s="1">
        <f t="shared" si="4"/>
        <v>26</v>
      </c>
    </row>
    <row r="880" spans="3:9" x14ac:dyDescent="0.25">
      <c r="C880" s="1">
        <v>25</v>
      </c>
      <c r="D880" s="1">
        <v>1</v>
      </c>
      <c r="E880" s="1">
        <v>10</v>
      </c>
      <c r="F880" s="1">
        <v>18</v>
      </c>
      <c r="G880" s="1">
        <v>610</v>
      </c>
      <c r="H880" s="1">
        <v>657</v>
      </c>
      <c r="I880" s="1">
        <f t="shared" si="4"/>
        <v>47</v>
      </c>
    </row>
    <row r="881" spans="1:11" x14ac:dyDescent="0.25">
      <c r="C881" s="1">
        <v>25</v>
      </c>
      <c r="D881" s="1">
        <v>1</v>
      </c>
      <c r="E881" s="1">
        <v>10</v>
      </c>
      <c r="F881" s="1">
        <v>19</v>
      </c>
      <c r="G881" s="1">
        <v>657</v>
      </c>
      <c r="H881" s="1">
        <v>706</v>
      </c>
      <c r="I881" s="1">
        <f t="shared" si="4"/>
        <v>49</v>
      </c>
    </row>
    <row r="882" spans="1:11" x14ac:dyDescent="0.25">
      <c r="C882" s="1">
        <v>25</v>
      </c>
      <c r="D882" s="1">
        <v>1</v>
      </c>
      <c r="E882" s="1">
        <v>10</v>
      </c>
      <c r="F882" s="1">
        <v>20</v>
      </c>
      <c r="G882" s="1">
        <v>710</v>
      </c>
      <c r="H882" s="1">
        <v>765</v>
      </c>
      <c r="I882" s="1">
        <f t="shared" si="4"/>
        <v>55</v>
      </c>
    </row>
    <row r="883" spans="1:11" x14ac:dyDescent="0.25">
      <c r="C883" s="1">
        <v>25</v>
      </c>
      <c r="D883" s="1">
        <v>1</v>
      </c>
      <c r="E883" s="1">
        <v>10</v>
      </c>
      <c r="F883" s="1">
        <v>21</v>
      </c>
      <c r="G883" s="1">
        <v>765</v>
      </c>
      <c r="H883" s="1">
        <v>792</v>
      </c>
      <c r="I883" s="1">
        <f t="shared" si="4"/>
        <v>27</v>
      </c>
    </row>
    <row r="884" spans="1:11" x14ac:dyDescent="0.25">
      <c r="C884" s="1">
        <v>25</v>
      </c>
      <c r="D884" s="1">
        <v>1</v>
      </c>
      <c r="E884" s="1">
        <v>10</v>
      </c>
      <c r="F884" s="1">
        <v>22</v>
      </c>
      <c r="G884" s="1">
        <v>792</v>
      </c>
      <c r="H884" s="1">
        <v>835</v>
      </c>
      <c r="I884" s="1">
        <f t="shared" si="4"/>
        <v>43</v>
      </c>
    </row>
    <row r="885" spans="1:11" x14ac:dyDescent="0.25">
      <c r="C885" s="1">
        <v>25</v>
      </c>
      <c r="D885" s="1">
        <v>1</v>
      </c>
      <c r="E885" s="1">
        <v>10</v>
      </c>
      <c r="F885" s="1">
        <v>23</v>
      </c>
      <c r="G885" s="1">
        <v>841</v>
      </c>
      <c r="H885" s="1">
        <v>878</v>
      </c>
      <c r="I885" s="1">
        <f t="shared" si="4"/>
        <v>37</v>
      </c>
    </row>
    <row r="886" spans="1:11" x14ac:dyDescent="0.25">
      <c r="C886" s="1">
        <v>25</v>
      </c>
      <c r="D886" s="1">
        <v>1</v>
      </c>
      <c r="E886" s="1">
        <v>10</v>
      </c>
      <c r="F886" s="1">
        <v>24</v>
      </c>
      <c r="G886" s="1">
        <v>878</v>
      </c>
      <c r="H886" s="1">
        <v>922</v>
      </c>
      <c r="I886" s="1">
        <f t="shared" si="4"/>
        <v>44</v>
      </c>
    </row>
    <row r="887" spans="1:11" x14ac:dyDescent="0.25">
      <c r="C887" s="1">
        <v>25</v>
      </c>
      <c r="D887" s="1">
        <v>1</v>
      </c>
      <c r="E887" s="1">
        <v>10</v>
      </c>
      <c r="F887" s="1">
        <v>25</v>
      </c>
      <c r="G887" s="1">
        <v>922</v>
      </c>
      <c r="H887" s="1">
        <v>976</v>
      </c>
      <c r="I887" s="1">
        <f t="shared" si="4"/>
        <v>54</v>
      </c>
    </row>
    <row r="888" spans="1:11" x14ac:dyDescent="0.25">
      <c r="A888" s="5">
        <v>2</v>
      </c>
      <c r="B888" s="2">
        <v>43963</v>
      </c>
      <c r="C888" s="1">
        <v>26</v>
      </c>
      <c r="D888" s="1">
        <v>2</v>
      </c>
      <c r="E888" s="1">
        <v>1</v>
      </c>
      <c r="F888" s="1">
        <v>1</v>
      </c>
      <c r="G888" s="1">
        <v>5</v>
      </c>
      <c r="H888" s="1">
        <v>44</v>
      </c>
      <c r="I888" s="1">
        <f t="shared" si="4"/>
        <v>39</v>
      </c>
      <c r="J888" s="6">
        <f>(I892+I893+I894+I912+I911+I910+I901+I902+I903)/9</f>
        <v>32.888888888888886</v>
      </c>
      <c r="K888" s="6">
        <f>AVERAGE(I892:I912)</f>
        <v>35.61904761904762</v>
      </c>
    </row>
    <row r="889" spans="1:11" x14ac:dyDescent="0.25">
      <c r="C889" s="1">
        <v>26</v>
      </c>
      <c r="D889" s="1">
        <v>2</v>
      </c>
      <c r="E889" s="1">
        <v>1</v>
      </c>
      <c r="F889" s="1">
        <v>2</v>
      </c>
      <c r="G889" s="1">
        <v>50</v>
      </c>
      <c r="H889" s="1">
        <v>50</v>
      </c>
      <c r="I889" s="1">
        <f t="shared" si="4"/>
        <v>0</v>
      </c>
    </row>
    <row r="890" spans="1:11" x14ac:dyDescent="0.25">
      <c r="C890" s="1">
        <v>26</v>
      </c>
      <c r="D890" s="1">
        <v>2</v>
      </c>
      <c r="E890" s="1">
        <v>1</v>
      </c>
      <c r="F890" s="1">
        <v>3</v>
      </c>
      <c r="G890" s="1">
        <v>50</v>
      </c>
      <c r="H890" s="1">
        <v>86</v>
      </c>
      <c r="I890" s="1">
        <f t="shared" si="4"/>
        <v>36</v>
      </c>
    </row>
    <row r="891" spans="1:11" x14ac:dyDescent="0.25">
      <c r="C891" s="1">
        <v>26</v>
      </c>
      <c r="D891" s="1">
        <v>2</v>
      </c>
      <c r="E891" s="1">
        <v>1</v>
      </c>
      <c r="F891" s="1">
        <v>4</v>
      </c>
      <c r="G891" s="1">
        <v>87</v>
      </c>
      <c r="H891" s="1">
        <v>131</v>
      </c>
      <c r="I891" s="1">
        <f t="shared" si="4"/>
        <v>44</v>
      </c>
    </row>
    <row r="892" spans="1:11" x14ac:dyDescent="0.25">
      <c r="C892" s="1">
        <v>26</v>
      </c>
      <c r="D892" s="1">
        <v>2</v>
      </c>
      <c r="E892" s="1">
        <v>10</v>
      </c>
      <c r="F892" s="1">
        <v>5</v>
      </c>
      <c r="G892" s="1">
        <v>131</v>
      </c>
      <c r="H892" s="1">
        <v>164</v>
      </c>
      <c r="I892" s="11">
        <f t="shared" si="4"/>
        <v>33</v>
      </c>
    </row>
    <row r="893" spans="1:11" x14ac:dyDescent="0.25">
      <c r="C893" s="1">
        <v>26</v>
      </c>
      <c r="D893" s="1">
        <v>2</v>
      </c>
      <c r="E893" s="1">
        <v>10</v>
      </c>
      <c r="F893" s="1">
        <v>6</v>
      </c>
      <c r="G893" s="1">
        <v>171</v>
      </c>
      <c r="H893" s="1">
        <v>196</v>
      </c>
      <c r="I893" s="1">
        <f t="shared" si="4"/>
        <v>25</v>
      </c>
    </row>
    <row r="894" spans="1:11" x14ac:dyDescent="0.25">
      <c r="C894" s="1">
        <v>26</v>
      </c>
      <c r="D894" s="1">
        <v>2</v>
      </c>
      <c r="E894" s="1">
        <v>10</v>
      </c>
      <c r="F894" s="1">
        <v>7</v>
      </c>
      <c r="G894" s="1">
        <v>201</v>
      </c>
      <c r="H894" s="1">
        <v>234</v>
      </c>
      <c r="I894" s="1">
        <f t="shared" si="4"/>
        <v>33</v>
      </c>
    </row>
    <row r="895" spans="1:11" x14ac:dyDescent="0.25">
      <c r="C895" s="1">
        <v>26</v>
      </c>
      <c r="D895" s="1">
        <v>2</v>
      </c>
      <c r="E895" s="1">
        <v>10</v>
      </c>
      <c r="F895" s="1">
        <v>8</v>
      </c>
      <c r="G895" s="1">
        <v>244</v>
      </c>
      <c r="H895" s="1">
        <v>283</v>
      </c>
      <c r="I895" s="1">
        <f t="shared" si="4"/>
        <v>39</v>
      </c>
    </row>
    <row r="896" spans="1:11" x14ac:dyDescent="0.25">
      <c r="C896" s="1">
        <v>26</v>
      </c>
      <c r="D896" s="1">
        <v>2</v>
      </c>
      <c r="E896" s="1">
        <v>10</v>
      </c>
      <c r="F896" s="1">
        <v>9</v>
      </c>
      <c r="G896" s="1">
        <v>291</v>
      </c>
      <c r="H896" s="1">
        <v>325</v>
      </c>
      <c r="I896" s="1">
        <f t="shared" si="4"/>
        <v>34</v>
      </c>
    </row>
    <row r="897" spans="3:9" x14ac:dyDescent="0.25">
      <c r="C897" s="1">
        <v>26</v>
      </c>
      <c r="D897" s="1">
        <v>2</v>
      </c>
      <c r="E897" s="1">
        <v>10</v>
      </c>
      <c r="F897" s="1">
        <v>10</v>
      </c>
      <c r="G897" s="1">
        <v>330</v>
      </c>
      <c r="H897" s="1">
        <v>355</v>
      </c>
      <c r="I897" s="1">
        <f t="shared" si="4"/>
        <v>25</v>
      </c>
    </row>
    <row r="898" spans="3:9" x14ac:dyDescent="0.25">
      <c r="C898" s="1">
        <v>26</v>
      </c>
      <c r="D898" s="1">
        <v>2</v>
      </c>
      <c r="E898" s="1">
        <v>10</v>
      </c>
      <c r="F898" s="1">
        <v>11</v>
      </c>
      <c r="G898" s="1">
        <v>355</v>
      </c>
      <c r="H898" s="1">
        <v>389</v>
      </c>
      <c r="I898" s="1">
        <f t="shared" si="4"/>
        <v>34</v>
      </c>
    </row>
    <row r="899" spans="3:9" x14ac:dyDescent="0.25">
      <c r="C899" s="1">
        <v>26</v>
      </c>
      <c r="D899" s="1">
        <v>2</v>
      </c>
      <c r="E899" s="1">
        <v>10</v>
      </c>
      <c r="F899" s="1">
        <v>12</v>
      </c>
      <c r="G899" s="1">
        <v>389</v>
      </c>
      <c r="H899" s="1">
        <v>429</v>
      </c>
      <c r="I899" s="1">
        <f t="shared" si="4"/>
        <v>40</v>
      </c>
    </row>
    <row r="900" spans="3:9" x14ac:dyDescent="0.25">
      <c r="C900" s="1">
        <v>26</v>
      </c>
      <c r="D900" s="1">
        <v>2</v>
      </c>
      <c r="E900" s="1">
        <v>10</v>
      </c>
      <c r="F900" s="1">
        <v>13</v>
      </c>
      <c r="G900" s="1">
        <v>429</v>
      </c>
      <c r="H900" s="1">
        <v>468</v>
      </c>
      <c r="I900" s="1">
        <f t="shared" si="4"/>
        <v>39</v>
      </c>
    </row>
    <row r="901" spans="3:9" x14ac:dyDescent="0.25">
      <c r="C901" s="1">
        <v>26</v>
      </c>
      <c r="D901" s="1">
        <v>2</v>
      </c>
      <c r="E901" s="1">
        <v>10</v>
      </c>
      <c r="F901" s="1">
        <v>14</v>
      </c>
      <c r="G901" s="1">
        <v>477</v>
      </c>
      <c r="H901" s="1">
        <v>521</v>
      </c>
      <c r="I901" s="1">
        <f t="shared" si="4"/>
        <v>44</v>
      </c>
    </row>
    <row r="902" spans="3:9" x14ac:dyDescent="0.25">
      <c r="C902" s="1">
        <v>26</v>
      </c>
      <c r="D902" s="1">
        <v>2</v>
      </c>
      <c r="E902" s="1">
        <v>10</v>
      </c>
      <c r="F902" s="1">
        <v>15</v>
      </c>
      <c r="G902" s="1">
        <v>521</v>
      </c>
      <c r="H902" s="1">
        <v>562</v>
      </c>
      <c r="I902" s="1">
        <f t="shared" si="4"/>
        <v>41</v>
      </c>
    </row>
    <row r="903" spans="3:9" x14ac:dyDescent="0.25">
      <c r="C903" s="1">
        <v>26</v>
      </c>
      <c r="D903" s="1">
        <v>2</v>
      </c>
      <c r="E903" s="1">
        <v>10</v>
      </c>
      <c r="F903" s="1">
        <v>16</v>
      </c>
      <c r="G903" s="1">
        <v>562</v>
      </c>
      <c r="H903" s="1">
        <v>594</v>
      </c>
      <c r="I903" s="1">
        <f t="shared" si="4"/>
        <v>32</v>
      </c>
    </row>
    <row r="904" spans="3:9" x14ac:dyDescent="0.25">
      <c r="C904" s="1">
        <v>26</v>
      </c>
      <c r="D904" s="1">
        <v>2</v>
      </c>
      <c r="E904" s="1">
        <v>10</v>
      </c>
      <c r="F904" s="1">
        <v>17</v>
      </c>
      <c r="G904" s="1">
        <v>608</v>
      </c>
      <c r="H904" s="1">
        <v>661</v>
      </c>
      <c r="I904" s="1">
        <f t="shared" si="4"/>
        <v>53</v>
      </c>
    </row>
    <row r="905" spans="3:9" x14ac:dyDescent="0.25">
      <c r="C905" s="1">
        <v>26</v>
      </c>
      <c r="D905" s="1">
        <v>2</v>
      </c>
      <c r="E905" s="1">
        <v>10</v>
      </c>
      <c r="F905" s="1">
        <v>18</v>
      </c>
      <c r="G905" s="1">
        <v>661</v>
      </c>
      <c r="H905" s="1">
        <v>688</v>
      </c>
      <c r="I905" s="1">
        <f t="shared" si="4"/>
        <v>27</v>
      </c>
    </row>
    <row r="906" spans="3:9" x14ac:dyDescent="0.25">
      <c r="C906" s="1">
        <v>26</v>
      </c>
      <c r="D906" s="1">
        <v>2</v>
      </c>
      <c r="E906" s="1">
        <v>10</v>
      </c>
      <c r="F906" s="1">
        <v>19</v>
      </c>
      <c r="G906" s="1">
        <v>692</v>
      </c>
      <c r="H906" s="1">
        <v>740</v>
      </c>
      <c r="I906" s="1">
        <f t="shared" si="4"/>
        <v>48</v>
      </c>
    </row>
    <row r="907" spans="3:9" x14ac:dyDescent="0.25">
      <c r="C907" s="1">
        <v>26</v>
      </c>
      <c r="D907" s="1">
        <v>2</v>
      </c>
      <c r="E907" s="1">
        <v>10</v>
      </c>
      <c r="F907" s="1">
        <v>20</v>
      </c>
      <c r="G907" s="1">
        <v>740</v>
      </c>
      <c r="H907" s="1">
        <v>767</v>
      </c>
      <c r="I907" s="1">
        <f t="shared" si="4"/>
        <v>27</v>
      </c>
    </row>
    <row r="908" spans="3:9" x14ac:dyDescent="0.25">
      <c r="C908" s="1">
        <v>26</v>
      </c>
      <c r="D908" s="1">
        <v>2</v>
      </c>
      <c r="E908" s="1">
        <v>10</v>
      </c>
      <c r="F908" s="1">
        <v>21</v>
      </c>
      <c r="G908" s="1">
        <v>767</v>
      </c>
      <c r="H908" s="1">
        <v>807</v>
      </c>
      <c r="I908" s="1">
        <f t="shared" si="4"/>
        <v>40</v>
      </c>
    </row>
    <row r="909" spans="3:9" x14ac:dyDescent="0.25">
      <c r="C909" s="1">
        <v>26</v>
      </c>
      <c r="D909" s="1">
        <v>2</v>
      </c>
      <c r="E909" s="1">
        <v>10</v>
      </c>
      <c r="F909" s="1">
        <v>22</v>
      </c>
      <c r="G909" s="1">
        <v>807</v>
      </c>
      <c r="H909" s="1">
        <v>853</v>
      </c>
      <c r="I909" s="1">
        <f t="shared" si="4"/>
        <v>46</v>
      </c>
    </row>
    <row r="910" spans="3:9" x14ac:dyDescent="0.25">
      <c r="C910" s="1">
        <v>26</v>
      </c>
      <c r="D910" s="1">
        <v>2</v>
      </c>
      <c r="E910" s="1">
        <v>10</v>
      </c>
      <c r="F910" s="1">
        <v>23</v>
      </c>
      <c r="G910" s="1">
        <v>859</v>
      </c>
      <c r="H910" s="1">
        <v>898</v>
      </c>
      <c r="I910" s="1">
        <f t="shared" si="4"/>
        <v>39</v>
      </c>
    </row>
    <row r="911" spans="3:9" x14ac:dyDescent="0.25">
      <c r="C911" s="1">
        <v>26</v>
      </c>
      <c r="D911" s="1">
        <v>2</v>
      </c>
      <c r="E911" s="1">
        <v>10</v>
      </c>
      <c r="F911" s="1">
        <v>24</v>
      </c>
      <c r="G911" s="1">
        <v>899</v>
      </c>
      <c r="H911" s="1">
        <v>930</v>
      </c>
      <c r="I911" s="1">
        <f t="shared" si="4"/>
        <v>31</v>
      </c>
    </row>
    <row r="912" spans="3:9" x14ac:dyDescent="0.25">
      <c r="C912" s="1">
        <v>26</v>
      </c>
      <c r="D912" s="1">
        <v>2</v>
      </c>
      <c r="E912" s="1">
        <v>10</v>
      </c>
      <c r="F912" s="1">
        <v>25</v>
      </c>
      <c r="G912" s="1">
        <v>930</v>
      </c>
      <c r="H912" s="1">
        <v>948</v>
      </c>
      <c r="I912" s="1">
        <f t="shared" si="4"/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11"/>
  <sheetViews>
    <sheetView zoomScaleNormal="100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8.85546875" style="5"/>
    <col min="2" max="2" width="12.140625" style="1" customWidth="1"/>
    <col min="3" max="8" width="8.85546875" style="1"/>
    <col min="9" max="9" width="10" style="1" customWidth="1"/>
    <col min="10" max="10" width="8.85546875" style="8"/>
  </cols>
  <sheetData>
    <row r="1" spans="1:10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12</v>
      </c>
    </row>
    <row r="2" spans="1:10" x14ac:dyDescent="0.25">
      <c r="A2" s="5">
        <v>1</v>
      </c>
      <c r="B2" s="2">
        <v>43780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1</v>
      </c>
      <c r="I2" s="1">
        <f>H2-G2</f>
        <v>1</v>
      </c>
      <c r="J2" s="8">
        <f>(I2+I3+I4+I23+I22+I21+I12+I13+I11)/9</f>
        <v>16.888888888888889</v>
      </c>
    </row>
    <row r="3" spans="1:10" x14ac:dyDescent="0.25">
      <c r="C3" s="1">
        <v>1</v>
      </c>
      <c r="D3" s="1">
        <v>1</v>
      </c>
      <c r="E3" s="1">
        <v>1</v>
      </c>
      <c r="F3" s="1">
        <v>2</v>
      </c>
      <c r="G3" s="1">
        <v>1</v>
      </c>
      <c r="H3" s="1">
        <v>2</v>
      </c>
      <c r="I3" s="1">
        <f t="shared" ref="I3:I115" si="0">H3-G3</f>
        <v>1</v>
      </c>
    </row>
    <row r="4" spans="1:10" x14ac:dyDescent="0.25">
      <c r="C4" s="1">
        <v>1</v>
      </c>
      <c r="D4" s="1">
        <v>1</v>
      </c>
      <c r="E4" s="1">
        <v>1</v>
      </c>
      <c r="F4" s="1">
        <v>3</v>
      </c>
      <c r="G4" s="1">
        <v>2</v>
      </c>
      <c r="H4" s="1">
        <v>5</v>
      </c>
      <c r="I4" s="1">
        <f t="shared" si="0"/>
        <v>3</v>
      </c>
    </row>
    <row r="5" spans="1:10" x14ac:dyDescent="0.25">
      <c r="C5" s="1">
        <v>1</v>
      </c>
      <c r="D5" s="1">
        <v>1</v>
      </c>
      <c r="E5" s="1">
        <v>1</v>
      </c>
      <c r="F5" s="1">
        <v>4</v>
      </c>
      <c r="G5" s="1">
        <v>8</v>
      </c>
      <c r="H5" s="1">
        <v>13</v>
      </c>
      <c r="I5" s="1">
        <f t="shared" si="0"/>
        <v>5</v>
      </c>
    </row>
    <row r="6" spans="1:10" x14ac:dyDescent="0.25">
      <c r="C6" s="1">
        <v>1</v>
      </c>
      <c r="D6" s="1">
        <v>1</v>
      </c>
      <c r="E6" s="1">
        <v>1</v>
      </c>
      <c r="F6" s="1">
        <v>5</v>
      </c>
      <c r="G6" s="1">
        <v>13</v>
      </c>
      <c r="H6" s="1">
        <v>51</v>
      </c>
      <c r="I6" s="1">
        <f t="shared" si="0"/>
        <v>38</v>
      </c>
    </row>
    <row r="7" spans="1:10" x14ac:dyDescent="0.25">
      <c r="C7" s="1">
        <v>1</v>
      </c>
      <c r="D7" s="1">
        <v>1</v>
      </c>
      <c r="E7" s="1">
        <v>1</v>
      </c>
      <c r="F7" s="1">
        <v>6</v>
      </c>
      <c r="G7" s="1">
        <v>51</v>
      </c>
      <c r="H7" s="1">
        <v>59</v>
      </c>
      <c r="I7" s="1">
        <f t="shared" si="0"/>
        <v>8</v>
      </c>
    </row>
    <row r="8" spans="1:10" x14ac:dyDescent="0.25">
      <c r="C8" s="1">
        <v>1</v>
      </c>
      <c r="D8" s="1">
        <v>1</v>
      </c>
      <c r="E8" s="1">
        <v>1</v>
      </c>
      <c r="F8" s="1">
        <v>7</v>
      </c>
      <c r="G8" s="1">
        <v>59</v>
      </c>
      <c r="H8" s="1">
        <v>101</v>
      </c>
      <c r="I8" s="1">
        <f t="shared" si="0"/>
        <v>42</v>
      </c>
    </row>
    <row r="9" spans="1:10" x14ac:dyDescent="0.25">
      <c r="C9" s="1">
        <v>1</v>
      </c>
      <c r="D9" s="1">
        <v>1</v>
      </c>
      <c r="E9" s="1">
        <v>1</v>
      </c>
      <c r="F9" s="1">
        <v>8</v>
      </c>
      <c r="G9" s="1">
        <v>101</v>
      </c>
      <c r="H9" s="1">
        <v>127</v>
      </c>
      <c r="I9" s="1">
        <f t="shared" si="0"/>
        <v>26</v>
      </c>
    </row>
    <row r="10" spans="1:10" x14ac:dyDescent="0.25">
      <c r="C10" s="1">
        <v>1</v>
      </c>
      <c r="D10" s="1">
        <v>1</v>
      </c>
      <c r="E10" s="1">
        <v>1</v>
      </c>
      <c r="F10" s="1">
        <v>9</v>
      </c>
      <c r="G10" s="1">
        <v>127</v>
      </c>
      <c r="H10" s="1">
        <v>156</v>
      </c>
      <c r="I10" s="1">
        <f t="shared" si="0"/>
        <v>29</v>
      </c>
    </row>
    <row r="11" spans="1:10" x14ac:dyDescent="0.25">
      <c r="C11" s="1">
        <v>1</v>
      </c>
      <c r="D11" s="1">
        <v>1</v>
      </c>
      <c r="E11" s="1">
        <v>1</v>
      </c>
      <c r="F11" s="1">
        <v>10</v>
      </c>
      <c r="G11" s="1">
        <v>156</v>
      </c>
      <c r="H11" s="1">
        <v>180</v>
      </c>
      <c r="I11" s="1">
        <f t="shared" si="0"/>
        <v>24</v>
      </c>
    </row>
    <row r="12" spans="1:10" x14ac:dyDescent="0.25">
      <c r="C12" s="1">
        <v>1</v>
      </c>
      <c r="D12" s="1">
        <v>1</v>
      </c>
      <c r="E12" s="1">
        <v>1</v>
      </c>
      <c r="F12" s="1">
        <v>11</v>
      </c>
      <c r="G12" s="1">
        <v>180</v>
      </c>
      <c r="H12" s="1">
        <v>212</v>
      </c>
      <c r="I12" s="1">
        <f t="shared" si="0"/>
        <v>32</v>
      </c>
    </row>
    <row r="13" spans="1:10" x14ac:dyDescent="0.25">
      <c r="C13" s="1">
        <v>1</v>
      </c>
      <c r="D13" s="1">
        <v>1</v>
      </c>
      <c r="E13" s="1">
        <v>1</v>
      </c>
      <c r="F13" s="1">
        <v>12</v>
      </c>
      <c r="G13" s="1">
        <v>212</v>
      </c>
      <c r="H13" s="1">
        <v>241</v>
      </c>
      <c r="I13" s="1">
        <f t="shared" si="0"/>
        <v>29</v>
      </c>
    </row>
    <row r="14" spans="1:10" x14ac:dyDescent="0.25">
      <c r="C14" s="1">
        <v>1</v>
      </c>
      <c r="D14" s="1">
        <v>1</v>
      </c>
      <c r="E14" s="1">
        <v>1</v>
      </c>
      <c r="F14" s="1">
        <v>13</v>
      </c>
      <c r="G14" s="1">
        <v>241</v>
      </c>
      <c r="H14" s="1">
        <v>272</v>
      </c>
      <c r="I14" s="1">
        <f t="shared" si="0"/>
        <v>31</v>
      </c>
    </row>
    <row r="15" spans="1:10" x14ac:dyDescent="0.25">
      <c r="C15" s="1">
        <v>1</v>
      </c>
      <c r="D15" s="1">
        <v>1</v>
      </c>
      <c r="E15" s="1">
        <v>1</v>
      </c>
      <c r="F15" s="1">
        <v>14</v>
      </c>
      <c r="G15" s="1">
        <v>272</v>
      </c>
      <c r="H15" s="1">
        <v>279</v>
      </c>
      <c r="I15" s="1">
        <f t="shared" si="0"/>
        <v>7</v>
      </c>
    </row>
    <row r="16" spans="1:10" x14ac:dyDescent="0.25">
      <c r="C16" s="1">
        <v>1</v>
      </c>
      <c r="D16" s="1">
        <v>1</v>
      </c>
      <c r="E16" s="1">
        <v>1</v>
      </c>
      <c r="F16" s="1">
        <v>15</v>
      </c>
      <c r="G16" s="1">
        <v>279</v>
      </c>
      <c r="H16" s="1">
        <v>308</v>
      </c>
      <c r="I16" s="1">
        <f t="shared" si="0"/>
        <v>29</v>
      </c>
    </row>
    <row r="17" spans="1:10" x14ac:dyDescent="0.25">
      <c r="C17" s="1">
        <v>1</v>
      </c>
      <c r="D17" s="1">
        <v>1</v>
      </c>
      <c r="E17" s="1">
        <v>1</v>
      </c>
      <c r="F17" s="1">
        <v>16</v>
      </c>
      <c r="G17" s="1">
        <v>310</v>
      </c>
      <c r="H17" s="1">
        <v>344</v>
      </c>
      <c r="I17" s="1">
        <f t="shared" si="0"/>
        <v>34</v>
      </c>
    </row>
    <row r="18" spans="1:10" x14ac:dyDescent="0.25">
      <c r="C18" s="1">
        <v>1</v>
      </c>
      <c r="D18" s="1">
        <v>1</v>
      </c>
      <c r="E18" s="1">
        <v>1</v>
      </c>
      <c r="F18" s="1">
        <v>17</v>
      </c>
      <c r="G18" s="1">
        <v>344</v>
      </c>
      <c r="H18" s="1">
        <v>378</v>
      </c>
      <c r="I18" s="1">
        <f t="shared" si="0"/>
        <v>34</v>
      </c>
    </row>
    <row r="19" spans="1:10" x14ac:dyDescent="0.25">
      <c r="C19" s="1">
        <v>1</v>
      </c>
      <c r="D19" s="1">
        <v>1</v>
      </c>
      <c r="E19" s="1">
        <v>1</v>
      </c>
      <c r="F19" s="1">
        <v>18</v>
      </c>
      <c r="G19" s="1">
        <v>378</v>
      </c>
      <c r="H19" s="1">
        <v>402</v>
      </c>
      <c r="I19" s="1">
        <f t="shared" si="0"/>
        <v>24</v>
      </c>
    </row>
    <row r="20" spans="1:10" x14ac:dyDescent="0.25">
      <c r="C20" s="1">
        <v>1</v>
      </c>
      <c r="D20" s="1">
        <v>1</v>
      </c>
      <c r="E20" s="1">
        <v>1</v>
      </c>
      <c r="F20" s="1">
        <v>19</v>
      </c>
      <c r="G20" s="1">
        <v>402</v>
      </c>
      <c r="H20" s="1">
        <v>431</v>
      </c>
      <c r="I20" s="1">
        <f t="shared" si="0"/>
        <v>29</v>
      </c>
    </row>
    <row r="21" spans="1:10" x14ac:dyDescent="0.25">
      <c r="C21" s="1">
        <v>1</v>
      </c>
      <c r="D21" s="1">
        <v>1</v>
      </c>
      <c r="E21" s="1">
        <v>1</v>
      </c>
      <c r="F21" s="1">
        <v>20</v>
      </c>
      <c r="G21" s="1">
        <v>431</v>
      </c>
      <c r="H21" s="1">
        <v>454</v>
      </c>
      <c r="I21" s="1">
        <f t="shared" si="0"/>
        <v>23</v>
      </c>
    </row>
    <row r="22" spans="1:10" x14ac:dyDescent="0.25">
      <c r="C22" s="1">
        <v>1</v>
      </c>
      <c r="D22" s="1">
        <v>1</v>
      </c>
      <c r="E22" s="1">
        <v>1</v>
      </c>
      <c r="F22" s="1">
        <v>21</v>
      </c>
      <c r="G22" s="1">
        <v>454</v>
      </c>
      <c r="H22" s="1">
        <v>469</v>
      </c>
      <c r="I22" s="1">
        <f t="shared" si="0"/>
        <v>15</v>
      </c>
    </row>
    <row r="23" spans="1:10" x14ac:dyDescent="0.25">
      <c r="C23" s="1">
        <v>1</v>
      </c>
      <c r="D23" s="1">
        <v>1</v>
      </c>
      <c r="E23" s="1">
        <v>1</v>
      </c>
      <c r="F23" s="1">
        <v>22</v>
      </c>
      <c r="G23" s="1">
        <v>469</v>
      </c>
      <c r="H23" s="1">
        <v>493</v>
      </c>
      <c r="I23" s="1">
        <f t="shared" si="0"/>
        <v>24</v>
      </c>
    </row>
    <row r="24" spans="1:10" x14ac:dyDescent="0.25">
      <c r="A24" s="5">
        <v>1</v>
      </c>
      <c r="B24" s="2">
        <v>43784</v>
      </c>
      <c r="C24" s="1">
        <v>2</v>
      </c>
      <c r="D24" s="1">
        <v>2</v>
      </c>
      <c r="E24" s="1">
        <v>1</v>
      </c>
      <c r="F24" s="1">
        <v>1</v>
      </c>
      <c r="G24" s="1">
        <v>0</v>
      </c>
      <c r="H24" s="1">
        <v>32</v>
      </c>
      <c r="I24" s="1">
        <f t="shared" si="0"/>
        <v>32</v>
      </c>
      <c r="J24" s="8">
        <f>(I24+I25+I26+I35+I34+I33+I29+I30+I31)/9</f>
        <v>7.666666666666667</v>
      </c>
    </row>
    <row r="25" spans="1:10" x14ac:dyDescent="0.25">
      <c r="C25" s="1">
        <v>2</v>
      </c>
      <c r="D25" s="1">
        <v>2</v>
      </c>
      <c r="E25" s="1">
        <v>1</v>
      </c>
      <c r="F25" s="1">
        <v>2</v>
      </c>
      <c r="G25" s="1">
        <v>34</v>
      </c>
      <c r="H25" s="1">
        <v>71</v>
      </c>
      <c r="I25" s="1">
        <f t="shared" si="0"/>
        <v>37</v>
      </c>
    </row>
    <row r="26" spans="1:10" x14ac:dyDescent="0.25">
      <c r="C26" s="1">
        <v>2</v>
      </c>
      <c r="D26" s="1">
        <v>2</v>
      </c>
      <c r="E26" s="1">
        <v>1</v>
      </c>
      <c r="F26" s="1">
        <v>3</v>
      </c>
      <c r="G26" s="1">
        <v>71</v>
      </c>
      <c r="H26" s="1">
        <v>71</v>
      </c>
      <c r="I26" s="1">
        <f t="shared" si="0"/>
        <v>0</v>
      </c>
    </row>
    <row r="27" spans="1:10" x14ac:dyDescent="0.25">
      <c r="C27" s="1">
        <v>2</v>
      </c>
      <c r="D27" s="1">
        <v>2</v>
      </c>
      <c r="E27" s="1">
        <v>1</v>
      </c>
      <c r="F27" s="1">
        <v>4</v>
      </c>
      <c r="G27" s="1">
        <v>71</v>
      </c>
      <c r="H27" s="1">
        <v>92</v>
      </c>
      <c r="I27" s="1">
        <f t="shared" si="0"/>
        <v>21</v>
      </c>
    </row>
    <row r="28" spans="1:10" x14ac:dyDescent="0.25">
      <c r="C28" s="1">
        <v>2</v>
      </c>
      <c r="D28" s="1">
        <v>2</v>
      </c>
      <c r="E28" s="1">
        <v>1</v>
      </c>
      <c r="F28" s="1">
        <v>5</v>
      </c>
      <c r="G28" s="1">
        <v>92</v>
      </c>
      <c r="H28" s="1">
        <v>92</v>
      </c>
      <c r="I28" s="1">
        <f t="shared" si="0"/>
        <v>0</v>
      </c>
    </row>
    <row r="29" spans="1:10" x14ac:dyDescent="0.25">
      <c r="C29" s="1">
        <v>2</v>
      </c>
      <c r="D29" s="1">
        <v>2</v>
      </c>
      <c r="E29" s="1">
        <v>1</v>
      </c>
      <c r="F29" s="1">
        <v>6</v>
      </c>
      <c r="G29" s="1">
        <v>92</v>
      </c>
      <c r="H29" s="1">
        <v>92</v>
      </c>
      <c r="I29" s="1">
        <f t="shared" si="0"/>
        <v>0</v>
      </c>
    </row>
    <row r="30" spans="1:10" x14ac:dyDescent="0.25">
      <c r="C30" s="1">
        <v>2</v>
      </c>
      <c r="D30" s="1">
        <v>2</v>
      </c>
      <c r="E30" s="1">
        <v>1</v>
      </c>
      <c r="F30" s="1">
        <v>7</v>
      </c>
      <c r="G30" s="1">
        <v>92</v>
      </c>
      <c r="H30" s="1">
        <v>92</v>
      </c>
      <c r="I30" s="1">
        <f t="shared" si="0"/>
        <v>0</v>
      </c>
    </row>
    <row r="31" spans="1:10" x14ac:dyDescent="0.25">
      <c r="C31" s="1">
        <v>2</v>
      </c>
      <c r="D31" s="1">
        <v>2</v>
      </c>
      <c r="E31" s="1">
        <v>1</v>
      </c>
      <c r="F31" s="1">
        <v>8</v>
      </c>
      <c r="G31" s="1">
        <v>92</v>
      </c>
      <c r="H31" s="1">
        <v>92</v>
      </c>
      <c r="I31" s="1">
        <f t="shared" si="0"/>
        <v>0</v>
      </c>
    </row>
    <row r="32" spans="1:10" x14ac:dyDescent="0.25">
      <c r="C32" s="1">
        <v>2</v>
      </c>
      <c r="D32" s="1">
        <v>2</v>
      </c>
      <c r="E32" s="1">
        <v>1</v>
      </c>
      <c r="F32" s="1">
        <v>9</v>
      </c>
      <c r="G32" s="1">
        <v>92</v>
      </c>
      <c r="H32" s="1">
        <v>92</v>
      </c>
      <c r="I32" s="1">
        <f t="shared" si="0"/>
        <v>0</v>
      </c>
    </row>
    <row r="33" spans="1:10" x14ac:dyDescent="0.25">
      <c r="C33" s="1">
        <v>2</v>
      </c>
      <c r="D33" s="1">
        <v>2</v>
      </c>
      <c r="E33" s="1">
        <v>1</v>
      </c>
      <c r="F33" s="1">
        <v>10</v>
      </c>
      <c r="G33" s="1">
        <v>92</v>
      </c>
      <c r="H33" s="1">
        <v>92</v>
      </c>
      <c r="I33" s="1">
        <f t="shared" si="0"/>
        <v>0</v>
      </c>
    </row>
    <row r="34" spans="1:10" x14ac:dyDescent="0.25">
      <c r="C34" s="1">
        <v>2</v>
      </c>
      <c r="D34" s="1">
        <v>2</v>
      </c>
      <c r="E34" s="1">
        <v>1</v>
      </c>
      <c r="F34" s="1">
        <v>11</v>
      </c>
      <c r="G34" s="1">
        <v>92</v>
      </c>
      <c r="H34" s="1">
        <v>92</v>
      </c>
      <c r="I34" s="1">
        <f t="shared" si="0"/>
        <v>0</v>
      </c>
    </row>
    <row r="35" spans="1:10" x14ac:dyDescent="0.25">
      <c r="C35" s="1">
        <v>2</v>
      </c>
      <c r="D35" s="1">
        <v>2</v>
      </c>
      <c r="E35" s="1">
        <v>1</v>
      </c>
      <c r="F35" s="1">
        <v>12</v>
      </c>
      <c r="G35" s="1">
        <v>92</v>
      </c>
      <c r="H35" s="1">
        <v>92</v>
      </c>
      <c r="I35" s="1">
        <f t="shared" si="0"/>
        <v>0</v>
      </c>
    </row>
    <row r="36" spans="1:10" x14ac:dyDescent="0.25">
      <c r="A36" s="5">
        <v>1</v>
      </c>
      <c r="B36" s="2">
        <v>43782</v>
      </c>
      <c r="C36" s="1">
        <v>3</v>
      </c>
      <c r="D36" s="1">
        <v>1</v>
      </c>
      <c r="E36" s="1">
        <v>1</v>
      </c>
      <c r="F36" s="1">
        <v>1</v>
      </c>
      <c r="G36" s="1">
        <v>0</v>
      </c>
      <c r="H36" s="1">
        <v>39</v>
      </c>
      <c r="I36" s="1">
        <f t="shared" si="0"/>
        <v>39</v>
      </c>
      <c r="J36" s="8">
        <f>(I36+I37+I38+I53+I52+I51+I44+I45+I46)/9</f>
        <v>19.222222222222221</v>
      </c>
    </row>
    <row r="37" spans="1:10" x14ac:dyDescent="0.25">
      <c r="C37" s="1">
        <v>3</v>
      </c>
      <c r="D37" s="1">
        <v>1</v>
      </c>
      <c r="E37" s="1">
        <v>1</v>
      </c>
      <c r="F37" s="1">
        <v>2</v>
      </c>
      <c r="G37" s="1">
        <v>39</v>
      </c>
      <c r="H37" s="1">
        <v>48</v>
      </c>
      <c r="I37" s="1">
        <f t="shared" si="0"/>
        <v>9</v>
      </c>
    </row>
    <row r="38" spans="1:10" x14ac:dyDescent="0.25">
      <c r="C38" s="1">
        <v>3</v>
      </c>
      <c r="D38" s="1">
        <v>1</v>
      </c>
      <c r="E38" s="1">
        <v>1</v>
      </c>
      <c r="F38" s="1">
        <v>3</v>
      </c>
      <c r="G38" s="1">
        <v>48</v>
      </c>
      <c r="H38" s="1">
        <v>53</v>
      </c>
      <c r="I38" s="1">
        <f t="shared" si="0"/>
        <v>5</v>
      </c>
    </row>
    <row r="39" spans="1:10" x14ac:dyDescent="0.25">
      <c r="C39" s="1">
        <v>3</v>
      </c>
      <c r="D39" s="1">
        <v>1</v>
      </c>
      <c r="E39" s="1">
        <v>1</v>
      </c>
      <c r="F39" s="1">
        <v>4</v>
      </c>
      <c r="G39" s="1">
        <v>53</v>
      </c>
      <c r="H39" s="1">
        <v>53</v>
      </c>
      <c r="I39" s="1">
        <f t="shared" si="0"/>
        <v>0</v>
      </c>
    </row>
    <row r="40" spans="1:10" x14ac:dyDescent="0.25">
      <c r="C40" s="1">
        <v>3</v>
      </c>
      <c r="D40" s="1">
        <v>1</v>
      </c>
      <c r="E40" s="1">
        <v>1</v>
      </c>
      <c r="F40" s="1">
        <v>5</v>
      </c>
      <c r="G40" s="1">
        <v>53</v>
      </c>
      <c r="H40" s="1">
        <v>85</v>
      </c>
      <c r="I40" s="1">
        <f t="shared" si="0"/>
        <v>32</v>
      </c>
    </row>
    <row r="41" spans="1:10" x14ac:dyDescent="0.25">
      <c r="C41" s="1">
        <v>3</v>
      </c>
      <c r="D41" s="1">
        <v>1</v>
      </c>
      <c r="E41" s="1">
        <v>1</v>
      </c>
      <c r="F41" s="1">
        <v>6</v>
      </c>
      <c r="G41" s="1">
        <v>85</v>
      </c>
      <c r="H41" s="1">
        <v>89</v>
      </c>
      <c r="I41" s="1">
        <f t="shared" si="0"/>
        <v>4</v>
      </c>
    </row>
    <row r="42" spans="1:10" x14ac:dyDescent="0.25">
      <c r="C42" s="1">
        <v>3</v>
      </c>
      <c r="D42" s="1">
        <v>1</v>
      </c>
      <c r="E42" s="1">
        <v>1</v>
      </c>
      <c r="F42" s="1">
        <v>7</v>
      </c>
      <c r="G42" s="1">
        <v>89</v>
      </c>
      <c r="H42" s="1">
        <v>89</v>
      </c>
      <c r="I42" s="1">
        <f t="shared" si="0"/>
        <v>0</v>
      </c>
    </row>
    <row r="43" spans="1:10" x14ac:dyDescent="0.25">
      <c r="C43" s="1">
        <v>3</v>
      </c>
      <c r="D43" s="1">
        <v>1</v>
      </c>
      <c r="E43" s="1">
        <v>1</v>
      </c>
      <c r="F43" s="1">
        <v>8</v>
      </c>
      <c r="G43" s="1">
        <v>89</v>
      </c>
      <c r="H43" s="1">
        <v>111</v>
      </c>
      <c r="I43" s="1">
        <f t="shared" si="0"/>
        <v>22</v>
      </c>
    </row>
    <row r="44" spans="1:10" x14ac:dyDescent="0.25">
      <c r="C44" s="1">
        <v>3</v>
      </c>
      <c r="D44" s="1">
        <v>1</v>
      </c>
      <c r="E44" s="1">
        <v>1</v>
      </c>
      <c r="F44" s="1">
        <v>9</v>
      </c>
      <c r="G44" s="1">
        <v>111</v>
      </c>
      <c r="H44" s="1">
        <v>111</v>
      </c>
      <c r="I44" s="1">
        <f t="shared" si="0"/>
        <v>0</v>
      </c>
    </row>
    <row r="45" spans="1:10" x14ac:dyDescent="0.25">
      <c r="C45" s="1">
        <v>3</v>
      </c>
      <c r="D45" s="1">
        <v>1</v>
      </c>
      <c r="E45" s="1">
        <v>1</v>
      </c>
      <c r="F45" s="1">
        <v>10</v>
      </c>
      <c r="G45" s="1">
        <v>115</v>
      </c>
      <c r="H45" s="1">
        <v>117</v>
      </c>
      <c r="I45" s="1">
        <f t="shared" si="0"/>
        <v>2</v>
      </c>
    </row>
    <row r="46" spans="1:10" x14ac:dyDescent="0.25">
      <c r="C46" s="1">
        <v>3</v>
      </c>
      <c r="D46" s="1">
        <v>1</v>
      </c>
      <c r="E46" s="1">
        <v>1</v>
      </c>
      <c r="F46" s="1">
        <v>11</v>
      </c>
      <c r="G46" s="1">
        <v>117</v>
      </c>
      <c r="H46" s="1">
        <v>158</v>
      </c>
      <c r="I46" s="1">
        <f t="shared" si="0"/>
        <v>41</v>
      </c>
    </row>
    <row r="47" spans="1:10" x14ac:dyDescent="0.25">
      <c r="C47" s="1">
        <v>3</v>
      </c>
      <c r="D47" s="1">
        <v>1</v>
      </c>
      <c r="E47" s="1">
        <v>1</v>
      </c>
      <c r="F47" s="1">
        <v>12</v>
      </c>
      <c r="G47" s="1">
        <v>164</v>
      </c>
      <c r="H47" s="1">
        <v>164</v>
      </c>
      <c r="I47" s="1">
        <f t="shared" si="0"/>
        <v>0</v>
      </c>
    </row>
    <row r="48" spans="1:10" x14ac:dyDescent="0.25">
      <c r="C48" s="1">
        <v>3</v>
      </c>
      <c r="D48" s="1">
        <v>1</v>
      </c>
      <c r="E48" s="1">
        <v>1</v>
      </c>
      <c r="F48" s="1">
        <v>13</v>
      </c>
      <c r="G48" s="1">
        <v>164</v>
      </c>
      <c r="H48" s="1">
        <v>185</v>
      </c>
      <c r="I48" s="1">
        <f t="shared" si="0"/>
        <v>21</v>
      </c>
    </row>
    <row r="49" spans="1:10" x14ac:dyDescent="0.25">
      <c r="C49" s="1">
        <v>3</v>
      </c>
      <c r="D49" s="1">
        <v>1</v>
      </c>
      <c r="E49" s="1">
        <v>1</v>
      </c>
      <c r="F49" s="1">
        <v>14</v>
      </c>
      <c r="G49" s="1">
        <v>185</v>
      </c>
      <c r="H49" s="1">
        <v>218</v>
      </c>
      <c r="I49" s="1">
        <f t="shared" si="0"/>
        <v>33</v>
      </c>
    </row>
    <row r="50" spans="1:10" x14ac:dyDescent="0.25">
      <c r="C50" s="1">
        <v>3</v>
      </c>
      <c r="D50" s="1">
        <v>1</v>
      </c>
      <c r="E50" s="1">
        <v>1</v>
      </c>
      <c r="F50" s="1">
        <v>15</v>
      </c>
      <c r="G50" s="1">
        <v>221</v>
      </c>
      <c r="H50" s="1">
        <v>221</v>
      </c>
      <c r="I50" s="1">
        <f t="shared" si="0"/>
        <v>0</v>
      </c>
    </row>
    <row r="51" spans="1:10" x14ac:dyDescent="0.25">
      <c r="C51" s="1">
        <v>3</v>
      </c>
      <c r="D51" s="1">
        <v>1</v>
      </c>
      <c r="E51" s="1">
        <v>1</v>
      </c>
      <c r="F51" s="1">
        <v>16</v>
      </c>
      <c r="G51" s="1">
        <v>221</v>
      </c>
      <c r="H51" s="1">
        <v>221</v>
      </c>
      <c r="I51" s="1">
        <f t="shared" si="0"/>
        <v>0</v>
      </c>
    </row>
    <row r="52" spans="1:10" x14ac:dyDescent="0.25">
      <c r="C52" s="1">
        <v>3</v>
      </c>
      <c r="D52" s="1">
        <v>1</v>
      </c>
      <c r="E52" s="1">
        <v>1</v>
      </c>
      <c r="F52" s="1">
        <v>17</v>
      </c>
      <c r="G52" s="1">
        <v>221</v>
      </c>
      <c r="H52" s="1">
        <v>263</v>
      </c>
      <c r="I52" s="1">
        <f t="shared" si="0"/>
        <v>42</v>
      </c>
    </row>
    <row r="53" spans="1:10" x14ac:dyDescent="0.25">
      <c r="C53" s="1">
        <v>3</v>
      </c>
      <c r="D53" s="1">
        <v>1</v>
      </c>
      <c r="E53" s="1">
        <v>1</v>
      </c>
      <c r="F53" s="1">
        <v>18</v>
      </c>
      <c r="G53" s="1">
        <v>268</v>
      </c>
      <c r="H53" s="1">
        <v>303</v>
      </c>
      <c r="I53" s="1">
        <f t="shared" si="0"/>
        <v>35</v>
      </c>
    </row>
    <row r="54" spans="1:10" x14ac:dyDescent="0.25">
      <c r="A54" s="5">
        <v>1</v>
      </c>
      <c r="B54" s="2">
        <v>43780</v>
      </c>
      <c r="C54" s="1">
        <v>4</v>
      </c>
      <c r="D54" s="1">
        <v>2</v>
      </c>
      <c r="E54" s="1">
        <v>1</v>
      </c>
      <c r="F54" s="1">
        <v>1</v>
      </c>
      <c r="G54" s="1">
        <v>0</v>
      </c>
      <c r="H54" s="1">
        <v>7</v>
      </c>
      <c r="I54" s="1">
        <f t="shared" si="0"/>
        <v>7</v>
      </c>
      <c r="J54" s="8">
        <f>(I54+I55+I56+I70+I69+I68+I62+I61+I63)/9</f>
        <v>8</v>
      </c>
    </row>
    <row r="55" spans="1:10" x14ac:dyDescent="0.25">
      <c r="C55" s="1">
        <v>4</v>
      </c>
      <c r="D55" s="1">
        <v>2</v>
      </c>
      <c r="E55" s="1">
        <v>1</v>
      </c>
      <c r="F55" s="1">
        <v>2</v>
      </c>
      <c r="G55" s="1">
        <v>7</v>
      </c>
      <c r="H55" s="1">
        <v>7</v>
      </c>
      <c r="I55" s="1">
        <f t="shared" si="0"/>
        <v>0</v>
      </c>
    </row>
    <row r="56" spans="1:10" x14ac:dyDescent="0.25">
      <c r="C56" s="1">
        <v>4</v>
      </c>
      <c r="D56" s="1">
        <v>2</v>
      </c>
      <c r="E56" s="1">
        <v>1</v>
      </c>
      <c r="F56" s="1">
        <v>3</v>
      </c>
      <c r="G56" s="1">
        <v>7</v>
      </c>
      <c r="H56" s="1">
        <v>21</v>
      </c>
      <c r="I56" s="1">
        <f t="shared" si="0"/>
        <v>14</v>
      </c>
    </row>
    <row r="57" spans="1:10" x14ac:dyDescent="0.25">
      <c r="C57" s="1">
        <v>4</v>
      </c>
      <c r="D57" s="1">
        <v>2</v>
      </c>
      <c r="E57" s="1">
        <v>1</v>
      </c>
      <c r="F57" s="1">
        <v>4</v>
      </c>
      <c r="G57" s="1">
        <v>21</v>
      </c>
      <c r="H57" s="1">
        <v>31</v>
      </c>
      <c r="I57" s="1">
        <f t="shared" si="0"/>
        <v>10</v>
      </c>
    </row>
    <row r="58" spans="1:10" x14ac:dyDescent="0.25">
      <c r="C58" s="1">
        <v>4</v>
      </c>
      <c r="D58" s="1">
        <v>2</v>
      </c>
      <c r="E58" s="1">
        <v>1</v>
      </c>
      <c r="F58" s="1">
        <v>5</v>
      </c>
      <c r="G58" s="1">
        <v>31</v>
      </c>
      <c r="H58" s="1">
        <v>55</v>
      </c>
      <c r="I58" s="1">
        <f t="shared" si="0"/>
        <v>24</v>
      </c>
    </row>
    <row r="59" spans="1:10" x14ac:dyDescent="0.25">
      <c r="C59" s="1">
        <v>4</v>
      </c>
      <c r="D59" s="1">
        <v>2</v>
      </c>
      <c r="E59" s="1">
        <v>1</v>
      </c>
      <c r="F59" s="1">
        <v>6</v>
      </c>
      <c r="G59" s="1">
        <v>55</v>
      </c>
      <c r="H59" s="1">
        <v>76</v>
      </c>
      <c r="I59" s="1">
        <f t="shared" si="0"/>
        <v>21</v>
      </c>
    </row>
    <row r="60" spans="1:10" x14ac:dyDescent="0.25">
      <c r="C60" s="1">
        <v>4</v>
      </c>
      <c r="D60" s="1">
        <v>2</v>
      </c>
      <c r="E60" s="1">
        <v>1</v>
      </c>
      <c r="F60" s="1">
        <v>7</v>
      </c>
      <c r="G60" s="1">
        <v>76</v>
      </c>
      <c r="H60" s="1">
        <v>112</v>
      </c>
      <c r="I60" s="1">
        <f t="shared" si="0"/>
        <v>36</v>
      </c>
    </row>
    <row r="61" spans="1:10" x14ac:dyDescent="0.25">
      <c r="C61" s="1">
        <v>4</v>
      </c>
      <c r="D61" s="1">
        <v>2</v>
      </c>
      <c r="E61" s="1">
        <v>1</v>
      </c>
      <c r="F61" s="1">
        <v>8</v>
      </c>
      <c r="G61" s="1">
        <v>113</v>
      </c>
      <c r="H61" s="1">
        <v>152</v>
      </c>
      <c r="I61" s="1">
        <f t="shared" si="0"/>
        <v>39</v>
      </c>
    </row>
    <row r="62" spans="1:10" x14ac:dyDescent="0.25">
      <c r="C62" s="1">
        <v>4</v>
      </c>
      <c r="D62" s="1">
        <v>2</v>
      </c>
      <c r="E62" s="1">
        <v>1</v>
      </c>
      <c r="F62" s="1">
        <v>9</v>
      </c>
      <c r="G62" s="1">
        <v>152</v>
      </c>
      <c r="H62" s="1">
        <v>164</v>
      </c>
      <c r="I62" s="1">
        <f t="shared" si="0"/>
        <v>12</v>
      </c>
    </row>
    <row r="63" spans="1:10" x14ac:dyDescent="0.25">
      <c r="C63" s="1">
        <v>4</v>
      </c>
      <c r="D63" s="1">
        <v>2</v>
      </c>
      <c r="E63" s="1">
        <v>1</v>
      </c>
      <c r="F63" s="1">
        <v>10</v>
      </c>
      <c r="G63" s="1">
        <v>164</v>
      </c>
      <c r="H63" s="1">
        <v>164</v>
      </c>
      <c r="I63" s="1">
        <f t="shared" si="0"/>
        <v>0</v>
      </c>
    </row>
    <row r="64" spans="1:10" x14ac:dyDescent="0.25">
      <c r="C64" s="1">
        <v>4</v>
      </c>
      <c r="D64" s="1">
        <v>2</v>
      </c>
      <c r="E64" s="1">
        <v>1</v>
      </c>
      <c r="F64" s="1">
        <v>11</v>
      </c>
      <c r="G64" s="1">
        <v>164</v>
      </c>
      <c r="H64" s="1">
        <v>164</v>
      </c>
      <c r="I64" s="1">
        <f t="shared" si="0"/>
        <v>0</v>
      </c>
    </row>
    <row r="65" spans="1:10" x14ac:dyDescent="0.25">
      <c r="C65" s="1">
        <v>4</v>
      </c>
      <c r="D65" s="1">
        <v>2</v>
      </c>
      <c r="E65" s="1">
        <v>1</v>
      </c>
      <c r="F65" s="1">
        <v>12</v>
      </c>
      <c r="G65" s="1">
        <v>164</v>
      </c>
      <c r="H65" s="1">
        <v>180</v>
      </c>
      <c r="I65" s="1">
        <f t="shared" si="0"/>
        <v>16</v>
      </c>
    </row>
    <row r="66" spans="1:10" x14ac:dyDescent="0.25">
      <c r="C66" s="1">
        <v>4</v>
      </c>
      <c r="D66" s="1">
        <v>2</v>
      </c>
      <c r="E66" s="1">
        <v>1</v>
      </c>
      <c r="F66" s="1">
        <v>13</v>
      </c>
      <c r="G66" s="1">
        <v>180</v>
      </c>
      <c r="H66" s="1">
        <v>193</v>
      </c>
      <c r="I66" s="1">
        <f t="shared" si="0"/>
        <v>13</v>
      </c>
    </row>
    <row r="67" spans="1:10" x14ac:dyDescent="0.25">
      <c r="C67" s="1">
        <v>4</v>
      </c>
      <c r="D67" s="1">
        <v>2</v>
      </c>
      <c r="E67" s="1">
        <v>1</v>
      </c>
      <c r="F67" s="1">
        <v>14</v>
      </c>
      <c r="G67" s="1">
        <v>193</v>
      </c>
      <c r="H67" s="1">
        <v>193</v>
      </c>
      <c r="I67" s="1">
        <f t="shared" si="0"/>
        <v>0</v>
      </c>
    </row>
    <row r="68" spans="1:10" x14ac:dyDescent="0.25">
      <c r="C68" s="1">
        <v>4</v>
      </c>
      <c r="D68" s="1">
        <v>2</v>
      </c>
      <c r="E68" s="1">
        <v>1</v>
      </c>
      <c r="F68" s="1">
        <v>15</v>
      </c>
      <c r="G68" s="1">
        <v>193</v>
      </c>
      <c r="H68" s="1">
        <v>193</v>
      </c>
      <c r="I68" s="1">
        <f t="shared" si="0"/>
        <v>0</v>
      </c>
    </row>
    <row r="69" spans="1:10" x14ac:dyDescent="0.25">
      <c r="C69" s="1">
        <v>4</v>
      </c>
      <c r="D69" s="1">
        <v>2</v>
      </c>
      <c r="E69" s="1">
        <v>1</v>
      </c>
      <c r="F69" s="1">
        <v>16</v>
      </c>
      <c r="G69" s="1">
        <v>193</v>
      </c>
      <c r="H69" s="1">
        <v>193</v>
      </c>
      <c r="I69" s="1">
        <f t="shared" si="0"/>
        <v>0</v>
      </c>
    </row>
    <row r="70" spans="1:10" x14ac:dyDescent="0.25">
      <c r="C70" s="1">
        <v>4</v>
      </c>
      <c r="D70" s="1">
        <v>2</v>
      </c>
      <c r="E70" s="1">
        <v>1</v>
      </c>
      <c r="F70" s="1">
        <v>17</v>
      </c>
      <c r="G70" s="1">
        <v>193</v>
      </c>
      <c r="H70" s="1">
        <v>193</v>
      </c>
      <c r="I70" s="1">
        <f t="shared" si="0"/>
        <v>0</v>
      </c>
    </row>
    <row r="71" spans="1:10" x14ac:dyDescent="0.25">
      <c r="A71" s="5">
        <v>1</v>
      </c>
      <c r="B71" s="2">
        <v>43784</v>
      </c>
      <c r="C71" s="1">
        <v>6</v>
      </c>
      <c r="D71" s="1">
        <v>1</v>
      </c>
      <c r="E71" s="1">
        <v>1</v>
      </c>
      <c r="F71" s="1">
        <v>1</v>
      </c>
      <c r="G71" s="1">
        <v>0</v>
      </c>
      <c r="H71" s="1">
        <v>44</v>
      </c>
      <c r="I71" s="1">
        <f t="shared" si="0"/>
        <v>44</v>
      </c>
      <c r="J71" s="8">
        <f>(I71+I72+I73+I88+I87+I86+I79+I80+I78)/9</f>
        <v>36.222222222222221</v>
      </c>
    </row>
    <row r="72" spans="1:10" x14ac:dyDescent="0.25">
      <c r="C72" s="1">
        <v>6</v>
      </c>
      <c r="D72" s="1">
        <v>1</v>
      </c>
      <c r="E72" s="1">
        <v>1</v>
      </c>
      <c r="F72" s="1">
        <v>2</v>
      </c>
      <c r="G72" s="1">
        <v>44</v>
      </c>
      <c r="H72" s="1">
        <v>73</v>
      </c>
      <c r="I72" s="1">
        <f t="shared" si="0"/>
        <v>29</v>
      </c>
    </row>
    <row r="73" spans="1:10" x14ac:dyDescent="0.25">
      <c r="C73" s="1">
        <v>6</v>
      </c>
      <c r="D73" s="1">
        <v>1</v>
      </c>
      <c r="E73" s="1">
        <v>1</v>
      </c>
      <c r="F73" s="1">
        <v>3</v>
      </c>
      <c r="G73" s="1">
        <v>73</v>
      </c>
      <c r="H73" s="1">
        <v>112</v>
      </c>
      <c r="I73" s="1">
        <f t="shared" si="0"/>
        <v>39</v>
      </c>
    </row>
    <row r="74" spans="1:10" x14ac:dyDescent="0.25">
      <c r="C74" s="1">
        <v>6</v>
      </c>
      <c r="D74" s="1">
        <v>1</v>
      </c>
      <c r="E74" s="1">
        <v>1</v>
      </c>
      <c r="F74" s="1">
        <v>4</v>
      </c>
      <c r="G74" s="1">
        <v>112</v>
      </c>
      <c r="H74" s="1">
        <v>131</v>
      </c>
      <c r="I74" s="1">
        <f t="shared" si="0"/>
        <v>19</v>
      </c>
    </row>
    <row r="75" spans="1:10" x14ac:dyDescent="0.25">
      <c r="C75" s="1">
        <v>6</v>
      </c>
      <c r="D75" s="1">
        <v>1</v>
      </c>
      <c r="E75" s="1">
        <v>1</v>
      </c>
      <c r="F75" s="1">
        <v>5</v>
      </c>
      <c r="G75" s="1">
        <v>131</v>
      </c>
      <c r="H75" s="1">
        <v>156</v>
      </c>
      <c r="I75" s="1">
        <f t="shared" si="0"/>
        <v>25</v>
      </c>
    </row>
    <row r="76" spans="1:10" x14ac:dyDescent="0.25">
      <c r="C76" s="1">
        <v>6</v>
      </c>
      <c r="D76" s="1">
        <v>1</v>
      </c>
      <c r="E76" s="1">
        <v>1</v>
      </c>
      <c r="F76" s="1">
        <v>6</v>
      </c>
      <c r="G76" s="1">
        <v>156</v>
      </c>
      <c r="H76" s="1">
        <v>182</v>
      </c>
      <c r="I76" s="1">
        <f t="shared" si="0"/>
        <v>26</v>
      </c>
    </row>
    <row r="77" spans="1:10" x14ac:dyDescent="0.25">
      <c r="C77" s="1">
        <v>6</v>
      </c>
      <c r="D77" s="1">
        <v>1</v>
      </c>
      <c r="E77" s="1">
        <v>1</v>
      </c>
      <c r="F77" s="1">
        <v>7</v>
      </c>
      <c r="G77" s="1">
        <v>182</v>
      </c>
      <c r="H77" s="1">
        <v>207</v>
      </c>
      <c r="I77" s="1">
        <f t="shared" si="0"/>
        <v>25</v>
      </c>
    </row>
    <row r="78" spans="1:10" x14ac:dyDescent="0.25">
      <c r="C78" s="1">
        <v>6</v>
      </c>
      <c r="D78" s="1">
        <v>1</v>
      </c>
      <c r="E78" s="1">
        <v>1</v>
      </c>
      <c r="F78" s="1">
        <v>8</v>
      </c>
      <c r="G78" s="1">
        <v>208</v>
      </c>
      <c r="H78" s="1">
        <v>244</v>
      </c>
      <c r="I78" s="1">
        <f t="shared" si="0"/>
        <v>36</v>
      </c>
    </row>
    <row r="79" spans="1:10" x14ac:dyDescent="0.25">
      <c r="C79" s="1">
        <v>6</v>
      </c>
      <c r="D79" s="1">
        <v>1</v>
      </c>
      <c r="E79" s="1">
        <v>1</v>
      </c>
      <c r="F79" s="1">
        <v>9</v>
      </c>
      <c r="G79" s="1">
        <v>244</v>
      </c>
      <c r="H79" s="1">
        <v>281</v>
      </c>
      <c r="I79" s="1">
        <f t="shared" si="0"/>
        <v>37</v>
      </c>
    </row>
    <row r="80" spans="1:10" x14ac:dyDescent="0.25">
      <c r="C80" s="1">
        <v>6</v>
      </c>
      <c r="D80" s="1">
        <v>1</v>
      </c>
      <c r="E80" s="1">
        <v>1</v>
      </c>
      <c r="F80" s="1">
        <v>10</v>
      </c>
      <c r="G80" s="1">
        <v>281</v>
      </c>
      <c r="H80" s="1">
        <v>320</v>
      </c>
      <c r="I80" s="1">
        <f t="shared" si="0"/>
        <v>39</v>
      </c>
    </row>
    <row r="81" spans="1:10" x14ac:dyDescent="0.25">
      <c r="C81" s="1">
        <v>6</v>
      </c>
      <c r="D81" s="1">
        <v>1</v>
      </c>
      <c r="E81" s="1">
        <v>1</v>
      </c>
      <c r="F81" s="1">
        <v>11</v>
      </c>
      <c r="G81" s="1">
        <v>320</v>
      </c>
      <c r="H81" s="1">
        <v>354</v>
      </c>
      <c r="I81" s="1">
        <f t="shared" si="0"/>
        <v>34</v>
      </c>
    </row>
    <row r="82" spans="1:10" x14ac:dyDescent="0.25">
      <c r="C82" s="1">
        <v>6</v>
      </c>
      <c r="D82" s="1">
        <v>1</v>
      </c>
      <c r="E82" s="1">
        <v>1</v>
      </c>
      <c r="F82" s="1">
        <v>12</v>
      </c>
      <c r="G82" s="1">
        <v>354</v>
      </c>
      <c r="H82" s="1">
        <v>389</v>
      </c>
      <c r="I82" s="1">
        <f t="shared" si="0"/>
        <v>35</v>
      </c>
    </row>
    <row r="83" spans="1:10" x14ac:dyDescent="0.25">
      <c r="C83" s="1">
        <v>6</v>
      </c>
      <c r="D83" s="1">
        <v>1</v>
      </c>
      <c r="E83" s="1">
        <v>1</v>
      </c>
      <c r="F83" s="1">
        <v>13</v>
      </c>
      <c r="G83" s="1">
        <v>389</v>
      </c>
      <c r="H83" s="1">
        <v>433</v>
      </c>
      <c r="I83" s="1">
        <f t="shared" si="0"/>
        <v>44</v>
      </c>
    </row>
    <row r="84" spans="1:10" x14ac:dyDescent="0.25">
      <c r="C84" s="1">
        <v>6</v>
      </c>
      <c r="D84" s="1">
        <v>1</v>
      </c>
      <c r="E84" s="1">
        <v>1</v>
      </c>
      <c r="F84" s="1">
        <v>14</v>
      </c>
      <c r="G84" s="1">
        <v>433</v>
      </c>
      <c r="H84" s="1">
        <v>475</v>
      </c>
      <c r="I84" s="1">
        <f t="shared" si="0"/>
        <v>42</v>
      </c>
    </row>
    <row r="85" spans="1:10" x14ac:dyDescent="0.25">
      <c r="C85" s="1">
        <v>6</v>
      </c>
      <c r="D85" s="1">
        <v>1</v>
      </c>
      <c r="E85" s="1">
        <v>1</v>
      </c>
      <c r="F85" s="1">
        <v>15</v>
      </c>
      <c r="G85" s="1">
        <v>476</v>
      </c>
      <c r="H85" s="1">
        <v>516</v>
      </c>
      <c r="I85" s="1">
        <f t="shared" si="0"/>
        <v>40</v>
      </c>
    </row>
    <row r="86" spans="1:10" x14ac:dyDescent="0.25">
      <c r="C86" s="1">
        <v>6</v>
      </c>
      <c r="D86" s="1">
        <v>1</v>
      </c>
      <c r="E86" s="1">
        <v>1</v>
      </c>
      <c r="F86" s="1">
        <v>16</v>
      </c>
      <c r="G86" s="1">
        <v>516</v>
      </c>
      <c r="H86" s="1">
        <v>539</v>
      </c>
      <c r="I86" s="1">
        <f t="shared" si="0"/>
        <v>23</v>
      </c>
    </row>
    <row r="87" spans="1:10" x14ac:dyDescent="0.25">
      <c r="C87" s="1">
        <v>6</v>
      </c>
      <c r="D87" s="1">
        <v>1</v>
      </c>
      <c r="E87" s="1">
        <v>1</v>
      </c>
      <c r="F87" s="1">
        <v>17</v>
      </c>
      <c r="G87" s="1">
        <v>541</v>
      </c>
      <c r="H87" s="1">
        <v>576</v>
      </c>
      <c r="I87" s="1">
        <f t="shared" si="0"/>
        <v>35</v>
      </c>
    </row>
    <row r="88" spans="1:10" x14ac:dyDescent="0.25">
      <c r="C88" s="1">
        <v>6</v>
      </c>
      <c r="D88" s="1">
        <v>1</v>
      </c>
      <c r="E88" s="1">
        <v>1</v>
      </c>
      <c r="F88" s="1">
        <v>18</v>
      </c>
      <c r="G88" s="1">
        <v>576</v>
      </c>
      <c r="H88" s="1">
        <v>620</v>
      </c>
      <c r="I88" s="1">
        <f t="shared" si="0"/>
        <v>44</v>
      </c>
    </row>
    <row r="89" spans="1:10" x14ac:dyDescent="0.25">
      <c r="A89" s="5">
        <v>1</v>
      </c>
      <c r="B89" s="2">
        <v>43782</v>
      </c>
      <c r="C89" s="1">
        <v>7</v>
      </c>
      <c r="D89" s="1">
        <v>1</v>
      </c>
      <c r="E89" s="1">
        <v>1</v>
      </c>
      <c r="F89" s="1">
        <v>1</v>
      </c>
      <c r="G89" s="1">
        <v>0</v>
      </c>
      <c r="H89" s="1">
        <v>7</v>
      </c>
      <c r="I89" s="1">
        <f t="shared" si="0"/>
        <v>7</v>
      </c>
      <c r="J89" s="8">
        <f>(I89+I90+I91+I102+I101+I100+I95+I96+I94)/9</f>
        <v>31.666666666666668</v>
      </c>
    </row>
    <row r="90" spans="1:10" x14ac:dyDescent="0.25">
      <c r="C90" s="1">
        <v>7</v>
      </c>
      <c r="D90" s="1">
        <v>1</v>
      </c>
      <c r="E90" s="1">
        <v>1</v>
      </c>
      <c r="F90" s="1">
        <v>2</v>
      </c>
      <c r="G90" s="1">
        <v>14</v>
      </c>
      <c r="H90" s="1">
        <v>78</v>
      </c>
      <c r="I90" s="1">
        <f t="shared" si="0"/>
        <v>64</v>
      </c>
    </row>
    <row r="91" spans="1:10" x14ac:dyDescent="0.25">
      <c r="C91" s="1">
        <v>7</v>
      </c>
      <c r="D91" s="1">
        <v>1</v>
      </c>
      <c r="E91" s="1">
        <v>1</v>
      </c>
      <c r="F91" s="1">
        <v>3</v>
      </c>
      <c r="G91" s="1">
        <v>78</v>
      </c>
      <c r="H91" s="1">
        <v>128</v>
      </c>
      <c r="I91" s="1">
        <f t="shared" si="0"/>
        <v>50</v>
      </c>
    </row>
    <row r="92" spans="1:10" x14ac:dyDescent="0.25">
      <c r="C92" s="1">
        <v>7</v>
      </c>
      <c r="D92" s="1">
        <v>1</v>
      </c>
      <c r="E92" s="1">
        <v>1</v>
      </c>
      <c r="F92" s="1">
        <v>4</v>
      </c>
      <c r="G92" s="1">
        <v>128</v>
      </c>
      <c r="H92" s="1">
        <v>149</v>
      </c>
      <c r="I92" s="1">
        <f t="shared" si="0"/>
        <v>21</v>
      </c>
    </row>
    <row r="93" spans="1:10" x14ac:dyDescent="0.25">
      <c r="C93" s="1">
        <v>7</v>
      </c>
      <c r="D93" s="1">
        <v>1</v>
      </c>
      <c r="E93" s="1">
        <v>1</v>
      </c>
      <c r="F93" s="1">
        <v>5</v>
      </c>
      <c r="G93" s="1">
        <v>159</v>
      </c>
      <c r="H93" s="1">
        <v>171</v>
      </c>
      <c r="I93" s="1">
        <f t="shared" si="0"/>
        <v>12</v>
      </c>
    </row>
    <row r="94" spans="1:10" x14ac:dyDescent="0.25">
      <c r="C94" s="1">
        <v>7</v>
      </c>
      <c r="D94" s="1">
        <v>1</v>
      </c>
      <c r="E94" s="1">
        <v>1</v>
      </c>
      <c r="F94" s="1">
        <v>6</v>
      </c>
      <c r="G94" s="1">
        <v>171</v>
      </c>
      <c r="H94" s="1">
        <v>173</v>
      </c>
      <c r="I94" s="1">
        <f t="shared" si="0"/>
        <v>2</v>
      </c>
    </row>
    <row r="95" spans="1:10" x14ac:dyDescent="0.25">
      <c r="C95" s="1">
        <v>7</v>
      </c>
      <c r="D95" s="1">
        <v>1</v>
      </c>
      <c r="E95" s="1">
        <v>1</v>
      </c>
      <c r="F95" s="1">
        <v>7</v>
      </c>
      <c r="G95" s="1">
        <v>179</v>
      </c>
      <c r="H95" s="1">
        <v>197</v>
      </c>
      <c r="I95" s="1">
        <f t="shared" si="0"/>
        <v>18</v>
      </c>
    </row>
    <row r="96" spans="1:10" x14ac:dyDescent="0.25">
      <c r="C96" s="1">
        <v>7</v>
      </c>
      <c r="D96" s="1">
        <v>1</v>
      </c>
      <c r="E96" s="1">
        <v>1</v>
      </c>
      <c r="F96" s="1">
        <v>8</v>
      </c>
      <c r="G96" s="1">
        <v>200</v>
      </c>
      <c r="H96" s="1">
        <v>200</v>
      </c>
      <c r="I96" s="1">
        <f t="shared" si="0"/>
        <v>0</v>
      </c>
    </row>
    <row r="97" spans="1:10" x14ac:dyDescent="0.25">
      <c r="C97" s="1">
        <v>7</v>
      </c>
      <c r="D97" s="1">
        <v>1</v>
      </c>
      <c r="E97" s="1">
        <v>1</v>
      </c>
      <c r="F97" s="1">
        <v>9</v>
      </c>
      <c r="G97" s="1">
        <v>200</v>
      </c>
      <c r="H97" s="1">
        <v>200</v>
      </c>
      <c r="I97" s="1">
        <f t="shared" si="0"/>
        <v>0</v>
      </c>
    </row>
    <row r="98" spans="1:10" x14ac:dyDescent="0.25">
      <c r="C98" s="1">
        <v>7</v>
      </c>
      <c r="D98" s="1">
        <v>1</v>
      </c>
      <c r="E98" s="1">
        <v>1</v>
      </c>
      <c r="F98" s="1">
        <v>10</v>
      </c>
      <c r="G98" s="1">
        <v>201</v>
      </c>
      <c r="H98" s="1">
        <v>227</v>
      </c>
      <c r="I98" s="1">
        <f t="shared" si="0"/>
        <v>26</v>
      </c>
    </row>
    <row r="99" spans="1:10" x14ac:dyDescent="0.25">
      <c r="C99" s="1">
        <v>7</v>
      </c>
      <c r="D99" s="1">
        <v>1</v>
      </c>
      <c r="E99" s="1">
        <v>1</v>
      </c>
      <c r="F99" s="1">
        <v>11</v>
      </c>
      <c r="G99" s="1">
        <v>227</v>
      </c>
      <c r="H99" s="1">
        <v>278</v>
      </c>
      <c r="I99" s="1">
        <f t="shared" si="0"/>
        <v>51</v>
      </c>
    </row>
    <row r="100" spans="1:10" x14ac:dyDescent="0.25">
      <c r="C100" s="1">
        <v>7</v>
      </c>
      <c r="D100" s="1">
        <v>1</v>
      </c>
      <c r="E100" s="1">
        <v>1</v>
      </c>
      <c r="F100" s="1">
        <v>12</v>
      </c>
      <c r="G100" s="1">
        <v>278</v>
      </c>
      <c r="H100" s="1">
        <v>308</v>
      </c>
      <c r="I100" s="1">
        <f t="shared" si="0"/>
        <v>30</v>
      </c>
    </row>
    <row r="101" spans="1:10" x14ac:dyDescent="0.25">
      <c r="C101" s="1">
        <v>7</v>
      </c>
      <c r="D101" s="1">
        <v>1</v>
      </c>
      <c r="E101" s="1">
        <v>1</v>
      </c>
      <c r="F101" s="1">
        <v>13</v>
      </c>
      <c r="G101" s="1">
        <v>311</v>
      </c>
      <c r="H101" s="1">
        <v>366</v>
      </c>
      <c r="I101" s="1">
        <f t="shared" si="0"/>
        <v>55</v>
      </c>
    </row>
    <row r="102" spans="1:10" x14ac:dyDescent="0.25">
      <c r="C102" s="1">
        <v>7</v>
      </c>
      <c r="D102" s="1">
        <v>1</v>
      </c>
      <c r="E102" s="1">
        <v>1</v>
      </c>
      <c r="F102" s="1">
        <v>14</v>
      </c>
      <c r="G102" s="1">
        <v>366</v>
      </c>
      <c r="H102" s="1">
        <v>425</v>
      </c>
      <c r="I102" s="1">
        <f t="shared" si="0"/>
        <v>59</v>
      </c>
    </row>
    <row r="103" spans="1:10" x14ac:dyDescent="0.25">
      <c r="A103" s="5">
        <v>2</v>
      </c>
      <c r="B103" s="2">
        <v>43787</v>
      </c>
      <c r="C103" s="1">
        <v>1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f t="shared" si="0"/>
        <v>0</v>
      </c>
      <c r="J103" s="8">
        <f>(I103+I104+I105+I113+I112+I111+I108+I109+I107)/9</f>
        <v>14.888888888888889</v>
      </c>
    </row>
    <row r="104" spans="1:10" x14ac:dyDescent="0.25">
      <c r="C104" s="1">
        <v>1</v>
      </c>
      <c r="D104" s="1">
        <v>1</v>
      </c>
      <c r="E104" s="1">
        <v>1</v>
      </c>
      <c r="F104" s="1">
        <v>2</v>
      </c>
      <c r="G104" s="1">
        <v>0</v>
      </c>
      <c r="H104" s="1">
        <v>0</v>
      </c>
      <c r="I104" s="1">
        <f t="shared" si="0"/>
        <v>0</v>
      </c>
    </row>
    <row r="105" spans="1:10" x14ac:dyDescent="0.25">
      <c r="C105" s="1">
        <v>1</v>
      </c>
      <c r="D105" s="1">
        <v>1</v>
      </c>
      <c r="E105" s="1">
        <v>1</v>
      </c>
      <c r="F105" s="1">
        <v>3</v>
      </c>
      <c r="G105" s="1">
        <v>0</v>
      </c>
      <c r="H105" s="1">
        <v>47</v>
      </c>
      <c r="I105" s="1">
        <f t="shared" si="0"/>
        <v>47</v>
      </c>
    </row>
    <row r="106" spans="1:10" x14ac:dyDescent="0.25">
      <c r="C106" s="1">
        <v>1</v>
      </c>
      <c r="D106" s="1">
        <v>1</v>
      </c>
      <c r="E106" s="1">
        <v>1</v>
      </c>
      <c r="F106" s="1">
        <v>4</v>
      </c>
      <c r="G106" s="1">
        <v>47</v>
      </c>
      <c r="H106" s="1">
        <v>82</v>
      </c>
      <c r="I106" s="1">
        <f t="shared" si="0"/>
        <v>35</v>
      </c>
    </row>
    <row r="107" spans="1:10" x14ac:dyDescent="0.25">
      <c r="C107" s="1">
        <v>1</v>
      </c>
      <c r="D107" s="1">
        <v>1</v>
      </c>
      <c r="E107" s="1">
        <v>1</v>
      </c>
      <c r="F107" s="1">
        <v>5</v>
      </c>
      <c r="G107" s="1">
        <v>82</v>
      </c>
      <c r="H107" s="1">
        <v>121</v>
      </c>
      <c r="I107" s="1">
        <f t="shared" si="0"/>
        <v>39</v>
      </c>
    </row>
    <row r="108" spans="1:10" x14ac:dyDescent="0.25">
      <c r="C108" s="1">
        <v>1</v>
      </c>
      <c r="D108" s="1">
        <v>1</v>
      </c>
      <c r="E108" s="1">
        <v>1</v>
      </c>
      <c r="F108" s="1">
        <v>6</v>
      </c>
      <c r="G108" s="1">
        <v>121</v>
      </c>
      <c r="H108" s="1">
        <v>159</v>
      </c>
      <c r="I108" s="1">
        <f t="shared" si="0"/>
        <v>38</v>
      </c>
    </row>
    <row r="109" spans="1:10" x14ac:dyDescent="0.25">
      <c r="C109" s="1">
        <v>1</v>
      </c>
      <c r="D109" s="1">
        <v>1</v>
      </c>
      <c r="E109" s="1">
        <v>1</v>
      </c>
      <c r="F109" s="1">
        <v>7</v>
      </c>
      <c r="G109" s="1">
        <v>159</v>
      </c>
      <c r="H109" s="1">
        <v>168</v>
      </c>
      <c r="I109" s="1">
        <f t="shared" si="0"/>
        <v>9</v>
      </c>
    </row>
    <row r="110" spans="1:10" x14ac:dyDescent="0.25">
      <c r="C110" s="1">
        <v>1</v>
      </c>
      <c r="D110" s="1">
        <v>1</v>
      </c>
      <c r="E110" s="1">
        <v>1</v>
      </c>
      <c r="F110" s="1">
        <v>8</v>
      </c>
      <c r="G110" s="1">
        <v>174</v>
      </c>
      <c r="H110" s="1">
        <v>211</v>
      </c>
      <c r="I110" s="1">
        <f t="shared" si="0"/>
        <v>37</v>
      </c>
    </row>
    <row r="111" spans="1:10" x14ac:dyDescent="0.25">
      <c r="C111" s="1">
        <v>1</v>
      </c>
      <c r="D111" s="1">
        <v>1</v>
      </c>
      <c r="E111" s="1">
        <v>1</v>
      </c>
      <c r="F111" s="1">
        <v>9</v>
      </c>
      <c r="G111" s="1">
        <v>212</v>
      </c>
      <c r="H111" s="1">
        <v>213</v>
      </c>
      <c r="I111" s="1">
        <f t="shared" si="0"/>
        <v>1</v>
      </c>
    </row>
    <row r="112" spans="1:10" x14ac:dyDescent="0.25">
      <c r="C112" s="1">
        <v>1</v>
      </c>
      <c r="D112" s="1">
        <v>1</v>
      </c>
      <c r="E112" s="1">
        <v>1</v>
      </c>
      <c r="F112" s="1">
        <v>10</v>
      </c>
      <c r="G112" s="1">
        <v>213</v>
      </c>
      <c r="H112" s="1">
        <v>213</v>
      </c>
      <c r="I112" s="1">
        <f t="shared" si="0"/>
        <v>0</v>
      </c>
    </row>
    <row r="113" spans="1:10" x14ac:dyDescent="0.25">
      <c r="C113" s="1">
        <v>1</v>
      </c>
      <c r="D113" s="1">
        <v>1</v>
      </c>
      <c r="E113" s="1">
        <v>1</v>
      </c>
      <c r="F113" s="1">
        <v>11</v>
      </c>
      <c r="G113" s="1">
        <v>213</v>
      </c>
      <c r="H113" s="1">
        <v>213</v>
      </c>
      <c r="I113" s="1">
        <f t="shared" si="0"/>
        <v>0</v>
      </c>
    </row>
    <row r="114" spans="1:10" x14ac:dyDescent="0.25">
      <c r="A114" s="5">
        <v>2</v>
      </c>
      <c r="B114" s="2">
        <v>43791</v>
      </c>
      <c r="C114" s="1">
        <v>2</v>
      </c>
      <c r="D114" s="1">
        <v>2</v>
      </c>
      <c r="E114" s="1">
        <v>1</v>
      </c>
      <c r="F114" s="1">
        <v>1</v>
      </c>
      <c r="G114" s="1">
        <v>0</v>
      </c>
      <c r="H114" s="1">
        <v>33</v>
      </c>
      <c r="I114" s="1">
        <f t="shared" si="0"/>
        <v>33</v>
      </c>
      <c r="J114" s="8">
        <f>(I114+I115+I117+I131+I130+I129+I124+I123+I122)/9</f>
        <v>34.111111111111114</v>
      </c>
    </row>
    <row r="115" spans="1:10" x14ac:dyDescent="0.25">
      <c r="C115" s="1">
        <v>2</v>
      </c>
      <c r="D115" s="1">
        <v>2</v>
      </c>
      <c r="E115" s="1">
        <v>1</v>
      </c>
      <c r="F115" s="1">
        <v>2</v>
      </c>
      <c r="G115" s="1">
        <v>33</v>
      </c>
      <c r="H115" s="1">
        <v>75</v>
      </c>
      <c r="I115" s="1">
        <f t="shared" si="0"/>
        <v>42</v>
      </c>
    </row>
    <row r="116" spans="1:10" x14ac:dyDescent="0.25">
      <c r="C116" s="1">
        <v>2</v>
      </c>
      <c r="D116" s="1">
        <v>2</v>
      </c>
      <c r="E116" s="1">
        <v>1</v>
      </c>
      <c r="F116" s="1">
        <v>3</v>
      </c>
      <c r="G116" s="1">
        <v>75</v>
      </c>
    </row>
    <row r="117" spans="1:10" x14ac:dyDescent="0.25">
      <c r="C117" s="1">
        <v>2</v>
      </c>
      <c r="D117" s="1">
        <v>2</v>
      </c>
      <c r="E117" s="1">
        <v>1</v>
      </c>
      <c r="F117" s="1">
        <v>4</v>
      </c>
      <c r="G117" s="1">
        <v>153</v>
      </c>
      <c r="H117" s="1">
        <v>191</v>
      </c>
      <c r="I117" s="1">
        <f t="shared" ref="I117:I371" si="1">H117-G117</f>
        <v>38</v>
      </c>
    </row>
    <row r="118" spans="1:10" x14ac:dyDescent="0.25">
      <c r="C118" s="1">
        <v>2</v>
      </c>
      <c r="D118" s="1">
        <v>2</v>
      </c>
      <c r="E118" s="1">
        <v>1</v>
      </c>
      <c r="F118" s="1">
        <v>5</v>
      </c>
      <c r="G118" s="1">
        <v>192</v>
      </c>
      <c r="H118" s="1">
        <v>225</v>
      </c>
      <c r="I118" s="1">
        <f t="shared" si="1"/>
        <v>33</v>
      </c>
    </row>
    <row r="119" spans="1:10" x14ac:dyDescent="0.25">
      <c r="C119" s="1">
        <v>2</v>
      </c>
      <c r="D119" s="1">
        <v>2</v>
      </c>
      <c r="E119" s="1">
        <v>1</v>
      </c>
      <c r="F119" s="1">
        <v>6</v>
      </c>
      <c r="G119" s="1">
        <v>225</v>
      </c>
      <c r="H119" s="1">
        <v>260</v>
      </c>
      <c r="I119" s="1">
        <f t="shared" si="1"/>
        <v>35</v>
      </c>
    </row>
    <row r="120" spans="1:10" x14ac:dyDescent="0.25">
      <c r="C120" s="1">
        <v>2</v>
      </c>
      <c r="D120" s="1">
        <v>2</v>
      </c>
      <c r="E120" s="1">
        <v>1</v>
      </c>
      <c r="F120" s="1">
        <v>7</v>
      </c>
      <c r="G120" s="1">
        <v>262</v>
      </c>
      <c r="H120" s="1">
        <v>302</v>
      </c>
      <c r="I120" s="1">
        <f t="shared" si="1"/>
        <v>40</v>
      </c>
    </row>
    <row r="121" spans="1:10" x14ac:dyDescent="0.25">
      <c r="C121" s="1">
        <v>2</v>
      </c>
      <c r="D121" s="1">
        <v>2</v>
      </c>
      <c r="E121" s="1">
        <v>1</v>
      </c>
      <c r="F121" s="1">
        <v>8</v>
      </c>
      <c r="G121" s="1">
        <v>302</v>
      </c>
      <c r="H121" s="1">
        <v>334</v>
      </c>
      <c r="I121" s="1">
        <f t="shared" si="1"/>
        <v>32</v>
      </c>
    </row>
    <row r="122" spans="1:10" x14ac:dyDescent="0.25">
      <c r="C122" s="1">
        <v>2</v>
      </c>
      <c r="D122" s="1">
        <v>2</v>
      </c>
      <c r="E122" s="1">
        <v>1</v>
      </c>
      <c r="F122" s="1">
        <v>9</v>
      </c>
      <c r="G122" s="1">
        <v>334</v>
      </c>
      <c r="H122" s="1">
        <v>370</v>
      </c>
      <c r="I122" s="1">
        <f t="shared" si="1"/>
        <v>36</v>
      </c>
    </row>
    <row r="123" spans="1:10" x14ac:dyDescent="0.25">
      <c r="C123" s="1">
        <v>2</v>
      </c>
      <c r="D123" s="1">
        <v>2</v>
      </c>
      <c r="E123" s="1">
        <v>1</v>
      </c>
      <c r="F123" s="1">
        <v>10</v>
      </c>
      <c r="G123" s="1">
        <v>370</v>
      </c>
      <c r="H123" s="1">
        <v>370</v>
      </c>
      <c r="I123" s="1">
        <f t="shared" si="1"/>
        <v>0</v>
      </c>
    </row>
    <row r="124" spans="1:10" x14ac:dyDescent="0.25">
      <c r="C124" s="1">
        <v>2</v>
      </c>
      <c r="D124" s="1">
        <v>2</v>
      </c>
      <c r="E124" s="1">
        <v>1</v>
      </c>
      <c r="F124" s="1">
        <v>11</v>
      </c>
      <c r="G124" s="1">
        <v>370</v>
      </c>
      <c r="H124" s="1">
        <v>412</v>
      </c>
      <c r="I124" s="1">
        <f t="shared" si="1"/>
        <v>42</v>
      </c>
    </row>
    <row r="125" spans="1:10" x14ac:dyDescent="0.25">
      <c r="C125" s="1">
        <v>2</v>
      </c>
      <c r="D125" s="1">
        <v>2</v>
      </c>
      <c r="E125" s="1">
        <v>1</v>
      </c>
      <c r="F125" s="1">
        <v>12</v>
      </c>
      <c r="G125" s="1">
        <v>414</v>
      </c>
      <c r="H125" s="1">
        <v>451</v>
      </c>
      <c r="I125" s="1">
        <f t="shared" si="1"/>
        <v>37</v>
      </c>
    </row>
    <row r="126" spans="1:10" x14ac:dyDescent="0.25">
      <c r="C126" s="1">
        <v>2</v>
      </c>
      <c r="D126" s="1">
        <v>2</v>
      </c>
      <c r="E126" s="1">
        <v>1</v>
      </c>
      <c r="F126" s="1">
        <v>13</v>
      </c>
      <c r="G126" s="1">
        <v>451</v>
      </c>
      <c r="H126" s="1">
        <v>493</v>
      </c>
      <c r="I126" s="1">
        <f t="shared" si="1"/>
        <v>42</v>
      </c>
    </row>
    <row r="127" spans="1:10" x14ac:dyDescent="0.25">
      <c r="C127" s="1">
        <v>2</v>
      </c>
      <c r="D127" s="1">
        <v>2</v>
      </c>
      <c r="E127" s="1">
        <v>1</v>
      </c>
      <c r="F127" s="1">
        <v>14</v>
      </c>
      <c r="G127" s="1">
        <v>493</v>
      </c>
      <c r="H127" s="1">
        <v>538</v>
      </c>
      <c r="I127" s="1">
        <f t="shared" si="1"/>
        <v>45</v>
      </c>
    </row>
    <row r="128" spans="1:10" x14ac:dyDescent="0.25">
      <c r="C128" s="1">
        <v>2</v>
      </c>
      <c r="D128" s="1">
        <v>2</v>
      </c>
      <c r="E128" s="1">
        <v>1</v>
      </c>
      <c r="F128" s="1">
        <v>15</v>
      </c>
      <c r="G128" s="1">
        <v>538</v>
      </c>
      <c r="H128" s="1">
        <v>564</v>
      </c>
      <c r="I128" s="1">
        <f t="shared" si="1"/>
        <v>26</v>
      </c>
    </row>
    <row r="129" spans="1:10" x14ac:dyDescent="0.25">
      <c r="C129" s="1">
        <v>2</v>
      </c>
      <c r="D129" s="1">
        <v>2</v>
      </c>
      <c r="E129" s="1">
        <v>1</v>
      </c>
      <c r="F129" s="1">
        <v>16</v>
      </c>
      <c r="G129" s="1">
        <v>564</v>
      </c>
      <c r="H129" s="1">
        <v>596</v>
      </c>
      <c r="I129" s="1">
        <f t="shared" si="1"/>
        <v>32</v>
      </c>
    </row>
    <row r="130" spans="1:10" x14ac:dyDescent="0.25">
      <c r="C130" s="1">
        <v>2</v>
      </c>
      <c r="D130" s="1">
        <v>2</v>
      </c>
      <c r="E130" s="1">
        <v>1</v>
      </c>
      <c r="F130" s="1">
        <v>17</v>
      </c>
      <c r="G130" s="1">
        <v>596</v>
      </c>
      <c r="H130" s="1">
        <v>643</v>
      </c>
      <c r="I130" s="1">
        <f t="shared" si="1"/>
        <v>47</v>
      </c>
    </row>
    <row r="131" spans="1:10" x14ac:dyDescent="0.25">
      <c r="C131" s="1">
        <v>2</v>
      </c>
      <c r="D131" s="1">
        <v>2</v>
      </c>
      <c r="E131" s="1">
        <v>1</v>
      </c>
      <c r="F131" s="1">
        <v>18</v>
      </c>
      <c r="G131" s="1">
        <v>645</v>
      </c>
      <c r="H131" s="1">
        <v>682</v>
      </c>
      <c r="I131" s="1">
        <f t="shared" si="1"/>
        <v>37</v>
      </c>
    </row>
    <row r="132" spans="1:10" x14ac:dyDescent="0.25">
      <c r="A132" s="5">
        <v>2</v>
      </c>
      <c r="B132" s="2">
        <v>43789</v>
      </c>
      <c r="C132" s="1">
        <v>3</v>
      </c>
      <c r="D132" s="1">
        <v>1</v>
      </c>
      <c r="E132" s="1">
        <v>1</v>
      </c>
      <c r="F132" s="1">
        <v>1</v>
      </c>
      <c r="G132" s="1">
        <v>0</v>
      </c>
      <c r="H132" s="1">
        <v>41</v>
      </c>
      <c r="I132" s="1">
        <f t="shared" si="1"/>
        <v>41</v>
      </c>
      <c r="J132" s="8">
        <f>(I132+I133+I134+I149+I148+I147+I140+I141+I139)/9</f>
        <v>35.444444444444443</v>
      </c>
    </row>
    <row r="133" spans="1:10" x14ac:dyDescent="0.25">
      <c r="C133" s="1">
        <v>3</v>
      </c>
      <c r="D133" s="1">
        <v>1</v>
      </c>
      <c r="E133" s="1">
        <v>1</v>
      </c>
      <c r="F133" s="1">
        <v>2</v>
      </c>
      <c r="G133" s="1">
        <v>41</v>
      </c>
      <c r="H133" s="1">
        <v>86</v>
      </c>
      <c r="I133" s="1">
        <f t="shared" si="1"/>
        <v>45</v>
      </c>
    </row>
    <row r="134" spans="1:10" x14ac:dyDescent="0.25">
      <c r="C134" s="1">
        <v>3</v>
      </c>
      <c r="D134" s="1">
        <v>1</v>
      </c>
      <c r="E134" s="1">
        <v>1</v>
      </c>
      <c r="F134" s="1">
        <v>3</v>
      </c>
      <c r="G134" s="1">
        <v>86</v>
      </c>
      <c r="H134" s="1">
        <v>138</v>
      </c>
      <c r="I134" s="1">
        <f t="shared" si="1"/>
        <v>52</v>
      </c>
    </row>
    <row r="135" spans="1:10" x14ac:dyDescent="0.25">
      <c r="C135" s="1">
        <v>3</v>
      </c>
      <c r="D135" s="1">
        <v>1</v>
      </c>
      <c r="E135" s="1">
        <v>1</v>
      </c>
      <c r="F135" s="1">
        <v>4</v>
      </c>
      <c r="G135" s="1">
        <v>144</v>
      </c>
      <c r="H135" s="1">
        <v>180</v>
      </c>
      <c r="I135" s="1">
        <f t="shared" si="1"/>
        <v>36</v>
      </c>
    </row>
    <row r="136" spans="1:10" x14ac:dyDescent="0.25">
      <c r="C136" s="1">
        <v>3</v>
      </c>
      <c r="D136" s="1">
        <v>1</v>
      </c>
      <c r="E136" s="1">
        <v>1</v>
      </c>
      <c r="F136" s="1">
        <v>5</v>
      </c>
      <c r="G136" s="1">
        <v>180</v>
      </c>
      <c r="H136" s="1">
        <v>222</v>
      </c>
      <c r="I136" s="1">
        <f t="shared" si="1"/>
        <v>42</v>
      </c>
    </row>
    <row r="137" spans="1:10" x14ac:dyDescent="0.25">
      <c r="C137" s="1">
        <v>3</v>
      </c>
      <c r="D137" s="1">
        <v>1</v>
      </c>
      <c r="E137" s="1">
        <v>1</v>
      </c>
      <c r="F137" s="1">
        <v>6</v>
      </c>
      <c r="G137" s="1">
        <v>225</v>
      </c>
      <c r="H137" s="1">
        <v>247</v>
      </c>
      <c r="I137" s="1">
        <f t="shared" si="1"/>
        <v>22</v>
      </c>
    </row>
    <row r="138" spans="1:10" x14ac:dyDescent="0.25">
      <c r="C138" s="1">
        <v>3</v>
      </c>
      <c r="D138" s="1">
        <v>1</v>
      </c>
      <c r="E138" s="1">
        <v>1</v>
      </c>
      <c r="F138" s="1">
        <v>7</v>
      </c>
      <c r="G138" s="1">
        <v>247</v>
      </c>
      <c r="H138" s="1">
        <v>292</v>
      </c>
      <c r="I138" s="1">
        <f t="shared" si="1"/>
        <v>45</v>
      </c>
    </row>
    <row r="139" spans="1:10" x14ac:dyDescent="0.25">
      <c r="C139" s="1">
        <v>3</v>
      </c>
      <c r="D139" s="1">
        <v>1</v>
      </c>
      <c r="E139" s="1">
        <v>1</v>
      </c>
      <c r="F139" s="1">
        <v>8</v>
      </c>
      <c r="G139" s="1">
        <v>294</v>
      </c>
      <c r="H139" s="1">
        <v>336</v>
      </c>
      <c r="I139" s="1">
        <f t="shared" si="1"/>
        <v>42</v>
      </c>
    </row>
    <row r="140" spans="1:10" x14ac:dyDescent="0.25">
      <c r="C140" s="1">
        <v>3</v>
      </c>
      <c r="D140" s="1">
        <v>1</v>
      </c>
      <c r="E140" s="1">
        <v>1</v>
      </c>
      <c r="F140" s="1">
        <v>9</v>
      </c>
      <c r="G140" s="1">
        <v>337</v>
      </c>
      <c r="H140" s="1">
        <v>374</v>
      </c>
      <c r="I140" s="1">
        <f t="shared" si="1"/>
        <v>37</v>
      </c>
    </row>
    <row r="141" spans="1:10" x14ac:dyDescent="0.25">
      <c r="C141" s="1">
        <v>3</v>
      </c>
      <c r="D141" s="1">
        <v>1</v>
      </c>
      <c r="E141" s="1">
        <v>1</v>
      </c>
      <c r="F141" s="1">
        <v>10</v>
      </c>
      <c r="G141" s="1">
        <v>374</v>
      </c>
      <c r="H141" s="1">
        <v>394</v>
      </c>
      <c r="I141" s="1">
        <f t="shared" si="1"/>
        <v>20</v>
      </c>
    </row>
    <row r="142" spans="1:10" x14ac:dyDescent="0.25">
      <c r="C142" s="1">
        <v>3</v>
      </c>
      <c r="D142" s="1">
        <v>1</v>
      </c>
      <c r="E142" s="1">
        <v>1</v>
      </c>
      <c r="F142" s="1">
        <v>11</v>
      </c>
      <c r="G142" s="1">
        <v>394</v>
      </c>
      <c r="H142" s="1">
        <v>423</v>
      </c>
      <c r="I142" s="1">
        <f t="shared" si="1"/>
        <v>29</v>
      </c>
    </row>
    <row r="143" spans="1:10" x14ac:dyDescent="0.25">
      <c r="C143" s="1">
        <v>3</v>
      </c>
      <c r="D143" s="1">
        <v>1</v>
      </c>
      <c r="E143" s="1">
        <v>1</v>
      </c>
      <c r="F143" s="1">
        <v>12</v>
      </c>
      <c r="G143" s="1">
        <v>423</v>
      </c>
      <c r="H143" s="1">
        <v>462</v>
      </c>
      <c r="I143" s="1">
        <f t="shared" si="1"/>
        <v>39</v>
      </c>
    </row>
    <row r="144" spans="1:10" x14ac:dyDescent="0.25">
      <c r="C144" s="1">
        <v>3</v>
      </c>
      <c r="D144" s="1">
        <v>1</v>
      </c>
      <c r="E144" s="1">
        <v>1</v>
      </c>
      <c r="F144" s="1">
        <v>13</v>
      </c>
      <c r="G144" s="1">
        <v>462</v>
      </c>
      <c r="H144" s="1">
        <v>484</v>
      </c>
      <c r="I144" s="1">
        <f t="shared" si="1"/>
        <v>22</v>
      </c>
    </row>
    <row r="145" spans="1:10" x14ac:dyDescent="0.25">
      <c r="C145" s="1">
        <v>3</v>
      </c>
      <c r="D145" s="1">
        <v>1</v>
      </c>
      <c r="E145" s="1">
        <v>1</v>
      </c>
      <c r="F145" s="1">
        <v>14</v>
      </c>
      <c r="G145" s="1">
        <v>484</v>
      </c>
      <c r="H145" s="1">
        <v>524</v>
      </c>
      <c r="I145" s="1">
        <f t="shared" si="1"/>
        <v>40</v>
      </c>
    </row>
    <row r="146" spans="1:10" x14ac:dyDescent="0.25">
      <c r="C146" s="1">
        <v>3</v>
      </c>
      <c r="D146" s="1">
        <v>1</v>
      </c>
      <c r="E146" s="1">
        <v>1</v>
      </c>
      <c r="F146" s="1">
        <v>15</v>
      </c>
      <c r="G146" s="1">
        <v>526</v>
      </c>
      <c r="H146" s="1">
        <v>561</v>
      </c>
      <c r="I146" s="1">
        <f t="shared" si="1"/>
        <v>35</v>
      </c>
    </row>
    <row r="147" spans="1:10" x14ac:dyDescent="0.25">
      <c r="C147" s="1">
        <v>3</v>
      </c>
      <c r="D147" s="1">
        <v>1</v>
      </c>
      <c r="E147" s="1">
        <v>1</v>
      </c>
      <c r="F147" s="1">
        <v>16</v>
      </c>
      <c r="G147" s="1">
        <v>561</v>
      </c>
      <c r="H147" s="1">
        <v>582</v>
      </c>
      <c r="I147" s="1">
        <f t="shared" si="1"/>
        <v>21</v>
      </c>
    </row>
    <row r="148" spans="1:10" x14ac:dyDescent="0.25">
      <c r="C148" s="1">
        <v>3</v>
      </c>
      <c r="D148" s="1">
        <v>1</v>
      </c>
      <c r="E148" s="1">
        <v>1</v>
      </c>
      <c r="F148" s="1">
        <v>17</v>
      </c>
      <c r="G148" s="1">
        <v>582</v>
      </c>
      <c r="H148" s="1">
        <v>624</v>
      </c>
      <c r="I148" s="1">
        <f t="shared" si="1"/>
        <v>42</v>
      </c>
    </row>
    <row r="149" spans="1:10" x14ac:dyDescent="0.25">
      <c r="C149" s="1">
        <v>3</v>
      </c>
      <c r="D149" s="1">
        <v>1</v>
      </c>
      <c r="E149" s="1">
        <v>1</v>
      </c>
      <c r="F149" s="1">
        <v>18</v>
      </c>
      <c r="G149" s="1">
        <v>628</v>
      </c>
      <c r="H149" s="1">
        <v>647</v>
      </c>
      <c r="I149" s="1">
        <f t="shared" si="1"/>
        <v>19</v>
      </c>
    </row>
    <row r="150" spans="1:10" x14ac:dyDescent="0.25">
      <c r="A150" s="5">
        <v>2</v>
      </c>
      <c r="B150" s="2">
        <v>43787</v>
      </c>
      <c r="C150" s="1">
        <v>4</v>
      </c>
      <c r="D150" s="1">
        <v>2</v>
      </c>
      <c r="E150" s="1">
        <v>1</v>
      </c>
      <c r="F150" s="1">
        <v>1</v>
      </c>
      <c r="G150" s="1">
        <v>0</v>
      </c>
      <c r="H150" s="1">
        <v>36</v>
      </c>
      <c r="I150" s="1">
        <f t="shared" si="1"/>
        <v>36</v>
      </c>
      <c r="J150" s="8">
        <f>(I150+I151+I152+I161+I160+I159+I155+I156+I154)/9</f>
        <v>28.555555555555557</v>
      </c>
    </row>
    <row r="151" spans="1:10" x14ac:dyDescent="0.25">
      <c r="C151" s="1">
        <v>4</v>
      </c>
      <c r="D151" s="1">
        <v>2</v>
      </c>
      <c r="E151" s="1">
        <v>1</v>
      </c>
      <c r="F151" s="1">
        <v>2</v>
      </c>
      <c r="G151" s="1">
        <v>36</v>
      </c>
      <c r="H151" s="1">
        <v>36</v>
      </c>
      <c r="I151" s="1">
        <f t="shared" si="1"/>
        <v>0</v>
      </c>
    </row>
    <row r="152" spans="1:10" x14ac:dyDescent="0.25">
      <c r="C152" s="1">
        <v>4</v>
      </c>
      <c r="D152" s="1">
        <v>2</v>
      </c>
      <c r="E152" s="1">
        <v>1</v>
      </c>
      <c r="F152" s="1">
        <v>3</v>
      </c>
      <c r="G152" s="1">
        <v>36</v>
      </c>
      <c r="H152" s="1">
        <v>64</v>
      </c>
      <c r="I152" s="1">
        <f t="shared" si="1"/>
        <v>28</v>
      </c>
    </row>
    <row r="153" spans="1:10" x14ac:dyDescent="0.25">
      <c r="C153" s="1">
        <v>4</v>
      </c>
      <c r="D153" s="1">
        <v>2</v>
      </c>
      <c r="E153" s="1">
        <v>1</v>
      </c>
      <c r="F153" s="1">
        <v>4</v>
      </c>
      <c r="G153" s="1">
        <v>64</v>
      </c>
      <c r="H153" s="1">
        <v>84</v>
      </c>
      <c r="I153" s="1">
        <f t="shared" si="1"/>
        <v>20</v>
      </c>
    </row>
    <row r="154" spans="1:10" x14ac:dyDescent="0.25">
      <c r="C154" s="1">
        <v>4</v>
      </c>
      <c r="D154" s="1">
        <v>2</v>
      </c>
      <c r="E154" s="1">
        <v>1</v>
      </c>
      <c r="F154" s="1">
        <v>5</v>
      </c>
      <c r="G154" s="1">
        <v>85</v>
      </c>
      <c r="H154" s="1">
        <v>118</v>
      </c>
      <c r="I154" s="1">
        <f t="shared" si="1"/>
        <v>33</v>
      </c>
    </row>
    <row r="155" spans="1:10" x14ac:dyDescent="0.25">
      <c r="C155" s="1">
        <v>4</v>
      </c>
      <c r="D155" s="1">
        <v>2</v>
      </c>
      <c r="E155" s="1">
        <v>1</v>
      </c>
      <c r="F155" s="1">
        <v>6</v>
      </c>
      <c r="G155" s="1">
        <v>118</v>
      </c>
      <c r="H155" s="1">
        <v>146</v>
      </c>
      <c r="I155" s="1">
        <f t="shared" si="1"/>
        <v>28</v>
      </c>
    </row>
    <row r="156" spans="1:10" x14ac:dyDescent="0.25">
      <c r="C156" s="1">
        <v>4</v>
      </c>
      <c r="D156" s="1">
        <v>2</v>
      </c>
      <c r="E156" s="1">
        <v>1</v>
      </c>
      <c r="F156" s="1">
        <v>7</v>
      </c>
      <c r="G156" s="1">
        <v>146</v>
      </c>
      <c r="H156" s="1">
        <v>178</v>
      </c>
      <c r="I156" s="1">
        <f t="shared" si="1"/>
        <v>32</v>
      </c>
    </row>
    <row r="157" spans="1:10" x14ac:dyDescent="0.25">
      <c r="C157" s="1">
        <v>4</v>
      </c>
      <c r="D157" s="1">
        <v>2</v>
      </c>
      <c r="E157" s="1">
        <v>1</v>
      </c>
      <c r="F157" s="1">
        <v>8</v>
      </c>
      <c r="G157" s="1">
        <v>178</v>
      </c>
      <c r="H157" s="1">
        <v>185</v>
      </c>
      <c r="I157" s="1">
        <f t="shared" si="1"/>
        <v>7</v>
      </c>
    </row>
    <row r="158" spans="1:10" x14ac:dyDescent="0.25">
      <c r="C158" s="1">
        <v>4</v>
      </c>
      <c r="D158" s="1">
        <v>2</v>
      </c>
      <c r="E158" s="1">
        <v>1</v>
      </c>
      <c r="F158" s="1">
        <v>9</v>
      </c>
      <c r="G158" s="1">
        <v>189</v>
      </c>
      <c r="H158" s="1">
        <v>227</v>
      </c>
      <c r="I158" s="1">
        <f t="shared" si="1"/>
        <v>38</v>
      </c>
    </row>
    <row r="159" spans="1:10" x14ac:dyDescent="0.25">
      <c r="C159" s="1">
        <v>4</v>
      </c>
      <c r="D159" s="1">
        <v>2</v>
      </c>
      <c r="E159" s="1">
        <v>1</v>
      </c>
      <c r="F159" s="1">
        <v>10</v>
      </c>
      <c r="G159" s="1">
        <v>227</v>
      </c>
      <c r="H159" s="1">
        <v>263</v>
      </c>
      <c r="I159" s="1">
        <f t="shared" si="1"/>
        <v>36</v>
      </c>
    </row>
    <row r="160" spans="1:10" x14ac:dyDescent="0.25">
      <c r="C160" s="1">
        <v>4</v>
      </c>
      <c r="D160" s="1">
        <v>2</v>
      </c>
      <c r="E160" s="1">
        <v>1</v>
      </c>
      <c r="F160" s="1">
        <v>11</v>
      </c>
      <c r="G160" s="1">
        <v>263</v>
      </c>
      <c r="H160" s="1">
        <v>286</v>
      </c>
      <c r="I160" s="1">
        <f t="shared" si="1"/>
        <v>23</v>
      </c>
    </row>
    <row r="161" spans="1:10" x14ac:dyDescent="0.25">
      <c r="C161" s="1">
        <v>4</v>
      </c>
      <c r="D161" s="1">
        <v>2</v>
      </c>
      <c r="E161" s="1">
        <v>1</v>
      </c>
      <c r="F161" s="1">
        <v>12</v>
      </c>
      <c r="G161" s="1">
        <v>288</v>
      </c>
      <c r="H161" s="1">
        <v>329</v>
      </c>
      <c r="I161" s="1">
        <f t="shared" si="1"/>
        <v>41</v>
      </c>
    </row>
    <row r="162" spans="1:10" x14ac:dyDescent="0.25">
      <c r="A162" s="5">
        <v>2</v>
      </c>
      <c r="B162" s="2">
        <v>43791</v>
      </c>
      <c r="C162" s="1">
        <v>6</v>
      </c>
      <c r="D162" s="1">
        <v>1</v>
      </c>
      <c r="E162" s="1">
        <v>1</v>
      </c>
      <c r="F162" s="1">
        <v>1</v>
      </c>
      <c r="G162" s="1">
        <v>1</v>
      </c>
      <c r="H162" s="1">
        <v>25</v>
      </c>
      <c r="I162" s="1">
        <f t="shared" si="1"/>
        <v>24</v>
      </c>
      <c r="J162" s="8">
        <f>(I162+I163+I164+I180+I179+I178+I171+I172+I170)/9</f>
        <v>29.666666666666668</v>
      </c>
    </row>
    <row r="163" spans="1:10" x14ac:dyDescent="0.25">
      <c r="C163" s="1">
        <v>6</v>
      </c>
      <c r="D163" s="1">
        <v>1</v>
      </c>
      <c r="E163" s="1">
        <v>1</v>
      </c>
      <c r="F163" s="1">
        <v>2</v>
      </c>
      <c r="G163" s="1">
        <v>27</v>
      </c>
      <c r="H163" s="1">
        <v>75</v>
      </c>
      <c r="I163" s="1">
        <f t="shared" si="1"/>
        <v>48</v>
      </c>
    </row>
    <row r="164" spans="1:10" x14ac:dyDescent="0.25">
      <c r="C164" s="1">
        <v>6</v>
      </c>
      <c r="D164" s="1">
        <v>1</v>
      </c>
      <c r="E164" s="1">
        <v>1</v>
      </c>
      <c r="F164" s="1">
        <v>3</v>
      </c>
      <c r="G164" s="1">
        <v>76</v>
      </c>
      <c r="H164" s="1">
        <v>115</v>
      </c>
      <c r="I164" s="1">
        <f t="shared" si="1"/>
        <v>39</v>
      </c>
    </row>
    <row r="165" spans="1:10" x14ac:dyDescent="0.25">
      <c r="C165" s="1">
        <v>6</v>
      </c>
      <c r="D165" s="1">
        <v>1</v>
      </c>
      <c r="E165" s="1">
        <v>1</v>
      </c>
      <c r="F165" s="1">
        <v>4</v>
      </c>
      <c r="G165" s="1">
        <v>115</v>
      </c>
      <c r="H165" s="1">
        <v>142</v>
      </c>
      <c r="I165" s="1">
        <f t="shared" si="1"/>
        <v>27</v>
      </c>
    </row>
    <row r="166" spans="1:10" x14ac:dyDescent="0.25">
      <c r="C166" s="1">
        <v>6</v>
      </c>
      <c r="D166" s="1">
        <v>1</v>
      </c>
      <c r="E166" s="1">
        <v>1</v>
      </c>
      <c r="F166" s="1">
        <v>5</v>
      </c>
      <c r="G166" s="1">
        <v>142</v>
      </c>
      <c r="H166" s="1">
        <v>166</v>
      </c>
      <c r="I166" s="1">
        <f t="shared" si="1"/>
        <v>24</v>
      </c>
    </row>
    <row r="167" spans="1:10" x14ac:dyDescent="0.25">
      <c r="C167" s="1">
        <v>6</v>
      </c>
      <c r="D167" s="1">
        <v>1</v>
      </c>
      <c r="E167" s="1">
        <v>1</v>
      </c>
      <c r="F167" s="1">
        <v>6</v>
      </c>
      <c r="G167" s="1">
        <v>167</v>
      </c>
      <c r="H167" s="1">
        <v>219</v>
      </c>
      <c r="I167" s="1">
        <f t="shared" si="1"/>
        <v>52</v>
      </c>
    </row>
    <row r="168" spans="1:10" x14ac:dyDescent="0.25">
      <c r="C168" s="1">
        <v>6</v>
      </c>
      <c r="D168" s="1">
        <v>1</v>
      </c>
      <c r="E168" s="1">
        <v>1</v>
      </c>
      <c r="F168" s="1">
        <v>7</v>
      </c>
      <c r="G168" s="1">
        <v>219</v>
      </c>
      <c r="H168" s="1">
        <v>245</v>
      </c>
      <c r="I168" s="1">
        <f t="shared" si="1"/>
        <v>26</v>
      </c>
    </row>
    <row r="169" spans="1:10" x14ac:dyDescent="0.25">
      <c r="C169" s="1">
        <v>6</v>
      </c>
      <c r="D169" s="1">
        <v>1</v>
      </c>
      <c r="E169" s="1">
        <v>1</v>
      </c>
      <c r="F169" s="1">
        <v>8</v>
      </c>
      <c r="G169" s="1">
        <v>245</v>
      </c>
      <c r="H169" s="1">
        <v>263</v>
      </c>
      <c r="I169" s="1">
        <f t="shared" si="1"/>
        <v>18</v>
      </c>
    </row>
    <row r="170" spans="1:10" x14ac:dyDescent="0.25">
      <c r="C170" s="1">
        <v>6</v>
      </c>
      <c r="D170" s="1">
        <v>1</v>
      </c>
      <c r="E170" s="1">
        <v>1</v>
      </c>
      <c r="F170" s="1">
        <v>9</v>
      </c>
      <c r="G170" s="1">
        <v>263</v>
      </c>
      <c r="H170" s="1">
        <v>297</v>
      </c>
      <c r="I170" s="1">
        <f t="shared" si="1"/>
        <v>34</v>
      </c>
    </row>
    <row r="171" spans="1:10" x14ac:dyDescent="0.25">
      <c r="C171" s="1">
        <v>6</v>
      </c>
      <c r="D171" s="1">
        <v>1</v>
      </c>
      <c r="E171" s="1">
        <v>1</v>
      </c>
      <c r="F171" s="1">
        <v>10</v>
      </c>
      <c r="G171" s="1">
        <v>297</v>
      </c>
      <c r="H171" s="1">
        <v>356</v>
      </c>
      <c r="I171" s="1">
        <f t="shared" si="1"/>
        <v>59</v>
      </c>
    </row>
    <row r="172" spans="1:10" x14ac:dyDescent="0.25">
      <c r="C172" s="1">
        <v>6</v>
      </c>
      <c r="D172" s="1">
        <v>1</v>
      </c>
      <c r="E172" s="1">
        <v>1</v>
      </c>
      <c r="F172" s="1">
        <v>11</v>
      </c>
      <c r="G172" s="1">
        <v>356</v>
      </c>
      <c r="H172" s="1">
        <v>356</v>
      </c>
      <c r="I172" s="1">
        <f t="shared" si="1"/>
        <v>0</v>
      </c>
    </row>
    <row r="173" spans="1:10" x14ac:dyDescent="0.25">
      <c r="C173" s="1">
        <v>6</v>
      </c>
      <c r="D173" s="1">
        <v>1</v>
      </c>
      <c r="E173" s="1">
        <v>1</v>
      </c>
      <c r="F173" s="1">
        <v>12</v>
      </c>
      <c r="G173" s="1">
        <v>356</v>
      </c>
      <c r="H173" s="1">
        <v>381</v>
      </c>
      <c r="I173" s="1">
        <f t="shared" si="1"/>
        <v>25</v>
      </c>
    </row>
    <row r="174" spans="1:10" x14ac:dyDescent="0.25">
      <c r="C174" s="1">
        <v>6</v>
      </c>
      <c r="D174" s="1">
        <v>1</v>
      </c>
      <c r="E174" s="1">
        <v>1</v>
      </c>
      <c r="F174" s="1">
        <v>13</v>
      </c>
      <c r="G174" s="1">
        <v>381</v>
      </c>
      <c r="H174" s="1">
        <v>391</v>
      </c>
      <c r="I174" s="1">
        <f t="shared" si="1"/>
        <v>10</v>
      </c>
    </row>
    <row r="175" spans="1:10" x14ac:dyDescent="0.25">
      <c r="C175" s="1">
        <v>6</v>
      </c>
      <c r="D175" s="1">
        <v>1</v>
      </c>
      <c r="E175" s="1">
        <v>1</v>
      </c>
      <c r="F175" s="1">
        <v>14</v>
      </c>
      <c r="G175" s="1">
        <v>391</v>
      </c>
      <c r="H175" s="1">
        <v>427</v>
      </c>
      <c r="I175" s="1">
        <f t="shared" si="1"/>
        <v>36</v>
      </c>
    </row>
    <row r="176" spans="1:10" x14ac:dyDescent="0.25">
      <c r="C176" s="1">
        <v>6</v>
      </c>
      <c r="D176" s="1">
        <v>1</v>
      </c>
      <c r="E176" s="1">
        <v>1</v>
      </c>
      <c r="F176" s="1">
        <v>15</v>
      </c>
      <c r="G176" s="1">
        <v>427</v>
      </c>
      <c r="H176" s="1">
        <v>448</v>
      </c>
      <c r="I176" s="1">
        <f t="shared" si="1"/>
        <v>21</v>
      </c>
    </row>
    <row r="177" spans="1:10" x14ac:dyDescent="0.25">
      <c r="C177" s="1">
        <v>6</v>
      </c>
      <c r="D177" s="1">
        <v>1</v>
      </c>
      <c r="E177" s="1">
        <v>1</v>
      </c>
      <c r="F177" s="1">
        <v>16</v>
      </c>
      <c r="G177" s="1">
        <v>448</v>
      </c>
      <c r="H177" s="1">
        <v>487</v>
      </c>
      <c r="I177" s="1">
        <f t="shared" si="1"/>
        <v>39</v>
      </c>
    </row>
    <row r="178" spans="1:10" x14ac:dyDescent="0.25">
      <c r="C178" s="1">
        <v>6</v>
      </c>
      <c r="D178" s="1">
        <v>1</v>
      </c>
      <c r="E178" s="1">
        <v>1</v>
      </c>
      <c r="F178" s="1">
        <v>17</v>
      </c>
      <c r="G178" s="1">
        <v>523</v>
      </c>
      <c r="H178" s="1">
        <v>537</v>
      </c>
      <c r="I178" s="1">
        <f t="shared" si="1"/>
        <v>14</v>
      </c>
    </row>
    <row r="179" spans="1:10" x14ac:dyDescent="0.25">
      <c r="C179" s="1">
        <v>6</v>
      </c>
      <c r="D179" s="1">
        <v>1</v>
      </c>
      <c r="E179" s="1">
        <v>1</v>
      </c>
      <c r="F179" s="1">
        <v>18</v>
      </c>
      <c r="G179" s="1">
        <v>537</v>
      </c>
      <c r="H179" s="1">
        <v>537</v>
      </c>
      <c r="I179" s="1">
        <f t="shared" si="1"/>
        <v>0</v>
      </c>
    </row>
    <row r="180" spans="1:10" x14ac:dyDescent="0.25">
      <c r="C180" s="1">
        <v>6</v>
      </c>
      <c r="D180" s="1">
        <v>1</v>
      </c>
      <c r="E180" s="1">
        <v>1</v>
      </c>
      <c r="F180" s="1">
        <v>19</v>
      </c>
      <c r="G180" s="1">
        <v>537</v>
      </c>
      <c r="H180" s="1">
        <v>586</v>
      </c>
      <c r="I180" s="1">
        <f t="shared" si="1"/>
        <v>49</v>
      </c>
    </row>
    <row r="181" spans="1:10" x14ac:dyDescent="0.25">
      <c r="A181" s="5">
        <v>2</v>
      </c>
      <c r="B181" s="2">
        <v>43789</v>
      </c>
      <c r="C181" s="1">
        <v>7</v>
      </c>
      <c r="D181" s="1">
        <v>1</v>
      </c>
      <c r="E181" s="1">
        <v>1</v>
      </c>
      <c r="F181" s="1">
        <v>1</v>
      </c>
      <c r="G181" s="1">
        <v>0</v>
      </c>
      <c r="H181" s="1">
        <v>61</v>
      </c>
      <c r="I181" s="1">
        <f t="shared" si="1"/>
        <v>61</v>
      </c>
      <c r="J181" s="8">
        <f>(I181+I182+I183+I199+I198+I197+I190+I189+I191)/9</f>
        <v>46.777777777777779</v>
      </c>
    </row>
    <row r="182" spans="1:10" x14ac:dyDescent="0.25">
      <c r="C182" s="1">
        <v>7</v>
      </c>
      <c r="D182" s="1">
        <v>1</v>
      </c>
      <c r="E182" s="1">
        <v>1</v>
      </c>
      <c r="F182" s="1">
        <v>2</v>
      </c>
      <c r="G182" s="1">
        <v>61</v>
      </c>
      <c r="H182" s="1">
        <v>113</v>
      </c>
      <c r="I182" s="1">
        <f t="shared" si="1"/>
        <v>52</v>
      </c>
    </row>
    <row r="183" spans="1:10" x14ac:dyDescent="0.25">
      <c r="C183" s="1">
        <v>7</v>
      </c>
      <c r="D183" s="1">
        <v>1</v>
      </c>
      <c r="E183" s="1">
        <v>1</v>
      </c>
      <c r="F183" s="1">
        <v>3</v>
      </c>
      <c r="G183" s="1">
        <v>113</v>
      </c>
      <c r="H183" s="1">
        <v>160</v>
      </c>
      <c r="I183" s="1">
        <f t="shared" si="1"/>
        <v>47</v>
      </c>
    </row>
    <row r="184" spans="1:10" x14ac:dyDescent="0.25">
      <c r="C184" s="1">
        <v>7</v>
      </c>
      <c r="D184" s="1">
        <v>1</v>
      </c>
      <c r="E184" s="1">
        <v>1</v>
      </c>
      <c r="F184" s="1">
        <v>4</v>
      </c>
      <c r="G184" s="1">
        <v>160</v>
      </c>
      <c r="H184" s="1">
        <v>215</v>
      </c>
      <c r="I184" s="1">
        <f t="shared" si="1"/>
        <v>55</v>
      </c>
    </row>
    <row r="185" spans="1:10" x14ac:dyDescent="0.25">
      <c r="C185" s="1">
        <v>7</v>
      </c>
      <c r="D185" s="1">
        <v>1</v>
      </c>
      <c r="E185" s="1">
        <v>1</v>
      </c>
      <c r="F185" s="1">
        <v>5</v>
      </c>
      <c r="G185" s="1">
        <v>215</v>
      </c>
      <c r="H185" s="1">
        <v>268</v>
      </c>
      <c r="I185" s="1">
        <f t="shared" si="1"/>
        <v>53</v>
      </c>
    </row>
    <row r="186" spans="1:10" x14ac:dyDescent="0.25">
      <c r="C186" s="1">
        <v>7</v>
      </c>
      <c r="D186" s="1">
        <v>1</v>
      </c>
      <c r="E186" s="1">
        <v>1</v>
      </c>
      <c r="F186" s="1">
        <v>6</v>
      </c>
      <c r="G186" s="1">
        <v>268</v>
      </c>
      <c r="H186" s="1">
        <v>315</v>
      </c>
      <c r="I186" s="1">
        <f t="shared" si="1"/>
        <v>47</v>
      </c>
    </row>
    <row r="187" spans="1:10" x14ac:dyDescent="0.25">
      <c r="C187" s="1">
        <v>7</v>
      </c>
      <c r="D187" s="1">
        <v>1</v>
      </c>
      <c r="E187" s="1">
        <v>1</v>
      </c>
      <c r="F187" s="1">
        <v>7</v>
      </c>
      <c r="G187" s="1">
        <v>315</v>
      </c>
      <c r="H187" s="1">
        <v>349</v>
      </c>
      <c r="I187" s="1">
        <f t="shared" si="1"/>
        <v>34</v>
      </c>
    </row>
    <row r="188" spans="1:10" x14ac:dyDescent="0.25">
      <c r="C188" s="1">
        <v>7</v>
      </c>
      <c r="D188" s="1">
        <v>1</v>
      </c>
      <c r="E188" s="1">
        <v>1</v>
      </c>
      <c r="F188" s="1">
        <v>8</v>
      </c>
      <c r="G188" s="1">
        <v>349</v>
      </c>
      <c r="H188" s="1">
        <v>399</v>
      </c>
      <c r="I188" s="1">
        <f t="shared" si="1"/>
        <v>50</v>
      </c>
    </row>
    <row r="189" spans="1:10" x14ac:dyDescent="0.25">
      <c r="C189" s="1">
        <v>7</v>
      </c>
      <c r="D189" s="1">
        <v>1</v>
      </c>
      <c r="E189" s="1">
        <v>1</v>
      </c>
      <c r="F189" s="1">
        <v>9</v>
      </c>
      <c r="G189" s="1">
        <v>399</v>
      </c>
      <c r="H189" s="1">
        <v>445</v>
      </c>
      <c r="I189" s="1">
        <f t="shared" si="1"/>
        <v>46</v>
      </c>
    </row>
    <row r="190" spans="1:10" x14ac:dyDescent="0.25">
      <c r="C190" s="1">
        <v>7</v>
      </c>
      <c r="D190" s="1">
        <v>1</v>
      </c>
      <c r="E190" s="1">
        <v>1</v>
      </c>
      <c r="F190" s="1">
        <v>10</v>
      </c>
      <c r="G190" s="1">
        <v>445</v>
      </c>
      <c r="H190" s="1">
        <v>498</v>
      </c>
      <c r="I190" s="1">
        <f t="shared" si="1"/>
        <v>53</v>
      </c>
    </row>
    <row r="191" spans="1:10" x14ac:dyDescent="0.25">
      <c r="C191" s="1">
        <v>7</v>
      </c>
      <c r="D191" s="1">
        <v>1</v>
      </c>
      <c r="E191" s="1">
        <v>1</v>
      </c>
      <c r="F191" s="1">
        <v>11</v>
      </c>
      <c r="G191" s="1">
        <v>498</v>
      </c>
      <c r="H191" s="1">
        <v>531</v>
      </c>
      <c r="I191" s="1">
        <f t="shared" si="1"/>
        <v>33</v>
      </c>
    </row>
    <row r="192" spans="1:10" x14ac:dyDescent="0.25">
      <c r="C192" s="1">
        <v>7</v>
      </c>
      <c r="D192" s="1">
        <v>1</v>
      </c>
      <c r="E192" s="1">
        <v>1</v>
      </c>
      <c r="F192" s="1">
        <v>12</v>
      </c>
      <c r="G192" s="1">
        <v>531</v>
      </c>
      <c r="H192" s="1">
        <v>568</v>
      </c>
      <c r="I192" s="1">
        <f t="shared" si="1"/>
        <v>37</v>
      </c>
    </row>
    <row r="193" spans="1:10" x14ac:dyDescent="0.25">
      <c r="C193" s="1">
        <v>7</v>
      </c>
      <c r="D193" s="1">
        <v>1</v>
      </c>
      <c r="E193" s="1">
        <v>1</v>
      </c>
      <c r="F193" s="1">
        <v>13</v>
      </c>
      <c r="G193" s="1">
        <v>568</v>
      </c>
      <c r="H193" s="1">
        <v>607</v>
      </c>
      <c r="I193" s="1">
        <f t="shared" si="1"/>
        <v>39</v>
      </c>
    </row>
    <row r="194" spans="1:10" x14ac:dyDescent="0.25">
      <c r="C194" s="1">
        <v>7</v>
      </c>
      <c r="D194" s="1">
        <v>1</v>
      </c>
      <c r="E194" s="1">
        <v>1</v>
      </c>
      <c r="F194" s="1">
        <v>14</v>
      </c>
      <c r="G194" s="1">
        <v>613</v>
      </c>
      <c r="H194" s="1">
        <v>614</v>
      </c>
      <c r="I194" s="1">
        <f t="shared" si="1"/>
        <v>1</v>
      </c>
    </row>
    <row r="195" spans="1:10" x14ac:dyDescent="0.25">
      <c r="C195" s="1">
        <v>7</v>
      </c>
      <c r="D195" s="1">
        <v>1</v>
      </c>
      <c r="E195" s="1">
        <v>1</v>
      </c>
      <c r="F195" s="1">
        <v>15</v>
      </c>
      <c r="G195" s="1">
        <v>614</v>
      </c>
      <c r="H195" s="1">
        <v>652</v>
      </c>
      <c r="I195" s="1">
        <f t="shared" si="1"/>
        <v>38</v>
      </c>
    </row>
    <row r="196" spans="1:10" x14ac:dyDescent="0.25">
      <c r="C196" s="1">
        <v>7</v>
      </c>
      <c r="D196" s="1">
        <v>1</v>
      </c>
      <c r="E196" s="1">
        <v>1</v>
      </c>
      <c r="F196" s="1">
        <v>16</v>
      </c>
      <c r="G196" s="1">
        <v>652</v>
      </c>
      <c r="H196" s="1">
        <v>705</v>
      </c>
      <c r="I196" s="1">
        <f t="shared" si="1"/>
        <v>53</v>
      </c>
    </row>
    <row r="197" spans="1:10" x14ac:dyDescent="0.25">
      <c r="C197" s="1">
        <v>7</v>
      </c>
      <c r="D197" s="1">
        <v>1</v>
      </c>
      <c r="E197" s="1">
        <v>1</v>
      </c>
      <c r="F197" s="1">
        <v>17</v>
      </c>
      <c r="G197" s="1">
        <v>705</v>
      </c>
      <c r="H197" s="1">
        <v>750</v>
      </c>
      <c r="I197" s="1">
        <f t="shared" si="1"/>
        <v>45</v>
      </c>
    </row>
    <row r="198" spans="1:10" x14ac:dyDescent="0.25">
      <c r="C198" s="1">
        <v>7</v>
      </c>
      <c r="D198" s="1">
        <v>1</v>
      </c>
      <c r="E198" s="1">
        <v>1</v>
      </c>
      <c r="F198" s="1">
        <v>18</v>
      </c>
      <c r="G198" s="1">
        <v>753</v>
      </c>
      <c r="H198" s="1">
        <v>793</v>
      </c>
      <c r="I198" s="1">
        <f t="shared" si="1"/>
        <v>40</v>
      </c>
    </row>
    <row r="199" spans="1:10" x14ac:dyDescent="0.25">
      <c r="C199" s="1">
        <v>7</v>
      </c>
      <c r="D199" s="1">
        <v>1</v>
      </c>
      <c r="E199" s="1">
        <v>1</v>
      </c>
      <c r="F199" s="1">
        <v>19</v>
      </c>
      <c r="G199" s="1">
        <v>793</v>
      </c>
      <c r="H199" s="1">
        <v>837</v>
      </c>
      <c r="I199" s="1">
        <f t="shared" si="1"/>
        <v>44</v>
      </c>
    </row>
    <row r="200" spans="1:10" x14ac:dyDescent="0.25">
      <c r="A200" s="5">
        <v>1</v>
      </c>
      <c r="B200" s="2">
        <v>43808</v>
      </c>
      <c r="C200" s="1">
        <v>9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f t="shared" si="1"/>
        <v>0</v>
      </c>
      <c r="J200" s="8">
        <f>(I200+I201+I202+I217+I216+I215+I208+I209+I207)/9</f>
        <v>7.666666666666667</v>
      </c>
    </row>
    <row r="201" spans="1:10" x14ac:dyDescent="0.25">
      <c r="C201" s="1">
        <v>9</v>
      </c>
      <c r="D201" s="1">
        <v>1</v>
      </c>
      <c r="E201" s="1">
        <v>1</v>
      </c>
      <c r="F201" s="1">
        <v>2</v>
      </c>
      <c r="G201" s="1">
        <v>1</v>
      </c>
      <c r="H201" s="1">
        <v>5</v>
      </c>
      <c r="I201" s="1">
        <f t="shared" si="1"/>
        <v>4</v>
      </c>
    </row>
    <row r="202" spans="1:10" x14ac:dyDescent="0.25">
      <c r="C202" s="1">
        <v>9</v>
      </c>
      <c r="D202" s="1">
        <v>1</v>
      </c>
      <c r="E202" s="1">
        <v>1</v>
      </c>
      <c r="F202" s="1">
        <v>3</v>
      </c>
      <c r="G202" s="1">
        <v>5</v>
      </c>
      <c r="H202" s="1">
        <v>9</v>
      </c>
      <c r="I202" s="1">
        <f t="shared" si="1"/>
        <v>4</v>
      </c>
    </row>
    <row r="203" spans="1:10" x14ac:dyDescent="0.25">
      <c r="C203" s="1">
        <v>9</v>
      </c>
      <c r="D203" s="1">
        <v>1</v>
      </c>
      <c r="E203" s="1">
        <v>1</v>
      </c>
      <c r="F203" s="1">
        <v>4</v>
      </c>
      <c r="G203" s="1">
        <v>9</v>
      </c>
      <c r="H203" s="1">
        <v>32</v>
      </c>
      <c r="I203" s="1">
        <f t="shared" si="1"/>
        <v>23</v>
      </c>
    </row>
    <row r="204" spans="1:10" x14ac:dyDescent="0.25">
      <c r="C204" s="1">
        <v>9</v>
      </c>
      <c r="D204" s="1">
        <v>1</v>
      </c>
      <c r="E204" s="1">
        <v>1</v>
      </c>
      <c r="F204" s="1">
        <v>5</v>
      </c>
      <c r="G204" s="1">
        <v>32</v>
      </c>
      <c r="H204" s="1">
        <v>32</v>
      </c>
      <c r="I204" s="1">
        <f t="shared" si="1"/>
        <v>0</v>
      </c>
    </row>
    <row r="205" spans="1:10" x14ac:dyDescent="0.25">
      <c r="C205" s="1">
        <v>9</v>
      </c>
      <c r="D205" s="1">
        <v>1</v>
      </c>
      <c r="E205" s="1">
        <v>1</v>
      </c>
      <c r="F205" s="1">
        <v>6</v>
      </c>
      <c r="G205" s="1">
        <v>32</v>
      </c>
      <c r="H205" s="1">
        <v>38</v>
      </c>
      <c r="I205" s="1">
        <f t="shared" si="1"/>
        <v>6</v>
      </c>
    </row>
    <row r="206" spans="1:10" x14ac:dyDescent="0.25">
      <c r="C206" s="1">
        <v>9</v>
      </c>
      <c r="D206" s="1">
        <v>1</v>
      </c>
      <c r="E206" s="1">
        <v>1</v>
      </c>
      <c r="F206" s="1">
        <v>7</v>
      </c>
      <c r="G206" s="1">
        <v>38</v>
      </c>
      <c r="H206" s="1">
        <v>39</v>
      </c>
      <c r="I206" s="1">
        <f t="shared" si="1"/>
        <v>1</v>
      </c>
    </row>
    <row r="207" spans="1:10" x14ac:dyDescent="0.25">
      <c r="C207" s="1">
        <v>9</v>
      </c>
      <c r="D207" s="1">
        <v>1</v>
      </c>
      <c r="E207" s="1">
        <v>1</v>
      </c>
      <c r="F207" s="1">
        <v>8</v>
      </c>
      <c r="G207" s="1">
        <v>39</v>
      </c>
      <c r="H207" s="1">
        <v>42</v>
      </c>
      <c r="I207" s="1">
        <f t="shared" si="1"/>
        <v>3</v>
      </c>
    </row>
    <row r="208" spans="1:10" x14ac:dyDescent="0.25">
      <c r="C208" s="1">
        <v>9</v>
      </c>
      <c r="D208" s="1">
        <v>1</v>
      </c>
      <c r="E208" s="1">
        <v>1</v>
      </c>
      <c r="F208" s="1">
        <v>9</v>
      </c>
      <c r="G208" s="1">
        <v>42</v>
      </c>
      <c r="H208" s="1">
        <v>59</v>
      </c>
      <c r="I208" s="1">
        <f t="shared" si="1"/>
        <v>17</v>
      </c>
    </row>
    <row r="209" spans="1:10" x14ac:dyDescent="0.25">
      <c r="C209" s="1">
        <v>9</v>
      </c>
      <c r="D209" s="1">
        <v>1</v>
      </c>
      <c r="E209" s="1">
        <v>1</v>
      </c>
      <c r="F209" s="1">
        <v>10</v>
      </c>
      <c r="G209" s="1">
        <v>59</v>
      </c>
      <c r="H209" s="1">
        <v>62</v>
      </c>
      <c r="I209" s="1">
        <f t="shared" si="1"/>
        <v>3</v>
      </c>
    </row>
    <row r="210" spans="1:10" x14ac:dyDescent="0.25">
      <c r="C210" s="1">
        <v>9</v>
      </c>
      <c r="D210" s="1">
        <v>1</v>
      </c>
      <c r="E210" s="1">
        <v>1</v>
      </c>
      <c r="F210" s="1">
        <v>11</v>
      </c>
      <c r="G210" s="1">
        <v>62</v>
      </c>
      <c r="H210" s="1">
        <v>64</v>
      </c>
      <c r="I210" s="1">
        <f t="shared" si="1"/>
        <v>2</v>
      </c>
    </row>
    <row r="211" spans="1:10" x14ac:dyDescent="0.25">
      <c r="C211" s="1">
        <v>9</v>
      </c>
      <c r="D211" s="1">
        <v>1</v>
      </c>
      <c r="E211" s="1">
        <v>1</v>
      </c>
      <c r="F211" s="1">
        <v>12</v>
      </c>
      <c r="G211" s="1">
        <v>64</v>
      </c>
      <c r="H211" s="1">
        <v>103</v>
      </c>
      <c r="I211" s="1">
        <f t="shared" si="1"/>
        <v>39</v>
      </c>
    </row>
    <row r="212" spans="1:10" x14ac:dyDescent="0.25">
      <c r="C212" s="1">
        <v>9</v>
      </c>
      <c r="D212" s="1">
        <v>1</v>
      </c>
      <c r="E212" s="1">
        <v>1</v>
      </c>
      <c r="F212" s="1">
        <v>13</v>
      </c>
      <c r="G212" s="1">
        <v>103</v>
      </c>
      <c r="H212" s="1">
        <v>110</v>
      </c>
      <c r="I212" s="1">
        <f t="shared" si="1"/>
        <v>7</v>
      </c>
    </row>
    <row r="213" spans="1:10" x14ac:dyDescent="0.25">
      <c r="C213" s="1">
        <v>9</v>
      </c>
      <c r="D213" s="1">
        <v>1</v>
      </c>
      <c r="E213" s="1">
        <v>1</v>
      </c>
      <c r="F213" s="1">
        <v>14</v>
      </c>
      <c r="G213" s="1">
        <v>110</v>
      </c>
      <c r="H213" s="1">
        <v>110</v>
      </c>
      <c r="I213" s="1">
        <f t="shared" si="1"/>
        <v>0</v>
      </c>
    </row>
    <row r="214" spans="1:10" x14ac:dyDescent="0.25">
      <c r="C214" s="1">
        <v>9</v>
      </c>
      <c r="D214" s="1">
        <v>1</v>
      </c>
      <c r="E214" s="1">
        <v>1</v>
      </c>
      <c r="F214" s="1">
        <v>15</v>
      </c>
      <c r="G214" s="1">
        <v>110</v>
      </c>
      <c r="H214" s="1">
        <v>133</v>
      </c>
      <c r="I214" s="1">
        <f t="shared" si="1"/>
        <v>23</v>
      </c>
    </row>
    <row r="215" spans="1:10" x14ac:dyDescent="0.25">
      <c r="C215" s="1">
        <v>9</v>
      </c>
      <c r="D215" s="1">
        <v>1</v>
      </c>
      <c r="E215" s="1">
        <v>1</v>
      </c>
      <c r="F215" s="1">
        <v>16</v>
      </c>
      <c r="G215" s="1">
        <v>133</v>
      </c>
      <c r="H215" s="1">
        <v>135</v>
      </c>
      <c r="I215" s="1">
        <f t="shared" si="1"/>
        <v>2</v>
      </c>
    </row>
    <row r="216" spans="1:10" x14ac:dyDescent="0.25">
      <c r="C216" s="1">
        <v>9</v>
      </c>
      <c r="D216" s="1">
        <v>1</v>
      </c>
      <c r="E216" s="1">
        <v>1</v>
      </c>
      <c r="F216" s="1">
        <v>17</v>
      </c>
      <c r="G216" s="1">
        <v>135</v>
      </c>
      <c r="H216" s="1">
        <v>145</v>
      </c>
      <c r="I216" s="1">
        <f t="shared" si="1"/>
        <v>10</v>
      </c>
    </row>
    <row r="217" spans="1:10" x14ac:dyDescent="0.25">
      <c r="C217" s="1">
        <v>9</v>
      </c>
      <c r="D217" s="1">
        <v>1</v>
      </c>
      <c r="E217" s="1">
        <v>1</v>
      </c>
      <c r="F217" s="1">
        <v>18</v>
      </c>
      <c r="G217" s="1">
        <v>145</v>
      </c>
      <c r="H217" s="1">
        <v>171</v>
      </c>
      <c r="I217" s="1">
        <f t="shared" si="1"/>
        <v>26</v>
      </c>
    </row>
    <row r="218" spans="1:10" x14ac:dyDescent="0.25">
      <c r="A218" s="5">
        <v>1</v>
      </c>
      <c r="B218" s="2">
        <v>43812</v>
      </c>
      <c r="C218" s="1">
        <v>10</v>
      </c>
      <c r="D218" s="1">
        <v>2</v>
      </c>
      <c r="E218" s="1">
        <v>1</v>
      </c>
      <c r="F218" s="1">
        <v>1</v>
      </c>
      <c r="G218" s="1">
        <v>0</v>
      </c>
      <c r="H218" s="1">
        <v>0</v>
      </c>
      <c r="I218" s="1">
        <f t="shared" si="1"/>
        <v>0</v>
      </c>
      <c r="J218" s="8">
        <f>(I218+I219+I220+I227+I226+I225+I223+I222+I221)/9</f>
        <v>16.444444444444443</v>
      </c>
    </row>
    <row r="219" spans="1:10" x14ac:dyDescent="0.25">
      <c r="C219" s="1">
        <v>10</v>
      </c>
      <c r="D219" s="1">
        <v>2</v>
      </c>
      <c r="E219" s="1">
        <v>1</v>
      </c>
      <c r="F219" s="1">
        <v>2</v>
      </c>
      <c r="G219" s="1">
        <v>2</v>
      </c>
      <c r="H219" s="1">
        <v>49</v>
      </c>
      <c r="I219" s="1">
        <f t="shared" si="1"/>
        <v>47</v>
      </c>
    </row>
    <row r="220" spans="1:10" x14ac:dyDescent="0.25">
      <c r="C220" s="1">
        <v>10</v>
      </c>
      <c r="D220" s="1">
        <v>2</v>
      </c>
      <c r="E220" s="1">
        <v>1</v>
      </c>
      <c r="F220" s="1">
        <v>3</v>
      </c>
      <c r="G220" s="1">
        <v>49</v>
      </c>
      <c r="H220" s="1">
        <v>108</v>
      </c>
      <c r="I220" s="1">
        <f t="shared" si="1"/>
        <v>59</v>
      </c>
    </row>
    <row r="221" spans="1:10" x14ac:dyDescent="0.25">
      <c r="C221" s="1">
        <v>10</v>
      </c>
      <c r="D221" s="1">
        <v>2</v>
      </c>
      <c r="E221" s="1">
        <v>1</v>
      </c>
      <c r="F221" s="1">
        <v>4</v>
      </c>
      <c r="G221" s="1">
        <v>108</v>
      </c>
      <c r="H221" s="1">
        <v>126</v>
      </c>
      <c r="I221" s="1">
        <f t="shared" si="1"/>
        <v>18</v>
      </c>
    </row>
    <row r="222" spans="1:10" x14ac:dyDescent="0.25">
      <c r="C222" s="1">
        <v>10</v>
      </c>
      <c r="D222" s="1">
        <v>2</v>
      </c>
      <c r="E222" s="1">
        <v>1</v>
      </c>
      <c r="F222" s="1">
        <v>5</v>
      </c>
      <c r="G222" s="1">
        <v>126</v>
      </c>
      <c r="H222" s="1">
        <v>132</v>
      </c>
      <c r="I222" s="1">
        <f t="shared" si="1"/>
        <v>6</v>
      </c>
    </row>
    <row r="223" spans="1:10" x14ac:dyDescent="0.25">
      <c r="C223" s="1">
        <v>10</v>
      </c>
      <c r="D223" s="1">
        <v>2</v>
      </c>
      <c r="E223" s="1">
        <v>1</v>
      </c>
      <c r="F223" s="1">
        <v>6</v>
      </c>
      <c r="G223" s="1">
        <v>132</v>
      </c>
      <c r="H223" s="1">
        <v>150</v>
      </c>
      <c r="I223" s="1">
        <f t="shared" si="1"/>
        <v>18</v>
      </c>
    </row>
    <row r="224" spans="1:10" x14ac:dyDescent="0.25">
      <c r="C224" s="1">
        <v>10</v>
      </c>
      <c r="D224" s="1">
        <v>2</v>
      </c>
      <c r="E224" s="1">
        <v>1</v>
      </c>
      <c r="F224" s="1">
        <v>7</v>
      </c>
      <c r="G224" s="1">
        <v>150</v>
      </c>
      <c r="H224" s="1">
        <v>150</v>
      </c>
      <c r="I224" s="1">
        <f t="shared" si="1"/>
        <v>0</v>
      </c>
    </row>
    <row r="225" spans="1:10" x14ac:dyDescent="0.25">
      <c r="C225" s="1">
        <v>10</v>
      </c>
      <c r="D225" s="1">
        <v>2</v>
      </c>
      <c r="E225" s="1">
        <v>1</v>
      </c>
      <c r="F225" s="1">
        <v>8</v>
      </c>
      <c r="G225" s="1">
        <v>150</v>
      </c>
      <c r="H225" s="1">
        <v>150</v>
      </c>
      <c r="I225" s="1">
        <f t="shared" si="1"/>
        <v>0</v>
      </c>
    </row>
    <row r="226" spans="1:10" x14ac:dyDescent="0.25">
      <c r="C226" s="1">
        <v>10</v>
      </c>
      <c r="D226" s="1">
        <v>2</v>
      </c>
      <c r="E226" s="1">
        <v>1</v>
      </c>
      <c r="F226" s="1">
        <v>9</v>
      </c>
      <c r="G226" s="1">
        <v>150</v>
      </c>
      <c r="H226" s="1">
        <v>150</v>
      </c>
      <c r="I226" s="1">
        <f t="shared" si="1"/>
        <v>0</v>
      </c>
    </row>
    <row r="227" spans="1:10" x14ac:dyDescent="0.25">
      <c r="C227" s="1">
        <v>10</v>
      </c>
      <c r="D227" s="1">
        <v>2</v>
      </c>
      <c r="E227" s="1">
        <v>1</v>
      </c>
      <c r="F227" s="1">
        <v>10</v>
      </c>
      <c r="G227" s="1">
        <v>150</v>
      </c>
      <c r="H227" s="1">
        <v>150</v>
      </c>
      <c r="I227" s="1">
        <f t="shared" si="1"/>
        <v>0</v>
      </c>
    </row>
    <row r="228" spans="1:10" x14ac:dyDescent="0.25">
      <c r="A228" s="5">
        <v>1</v>
      </c>
      <c r="B228" s="2">
        <v>43810</v>
      </c>
      <c r="C228" s="1">
        <v>11</v>
      </c>
      <c r="D228" s="1">
        <v>1</v>
      </c>
      <c r="E228" s="1">
        <v>1</v>
      </c>
      <c r="F228" s="1">
        <v>1</v>
      </c>
      <c r="G228" s="1">
        <v>9</v>
      </c>
      <c r="H228" s="1">
        <v>38</v>
      </c>
      <c r="I228" s="1">
        <f t="shared" si="1"/>
        <v>29</v>
      </c>
      <c r="J228" s="8">
        <f>(I228+I229+I230+I245+I244+I243+I236+I237+I238)/9</f>
        <v>24.777777777777779</v>
      </c>
    </row>
    <row r="229" spans="1:10" x14ac:dyDescent="0.25">
      <c r="C229" s="1">
        <v>11</v>
      </c>
      <c r="D229" s="1">
        <v>1</v>
      </c>
      <c r="E229" s="1">
        <v>1</v>
      </c>
      <c r="F229" s="1">
        <v>2</v>
      </c>
      <c r="G229" s="1">
        <v>38</v>
      </c>
      <c r="H229" s="1">
        <v>75</v>
      </c>
      <c r="I229" s="1">
        <f t="shared" si="1"/>
        <v>37</v>
      </c>
    </row>
    <row r="230" spans="1:10" x14ac:dyDescent="0.25">
      <c r="C230" s="1">
        <v>11</v>
      </c>
      <c r="D230" s="1">
        <v>1</v>
      </c>
      <c r="E230" s="1">
        <v>1</v>
      </c>
      <c r="F230" s="1">
        <v>3</v>
      </c>
      <c r="G230" s="1">
        <v>75</v>
      </c>
      <c r="H230" s="1">
        <v>114</v>
      </c>
      <c r="I230" s="1">
        <f t="shared" si="1"/>
        <v>39</v>
      </c>
    </row>
    <row r="231" spans="1:10" x14ac:dyDescent="0.25">
      <c r="C231" s="1">
        <v>11</v>
      </c>
      <c r="D231" s="1">
        <v>1</v>
      </c>
      <c r="E231" s="1">
        <v>1</v>
      </c>
      <c r="F231" s="1">
        <v>4</v>
      </c>
      <c r="G231" s="1">
        <v>114</v>
      </c>
      <c r="H231" s="1">
        <v>161</v>
      </c>
      <c r="I231" s="1">
        <f t="shared" si="1"/>
        <v>47</v>
      </c>
    </row>
    <row r="232" spans="1:10" x14ac:dyDescent="0.25">
      <c r="C232" s="1">
        <v>11</v>
      </c>
      <c r="D232" s="1">
        <v>1</v>
      </c>
      <c r="E232" s="1">
        <v>1</v>
      </c>
      <c r="F232" s="1">
        <v>5</v>
      </c>
      <c r="G232" s="1">
        <v>161</v>
      </c>
      <c r="H232" s="1">
        <v>204</v>
      </c>
      <c r="I232" s="1">
        <f t="shared" si="1"/>
        <v>43</v>
      </c>
    </row>
    <row r="233" spans="1:10" x14ac:dyDescent="0.25">
      <c r="C233" s="1">
        <v>11</v>
      </c>
      <c r="D233" s="1">
        <v>1</v>
      </c>
      <c r="E233" s="1">
        <v>1</v>
      </c>
      <c r="F233" s="1">
        <v>6</v>
      </c>
      <c r="G233" s="1">
        <v>204</v>
      </c>
      <c r="H233" s="1">
        <v>207</v>
      </c>
      <c r="I233" s="1">
        <f t="shared" si="1"/>
        <v>3</v>
      </c>
    </row>
    <row r="234" spans="1:10" x14ac:dyDescent="0.25">
      <c r="C234" s="1">
        <v>11</v>
      </c>
      <c r="D234" s="1">
        <v>1</v>
      </c>
      <c r="E234" s="1">
        <v>1</v>
      </c>
      <c r="F234" s="1">
        <v>7</v>
      </c>
      <c r="G234" s="1">
        <v>207</v>
      </c>
      <c r="H234" s="1">
        <v>218</v>
      </c>
      <c r="I234" s="1">
        <f t="shared" si="1"/>
        <v>11</v>
      </c>
    </row>
    <row r="235" spans="1:10" x14ac:dyDescent="0.25">
      <c r="C235" s="1">
        <v>11</v>
      </c>
      <c r="D235" s="1">
        <v>1</v>
      </c>
      <c r="E235" s="1">
        <v>1</v>
      </c>
      <c r="F235" s="1">
        <v>8</v>
      </c>
      <c r="G235" s="1">
        <v>218</v>
      </c>
      <c r="H235" s="1">
        <v>251</v>
      </c>
      <c r="I235" s="1">
        <f t="shared" si="1"/>
        <v>33</v>
      </c>
    </row>
    <row r="236" spans="1:10" x14ac:dyDescent="0.25">
      <c r="C236" s="1">
        <v>11</v>
      </c>
      <c r="D236" s="1">
        <v>1</v>
      </c>
      <c r="E236" s="1">
        <v>1</v>
      </c>
      <c r="F236" s="1">
        <v>9</v>
      </c>
      <c r="G236" s="1">
        <v>251</v>
      </c>
      <c r="H236" s="1">
        <v>277</v>
      </c>
      <c r="I236" s="1">
        <f t="shared" si="1"/>
        <v>26</v>
      </c>
    </row>
    <row r="237" spans="1:10" x14ac:dyDescent="0.25">
      <c r="C237" s="1">
        <v>11</v>
      </c>
      <c r="D237" s="1">
        <v>1</v>
      </c>
      <c r="E237" s="1">
        <v>1</v>
      </c>
      <c r="F237" s="1">
        <v>10</v>
      </c>
      <c r="G237" s="1">
        <v>277</v>
      </c>
      <c r="H237" s="1">
        <v>291</v>
      </c>
      <c r="I237" s="1">
        <f t="shared" si="1"/>
        <v>14</v>
      </c>
    </row>
    <row r="238" spans="1:10" x14ac:dyDescent="0.25">
      <c r="C238" s="1">
        <v>11</v>
      </c>
      <c r="D238" s="1">
        <v>1</v>
      </c>
      <c r="E238" s="1">
        <v>1</v>
      </c>
      <c r="F238" s="1">
        <v>11</v>
      </c>
      <c r="G238" s="1">
        <v>291</v>
      </c>
      <c r="H238" s="1">
        <v>329</v>
      </c>
      <c r="I238" s="1">
        <f t="shared" si="1"/>
        <v>38</v>
      </c>
    </row>
    <row r="239" spans="1:10" x14ac:dyDescent="0.25">
      <c r="C239" s="1">
        <v>11</v>
      </c>
      <c r="D239" s="1">
        <v>1</v>
      </c>
      <c r="E239" s="1">
        <v>1</v>
      </c>
      <c r="F239" s="1">
        <v>12</v>
      </c>
      <c r="G239" s="1">
        <v>329</v>
      </c>
      <c r="H239" s="1">
        <v>354</v>
      </c>
      <c r="I239" s="1">
        <f t="shared" si="1"/>
        <v>25</v>
      </c>
    </row>
    <row r="240" spans="1:10" x14ac:dyDescent="0.25">
      <c r="C240" s="1">
        <v>11</v>
      </c>
      <c r="D240" s="1">
        <v>1</v>
      </c>
      <c r="E240" s="1">
        <v>1</v>
      </c>
      <c r="F240" s="1">
        <v>13</v>
      </c>
      <c r="G240" s="1">
        <v>354</v>
      </c>
      <c r="H240" s="1">
        <v>354</v>
      </c>
      <c r="I240" s="1">
        <f t="shared" si="1"/>
        <v>0</v>
      </c>
    </row>
    <row r="241" spans="1:10" x14ac:dyDescent="0.25">
      <c r="C241" s="1">
        <v>11</v>
      </c>
      <c r="D241" s="1">
        <v>1</v>
      </c>
      <c r="E241" s="1">
        <v>1</v>
      </c>
      <c r="F241" s="1">
        <v>14</v>
      </c>
      <c r="G241" s="1">
        <v>354</v>
      </c>
      <c r="H241" s="1">
        <v>354</v>
      </c>
      <c r="I241" s="1">
        <f t="shared" si="1"/>
        <v>0</v>
      </c>
    </row>
    <row r="242" spans="1:10" x14ac:dyDescent="0.25">
      <c r="C242" s="1">
        <v>11</v>
      </c>
      <c r="D242" s="1">
        <v>1</v>
      </c>
      <c r="E242" s="1">
        <v>1</v>
      </c>
      <c r="F242" s="1">
        <v>15</v>
      </c>
      <c r="G242" s="1">
        <v>354</v>
      </c>
      <c r="H242" s="1">
        <v>355</v>
      </c>
      <c r="I242" s="1">
        <f t="shared" si="1"/>
        <v>1</v>
      </c>
    </row>
    <row r="243" spans="1:10" x14ac:dyDescent="0.25">
      <c r="C243" s="1">
        <v>11</v>
      </c>
      <c r="D243" s="1">
        <v>1</v>
      </c>
      <c r="E243" s="1">
        <v>1</v>
      </c>
      <c r="F243" s="1">
        <v>16</v>
      </c>
      <c r="G243" s="1">
        <v>355</v>
      </c>
      <c r="H243" s="1">
        <v>362</v>
      </c>
      <c r="I243" s="1">
        <f t="shared" si="1"/>
        <v>7</v>
      </c>
    </row>
    <row r="244" spans="1:10" x14ac:dyDescent="0.25">
      <c r="C244" s="1">
        <v>11</v>
      </c>
      <c r="D244" s="1">
        <v>1</v>
      </c>
      <c r="E244" s="1">
        <v>1</v>
      </c>
      <c r="F244" s="1">
        <v>17</v>
      </c>
      <c r="G244" s="1">
        <v>362</v>
      </c>
      <c r="H244" s="1">
        <v>362</v>
      </c>
      <c r="I244" s="1">
        <f t="shared" si="1"/>
        <v>0</v>
      </c>
    </row>
    <row r="245" spans="1:10" x14ac:dyDescent="0.25">
      <c r="C245" s="1">
        <v>11</v>
      </c>
      <c r="D245" s="1">
        <v>1</v>
      </c>
      <c r="E245" s="1">
        <v>1</v>
      </c>
      <c r="F245" s="1">
        <v>18</v>
      </c>
      <c r="G245" s="1">
        <v>362</v>
      </c>
      <c r="H245" s="1">
        <v>395</v>
      </c>
      <c r="I245" s="1">
        <f t="shared" si="1"/>
        <v>33</v>
      </c>
    </row>
    <row r="246" spans="1:10" x14ac:dyDescent="0.25">
      <c r="A246" s="5">
        <v>2</v>
      </c>
      <c r="B246" s="2">
        <v>43817</v>
      </c>
      <c r="C246" s="1">
        <v>9</v>
      </c>
      <c r="D246" s="1">
        <v>1</v>
      </c>
      <c r="E246" s="1">
        <v>1</v>
      </c>
      <c r="F246" s="1">
        <v>1</v>
      </c>
      <c r="G246" s="1">
        <v>10</v>
      </c>
      <c r="H246" s="1">
        <v>52</v>
      </c>
      <c r="I246" s="1">
        <f t="shared" si="1"/>
        <v>42</v>
      </c>
      <c r="J246" s="8">
        <f>(I246+I247+I248+I263+I262+I261+I254+I255+I253)/9</f>
        <v>18</v>
      </c>
    </row>
    <row r="247" spans="1:10" x14ac:dyDescent="0.25">
      <c r="C247" s="1">
        <v>9</v>
      </c>
      <c r="D247" s="1">
        <v>1</v>
      </c>
      <c r="E247" s="1">
        <v>1</v>
      </c>
      <c r="F247" s="1">
        <v>2</v>
      </c>
      <c r="G247" s="1">
        <v>52</v>
      </c>
      <c r="H247" s="1">
        <v>53</v>
      </c>
      <c r="I247" s="1">
        <f t="shared" si="1"/>
        <v>1</v>
      </c>
    </row>
    <row r="248" spans="1:10" x14ac:dyDescent="0.25">
      <c r="C248" s="1">
        <v>9</v>
      </c>
      <c r="D248" s="1">
        <v>1</v>
      </c>
      <c r="E248" s="1">
        <v>1</v>
      </c>
      <c r="F248" s="1">
        <v>3</v>
      </c>
      <c r="G248" s="1">
        <v>53</v>
      </c>
      <c r="H248" s="1">
        <v>61</v>
      </c>
      <c r="I248" s="1">
        <f t="shared" si="1"/>
        <v>8</v>
      </c>
    </row>
    <row r="249" spans="1:10" x14ac:dyDescent="0.25">
      <c r="C249" s="1">
        <v>9</v>
      </c>
      <c r="D249" s="1">
        <v>1</v>
      </c>
      <c r="E249" s="1">
        <v>1</v>
      </c>
      <c r="F249" s="1">
        <v>4</v>
      </c>
      <c r="G249" s="1">
        <v>61</v>
      </c>
      <c r="H249" s="1">
        <v>101</v>
      </c>
      <c r="I249" s="1">
        <f t="shared" si="1"/>
        <v>40</v>
      </c>
    </row>
    <row r="250" spans="1:10" x14ac:dyDescent="0.25">
      <c r="C250" s="1">
        <v>9</v>
      </c>
      <c r="D250" s="1">
        <v>1</v>
      </c>
      <c r="E250" s="1">
        <v>1</v>
      </c>
      <c r="F250" s="1">
        <v>5</v>
      </c>
      <c r="G250" s="1">
        <v>101</v>
      </c>
      <c r="H250" s="1">
        <v>144</v>
      </c>
      <c r="I250" s="1">
        <f t="shared" si="1"/>
        <v>43</v>
      </c>
    </row>
    <row r="251" spans="1:10" x14ac:dyDescent="0.25">
      <c r="C251" s="1">
        <v>9</v>
      </c>
      <c r="D251" s="1">
        <v>1</v>
      </c>
      <c r="E251" s="1">
        <v>1</v>
      </c>
      <c r="F251" s="1">
        <v>6</v>
      </c>
      <c r="G251" s="1">
        <v>144</v>
      </c>
      <c r="H251" s="1">
        <v>189</v>
      </c>
      <c r="I251" s="1">
        <f t="shared" si="1"/>
        <v>45</v>
      </c>
    </row>
    <row r="252" spans="1:10" x14ac:dyDescent="0.25">
      <c r="C252" s="1">
        <v>9</v>
      </c>
      <c r="D252" s="1">
        <v>1</v>
      </c>
      <c r="E252" s="1">
        <v>1</v>
      </c>
      <c r="F252" s="1">
        <v>7</v>
      </c>
      <c r="G252" s="1">
        <v>189</v>
      </c>
      <c r="H252" s="1">
        <v>213</v>
      </c>
      <c r="I252" s="1">
        <f t="shared" si="1"/>
        <v>24</v>
      </c>
    </row>
    <row r="253" spans="1:10" x14ac:dyDescent="0.25">
      <c r="C253" s="1">
        <v>9</v>
      </c>
      <c r="D253" s="1">
        <v>1</v>
      </c>
      <c r="E253" s="1">
        <v>1</v>
      </c>
      <c r="F253" s="1">
        <v>8</v>
      </c>
      <c r="G253" s="1">
        <v>213</v>
      </c>
      <c r="H253" s="1">
        <v>259</v>
      </c>
      <c r="I253" s="1">
        <f t="shared" si="1"/>
        <v>46</v>
      </c>
    </row>
    <row r="254" spans="1:10" x14ac:dyDescent="0.25">
      <c r="C254" s="1">
        <v>9</v>
      </c>
      <c r="D254" s="1">
        <v>1</v>
      </c>
      <c r="E254" s="1">
        <v>1</v>
      </c>
      <c r="F254" s="1">
        <v>9</v>
      </c>
      <c r="G254" s="1">
        <v>259</v>
      </c>
      <c r="H254" s="1">
        <v>290</v>
      </c>
      <c r="I254" s="1">
        <f t="shared" si="1"/>
        <v>31</v>
      </c>
    </row>
    <row r="255" spans="1:10" x14ac:dyDescent="0.25">
      <c r="C255" s="1">
        <v>9</v>
      </c>
      <c r="D255" s="1">
        <v>1</v>
      </c>
      <c r="E255" s="1">
        <v>1</v>
      </c>
      <c r="F255" s="1">
        <v>10</v>
      </c>
      <c r="G255" s="1">
        <v>293</v>
      </c>
      <c r="H255" s="1">
        <v>321</v>
      </c>
      <c r="I255" s="1">
        <f t="shared" si="1"/>
        <v>28</v>
      </c>
    </row>
    <row r="256" spans="1:10" x14ac:dyDescent="0.25">
      <c r="C256" s="1">
        <v>9</v>
      </c>
      <c r="D256" s="1">
        <v>1</v>
      </c>
      <c r="E256" s="1">
        <v>1</v>
      </c>
      <c r="F256" s="1">
        <v>11</v>
      </c>
      <c r="G256" s="1">
        <v>321</v>
      </c>
      <c r="H256" s="1">
        <v>327</v>
      </c>
      <c r="I256" s="1">
        <f t="shared" si="1"/>
        <v>6</v>
      </c>
    </row>
    <row r="257" spans="1:10" x14ac:dyDescent="0.25">
      <c r="C257" s="1">
        <v>9</v>
      </c>
      <c r="D257" s="1">
        <v>1</v>
      </c>
      <c r="E257" s="1">
        <v>1</v>
      </c>
      <c r="F257" s="1">
        <v>12</v>
      </c>
      <c r="G257" s="1">
        <v>327</v>
      </c>
      <c r="H257" s="1">
        <v>361</v>
      </c>
      <c r="I257" s="1">
        <f t="shared" si="1"/>
        <v>34</v>
      </c>
    </row>
    <row r="258" spans="1:10" x14ac:dyDescent="0.25">
      <c r="C258" s="1">
        <v>9</v>
      </c>
      <c r="D258" s="1">
        <v>1</v>
      </c>
      <c r="E258" s="1">
        <v>1</v>
      </c>
      <c r="F258" s="1">
        <v>13</v>
      </c>
      <c r="G258" s="1">
        <v>361</v>
      </c>
      <c r="H258" s="1">
        <v>393</v>
      </c>
      <c r="I258" s="1">
        <f t="shared" si="1"/>
        <v>32</v>
      </c>
    </row>
    <row r="259" spans="1:10" x14ac:dyDescent="0.25">
      <c r="C259" s="1">
        <v>9</v>
      </c>
      <c r="D259" s="1">
        <v>1</v>
      </c>
      <c r="E259" s="1">
        <v>1</v>
      </c>
      <c r="F259" s="1">
        <v>14</v>
      </c>
      <c r="G259" s="1">
        <v>394</v>
      </c>
      <c r="H259" s="1">
        <v>436</v>
      </c>
      <c r="I259" s="1">
        <f t="shared" si="1"/>
        <v>42</v>
      </c>
    </row>
    <row r="260" spans="1:10" x14ac:dyDescent="0.25">
      <c r="C260" s="1">
        <v>9</v>
      </c>
      <c r="D260" s="1">
        <v>1</v>
      </c>
      <c r="E260" s="1">
        <v>1</v>
      </c>
      <c r="F260" s="1">
        <v>15</v>
      </c>
      <c r="G260" s="1">
        <v>436</v>
      </c>
      <c r="H260" s="1">
        <v>441</v>
      </c>
      <c r="I260" s="1">
        <f t="shared" si="1"/>
        <v>5</v>
      </c>
    </row>
    <row r="261" spans="1:10" x14ac:dyDescent="0.25">
      <c r="C261" s="1">
        <v>9</v>
      </c>
      <c r="D261" s="1">
        <v>1</v>
      </c>
      <c r="E261" s="1">
        <v>1</v>
      </c>
      <c r="F261" s="1">
        <v>16</v>
      </c>
      <c r="G261" s="1">
        <v>441</v>
      </c>
      <c r="H261" s="1">
        <v>446</v>
      </c>
      <c r="I261" s="1">
        <f t="shared" si="1"/>
        <v>5</v>
      </c>
    </row>
    <row r="262" spans="1:10" x14ac:dyDescent="0.25">
      <c r="C262" s="1">
        <v>9</v>
      </c>
      <c r="D262" s="1">
        <v>1</v>
      </c>
      <c r="E262" s="1">
        <v>1</v>
      </c>
      <c r="F262" s="1">
        <v>17</v>
      </c>
      <c r="G262" s="1">
        <v>447</v>
      </c>
      <c r="H262" s="1">
        <v>447</v>
      </c>
      <c r="I262" s="1">
        <f t="shared" si="1"/>
        <v>0</v>
      </c>
    </row>
    <row r="263" spans="1:10" x14ac:dyDescent="0.25">
      <c r="C263" s="1">
        <v>9</v>
      </c>
      <c r="D263" s="1">
        <v>1</v>
      </c>
      <c r="E263" s="1">
        <v>1</v>
      </c>
      <c r="F263" s="1">
        <v>18</v>
      </c>
      <c r="G263" s="1">
        <v>447</v>
      </c>
      <c r="H263" s="1">
        <v>448</v>
      </c>
      <c r="I263" s="1">
        <f t="shared" si="1"/>
        <v>1</v>
      </c>
    </row>
    <row r="264" spans="1:10" x14ac:dyDescent="0.25">
      <c r="A264" s="5">
        <v>2</v>
      </c>
      <c r="B264" s="4">
        <v>44181</v>
      </c>
      <c r="C264" s="3">
        <v>10</v>
      </c>
      <c r="D264" s="3">
        <v>2</v>
      </c>
      <c r="E264" s="3">
        <v>1</v>
      </c>
      <c r="F264" s="3">
        <v>1</v>
      </c>
      <c r="G264" s="3">
        <v>23</v>
      </c>
      <c r="H264" s="3">
        <v>25</v>
      </c>
      <c r="I264" s="3">
        <f t="shared" si="1"/>
        <v>2</v>
      </c>
    </row>
    <row r="265" spans="1:10" x14ac:dyDescent="0.25">
      <c r="B265" s="3"/>
      <c r="C265" s="3">
        <v>10</v>
      </c>
      <c r="D265" s="3">
        <v>2</v>
      </c>
      <c r="E265" s="3">
        <v>1</v>
      </c>
      <c r="F265" s="3">
        <v>2</v>
      </c>
      <c r="G265" s="3">
        <v>25</v>
      </c>
      <c r="H265" s="3">
        <v>26</v>
      </c>
      <c r="I265" s="3">
        <f t="shared" si="1"/>
        <v>1</v>
      </c>
    </row>
    <row r="266" spans="1:10" x14ac:dyDescent="0.25">
      <c r="B266" s="3"/>
      <c r="C266" s="3">
        <v>10</v>
      </c>
      <c r="D266" s="3">
        <v>2</v>
      </c>
      <c r="E266" s="3">
        <v>1</v>
      </c>
      <c r="F266" s="3">
        <v>3</v>
      </c>
      <c r="G266" s="3">
        <v>26</v>
      </c>
      <c r="H266" s="3">
        <v>26</v>
      </c>
      <c r="I266" s="3">
        <f t="shared" si="1"/>
        <v>0</v>
      </c>
    </row>
    <row r="267" spans="1:10" x14ac:dyDescent="0.25">
      <c r="B267" s="3"/>
      <c r="C267" s="3">
        <v>10</v>
      </c>
      <c r="D267" s="3">
        <v>2</v>
      </c>
      <c r="E267" s="3">
        <v>1</v>
      </c>
      <c r="F267" s="3">
        <v>4</v>
      </c>
      <c r="G267" s="3">
        <v>26</v>
      </c>
      <c r="H267" s="3">
        <v>26</v>
      </c>
      <c r="I267" s="3">
        <f t="shared" si="1"/>
        <v>0</v>
      </c>
    </row>
    <row r="268" spans="1:10" x14ac:dyDescent="0.25">
      <c r="B268" s="3"/>
      <c r="C268" s="3">
        <v>10</v>
      </c>
      <c r="D268" s="3">
        <v>2</v>
      </c>
      <c r="E268" s="3">
        <v>1</v>
      </c>
      <c r="F268" s="3">
        <v>5</v>
      </c>
      <c r="G268" s="3">
        <v>26</v>
      </c>
      <c r="H268" s="3">
        <v>26</v>
      </c>
      <c r="I268" s="3">
        <f t="shared" si="1"/>
        <v>0</v>
      </c>
    </row>
    <row r="269" spans="1:10" x14ac:dyDescent="0.25">
      <c r="B269" s="3"/>
      <c r="C269" s="3">
        <v>10</v>
      </c>
      <c r="D269" s="3">
        <v>2</v>
      </c>
      <c r="E269" s="3">
        <v>1</v>
      </c>
      <c r="F269" s="3">
        <v>6</v>
      </c>
      <c r="G269" s="3">
        <v>26</v>
      </c>
      <c r="H269" s="3">
        <v>53</v>
      </c>
      <c r="I269" s="3">
        <f t="shared" si="1"/>
        <v>27</v>
      </c>
    </row>
    <row r="270" spans="1:10" x14ac:dyDescent="0.25">
      <c r="B270" s="3"/>
      <c r="C270" s="3">
        <v>10</v>
      </c>
      <c r="D270" s="3">
        <v>2</v>
      </c>
      <c r="E270" s="3">
        <v>1</v>
      </c>
      <c r="F270" s="3">
        <v>7</v>
      </c>
      <c r="G270" s="3">
        <v>53</v>
      </c>
      <c r="H270" s="3">
        <v>53</v>
      </c>
      <c r="I270" s="3">
        <f t="shared" si="1"/>
        <v>0</v>
      </c>
    </row>
    <row r="271" spans="1:10" x14ac:dyDescent="0.25">
      <c r="A271" s="5">
        <v>2</v>
      </c>
      <c r="B271" s="2">
        <v>43819</v>
      </c>
      <c r="C271" s="1">
        <v>11</v>
      </c>
      <c r="D271" s="1">
        <v>1</v>
      </c>
      <c r="E271" s="1">
        <v>1</v>
      </c>
      <c r="F271" s="1">
        <v>1</v>
      </c>
      <c r="G271" s="1">
        <v>5</v>
      </c>
      <c r="H271" s="1">
        <v>53</v>
      </c>
      <c r="I271" s="1">
        <f t="shared" si="1"/>
        <v>48</v>
      </c>
      <c r="J271" s="8">
        <f>(I271+I272+I273+I288+I287+I286+I279+I280+I281)/9</f>
        <v>11.444444444444445</v>
      </c>
    </row>
    <row r="272" spans="1:10" x14ac:dyDescent="0.25">
      <c r="C272" s="1">
        <v>11</v>
      </c>
      <c r="D272" s="1">
        <v>1</v>
      </c>
      <c r="E272" s="1">
        <v>1</v>
      </c>
      <c r="F272" s="1">
        <v>2</v>
      </c>
      <c r="G272" s="1">
        <v>53</v>
      </c>
      <c r="H272" s="1">
        <v>95</v>
      </c>
      <c r="I272" s="1">
        <f t="shared" si="1"/>
        <v>42</v>
      </c>
    </row>
    <row r="273" spans="3:9" x14ac:dyDescent="0.25">
      <c r="C273" s="1">
        <v>11</v>
      </c>
      <c r="D273" s="1">
        <v>1</v>
      </c>
      <c r="E273" s="1">
        <v>1</v>
      </c>
      <c r="F273" s="1">
        <v>3</v>
      </c>
      <c r="G273" s="1">
        <v>98</v>
      </c>
      <c r="H273" s="1">
        <v>104</v>
      </c>
      <c r="I273" s="1">
        <f t="shared" si="1"/>
        <v>6</v>
      </c>
    </row>
    <row r="274" spans="3:9" x14ac:dyDescent="0.25">
      <c r="C274" s="1">
        <v>11</v>
      </c>
      <c r="D274" s="1">
        <v>1</v>
      </c>
      <c r="E274" s="1">
        <v>1</v>
      </c>
      <c r="F274" s="1">
        <v>4</v>
      </c>
      <c r="G274" s="1">
        <v>104</v>
      </c>
      <c r="H274" s="1">
        <v>136</v>
      </c>
      <c r="I274" s="1">
        <f t="shared" si="1"/>
        <v>32</v>
      </c>
    </row>
    <row r="275" spans="3:9" x14ac:dyDescent="0.25">
      <c r="C275" s="1">
        <v>11</v>
      </c>
      <c r="D275" s="1">
        <v>1</v>
      </c>
      <c r="E275" s="1">
        <v>1</v>
      </c>
      <c r="F275" s="1">
        <v>5</v>
      </c>
      <c r="G275" s="1">
        <v>139</v>
      </c>
      <c r="H275" s="1">
        <v>170</v>
      </c>
      <c r="I275" s="1">
        <f t="shared" si="1"/>
        <v>31</v>
      </c>
    </row>
    <row r="276" spans="3:9" x14ac:dyDescent="0.25">
      <c r="C276" s="1">
        <v>11</v>
      </c>
      <c r="D276" s="1">
        <v>1</v>
      </c>
      <c r="E276" s="1">
        <v>1</v>
      </c>
      <c r="F276" s="1">
        <v>6</v>
      </c>
      <c r="G276" s="1">
        <v>172</v>
      </c>
      <c r="H276" s="1">
        <v>185</v>
      </c>
      <c r="I276" s="1">
        <f t="shared" si="1"/>
        <v>13</v>
      </c>
    </row>
    <row r="277" spans="3:9" x14ac:dyDescent="0.25">
      <c r="C277" s="1">
        <v>11</v>
      </c>
      <c r="D277" s="1">
        <v>1</v>
      </c>
      <c r="E277" s="1">
        <v>1</v>
      </c>
      <c r="F277" s="1">
        <v>7</v>
      </c>
      <c r="G277" s="1">
        <v>186</v>
      </c>
      <c r="H277" s="1">
        <v>186</v>
      </c>
      <c r="I277" s="1">
        <f t="shared" si="1"/>
        <v>0</v>
      </c>
    </row>
    <row r="278" spans="3:9" x14ac:dyDescent="0.25">
      <c r="C278" s="1">
        <v>11</v>
      </c>
      <c r="D278" s="1">
        <v>1</v>
      </c>
      <c r="E278" s="1">
        <v>1</v>
      </c>
      <c r="F278" s="1">
        <v>8</v>
      </c>
      <c r="G278" s="1">
        <v>186</v>
      </c>
      <c r="H278" s="1">
        <v>225</v>
      </c>
      <c r="I278" s="1">
        <f t="shared" si="1"/>
        <v>39</v>
      </c>
    </row>
    <row r="279" spans="3:9" x14ac:dyDescent="0.25">
      <c r="C279" s="1">
        <v>11</v>
      </c>
      <c r="D279" s="1">
        <v>1</v>
      </c>
      <c r="E279" s="1">
        <v>1</v>
      </c>
      <c r="F279" s="1">
        <v>9</v>
      </c>
      <c r="G279" s="1">
        <v>225</v>
      </c>
      <c r="H279" s="1">
        <v>228</v>
      </c>
      <c r="I279" s="1">
        <f t="shared" si="1"/>
        <v>3</v>
      </c>
    </row>
    <row r="280" spans="3:9" x14ac:dyDescent="0.25">
      <c r="C280" s="1">
        <v>11</v>
      </c>
      <c r="D280" s="1">
        <v>1</v>
      </c>
      <c r="E280" s="1">
        <v>1</v>
      </c>
      <c r="F280" s="1">
        <v>10</v>
      </c>
      <c r="G280" s="1">
        <v>228</v>
      </c>
      <c r="H280" s="1">
        <v>232</v>
      </c>
      <c r="I280" s="1">
        <f t="shared" si="1"/>
        <v>4</v>
      </c>
    </row>
    <row r="281" spans="3:9" x14ac:dyDescent="0.25">
      <c r="C281" s="1">
        <v>11</v>
      </c>
      <c r="D281" s="1">
        <v>1</v>
      </c>
      <c r="E281" s="1">
        <v>1</v>
      </c>
      <c r="F281" s="1">
        <v>11</v>
      </c>
      <c r="G281" s="1">
        <v>233</v>
      </c>
      <c r="H281" s="1">
        <v>233</v>
      </c>
      <c r="I281" s="1">
        <f t="shared" si="1"/>
        <v>0</v>
      </c>
    </row>
    <row r="282" spans="3:9" x14ac:dyDescent="0.25">
      <c r="C282" s="1">
        <v>11</v>
      </c>
      <c r="D282" s="1">
        <v>1</v>
      </c>
      <c r="E282" s="1">
        <v>1</v>
      </c>
      <c r="F282" s="1">
        <v>12</v>
      </c>
      <c r="G282" s="1">
        <v>237</v>
      </c>
      <c r="H282" s="1">
        <v>240</v>
      </c>
      <c r="I282" s="1">
        <f t="shared" si="1"/>
        <v>3</v>
      </c>
    </row>
    <row r="283" spans="3:9" x14ac:dyDescent="0.25">
      <c r="C283" s="1">
        <v>11</v>
      </c>
      <c r="D283" s="1">
        <v>1</v>
      </c>
      <c r="E283" s="1">
        <v>1</v>
      </c>
      <c r="F283" s="1">
        <v>13</v>
      </c>
      <c r="G283" s="1">
        <v>240</v>
      </c>
      <c r="H283" s="1">
        <v>240</v>
      </c>
      <c r="I283" s="1">
        <f t="shared" si="1"/>
        <v>0</v>
      </c>
    </row>
    <row r="284" spans="3:9" x14ac:dyDescent="0.25">
      <c r="C284" s="1">
        <v>11</v>
      </c>
      <c r="D284" s="1">
        <v>1</v>
      </c>
      <c r="E284" s="1">
        <v>1</v>
      </c>
      <c r="F284" s="1">
        <v>14</v>
      </c>
      <c r="G284" s="1">
        <v>240</v>
      </c>
      <c r="H284" s="1">
        <v>240</v>
      </c>
      <c r="I284" s="1">
        <f t="shared" si="1"/>
        <v>0</v>
      </c>
    </row>
    <row r="285" spans="3:9" x14ac:dyDescent="0.25">
      <c r="C285" s="1">
        <v>11</v>
      </c>
      <c r="D285" s="1">
        <v>1</v>
      </c>
      <c r="E285" s="1">
        <v>1</v>
      </c>
      <c r="F285" s="1">
        <v>15</v>
      </c>
      <c r="G285" s="1">
        <v>240</v>
      </c>
      <c r="H285" s="1">
        <v>240</v>
      </c>
      <c r="I285" s="1">
        <f t="shared" si="1"/>
        <v>0</v>
      </c>
    </row>
    <row r="286" spans="3:9" x14ac:dyDescent="0.25">
      <c r="C286" s="1">
        <v>11</v>
      </c>
      <c r="D286" s="1">
        <v>1</v>
      </c>
      <c r="E286" s="1">
        <v>1</v>
      </c>
      <c r="F286" s="1">
        <v>16</v>
      </c>
      <c r="G286" s="1">
        <v>240</v>
      </c>
      <c r="H286" s="1">
        <v>240</v>
      </c>
      <c r="I286" s="1">
        <f t="shared" si="1"/>
        <v>0</v>
      </c>
    </row>
    <row r="287" spans="3:9" x14ac:dyDescent="0.25">
      <c r="C287" s="1">
        <v>11</v>
      </c>
      <c r="D287" s="1">
        <v>1</v>
      </c>
      <c r="E287" s="1">
        <v>1</v>
      </c>
      <c r="F287" s="1">
        <v>17</v>
      </c>
      <c r="G287" s="1">
        <v>240</v>
      </c>
      <c r="H287" s="1">
        <v>240</v>
      </c>
      <c r="I287" s="1">
        <f t="shared" si="1"/>
        <v>0</v>
      </c>
    </row>
    <row r="288" spans="3:9" x14ac:dyDescent="0.25">
      <c r="C288" s="1">
        <v>11</v>
      </c>
      <c r="D288" s="1">
        <v>1</v>
      </c>
      <c r="E288" s="1">
        <v>1</v>
      </c>
      <c r="F288" s="1">
        <v>18</v>
      </c>
      <c r="G288" s="1">
        <v>240</v>
      </c>
      <c r="H288" s="1">
        <v>240</v>
      </c>
      <c r="I288" s="1">
        <f t="shared" si="1"/>
        <v>0</v>
      </c>
    </row>
    <row r="289" spans="1:10" x14ac:dyDescent="0.25">
      <c r="A289" s="5">
        <v>1</v>
      </c>
      <c r="B289" s="2">
        <v>43887</v>
      </c>
      <c r="C289" s="1">
        <v>13</v>
      </c>
      <c r="D289" s="1">
        <v>1</v>
      </c>
      <c r="E289" s="1">
        <v>1</v>
      </c>
      <c r="F289" s="1">
        <v>1</v>
      </c>
      <c r="G289" s="1">
        <v>0</v>
      </c>
      <c r="H289" s="1">
        <v>0</v>
      </c>
      <c r="I289" s="1">
        <f t="shared" si="1"/>
        <v>0</v>
      </c>
      <c r="J289" s="8">
        <f>(I289+I290+I291+I300+I299+I298+I295+I294+I296)/9</f>
        <v>0</v>
      </c>
    </row>
    <row r="290" spans="1:10" x14ac:dyDescent="0.25">
      <c r="C290" s="1">
        <v>13</v>
      </c>
      <c r="D290" s="1">
        <v>1</v>
      </c>
      <c r="E290" s="1">
        <v>1</v>
      </c>
      <c r="F290" s="1">
        <v>2</v>
      </c>
      <c r="G290" s="1">
        <v>0</v>
      </c>
      <c r="H290" s="1">
        <v>0</v>
      </c>
      <c r="I290" s="1">
        <f t="shared" si="1"/>
        <v>0</v>
      </c>
    </row>
    <row r="291" spans="1:10" x14ac:dyDescent="0.25">
      <c r="C291" s="1">
        <v>13</v>
      </c>
      <c r="D291" s="1">
        <v>1</v>
      </c>
      <c r="E291" s="1">
        <v>1</v>
      </c>
      <c r="F291" s="1">
        <v>3</v>
      </c>
      <c r="G291" s="1">
        <v>0</v>
      </c>
      <c r="H291" s="1">
        <v>0</v>
      </c>
      <c r="I291" s="1">
        <f t="shared" si="1"/>
        <v>0</v>
      </c>
    </row>
    <row r="292" spans="1:10" x14ac:dyDescent="0.25">
      <c r="C292" s="1">
        <v>13</v>
      </c>
      <c r="D292" s="1">
        <v>1</v>
      </c>
      <c r="E292" s="1">
        <v>1</v>
      </c>
      <c r="F292" s="1">
        <v>4</v>
      </c>
      <c r="G292" s="1">
        <v>0</v>
      </c>
      <c r="H292" s="1">
        <v>1</v>
      </c>
      <c r="I292" s="1">
        <f t="shared" si="1"/>
        <v>1</v>
      </c>
    </row>
    <row r="293" spans="1:10" x14ac:dyDescent="0.25">
      <c r="C293" s="1">
        <v>13</v>
      </c>
      <c r="D293" s="1">
        <v>1</v>
      </c>
      <c r="E293" s="1">
        <v>1</v>
      </c>
      <c r="F293" s="1">
        <v>5</v>
      </c>
      <c r="G293" s="1">
        <v>1</v>
      </c>
      <c r="H293" s="1">
        <v>1</v>
      </c>
      <c r="I293" s="1">
        <f t="shared" si="1"/>
        <v>0</v>
      </c>
    </row>
    <row r="294" spans="1:10" x14ac:dyDescent="0.25">
      <c r="C294" s="1">
        <v>13</v>
      </c>
      <c r="D294" s="1">
        <v>1</v>
      </c>
      <c r="E294" s="1">
        <v>1</v>
      </c>
      <c r="F294" s="1">
        <v>6</v>
      </c>
      <c r="G294" s="1">
        <v>1</v>
      </c>
      <c r="H294" s="1">
        <v>1</v>
      </c>
      <c r="I294" s="1">
        <f t="shared" si="1"/>
        <v>0</v>
      </c>
    </row>
    <row r="295" spans="1:10" x14ac:dyDescent="0.25">
      <c r="C295" s="1">
        <v>13</v>
      </c>
      <c r="D295" s="1">
        <v>1</v>
      </c>
      <c r="E295" s="1">
        <v>1</v>
      </c>
      <c r="F295" s="1">
        <v>7</v>
      </c>
      <c r="G295" s="1">
        <v>1</v>
      </c>
      <c r="H295" s="1">
        <v>1</v>
      </c>
      <c r="I295" s="1">
        <f t="shared" si="1"/>
        <v>0</v>
      </c>
    </row>
    <row r="296" spans="1:10" x14ac:dyDescent="0.25">
      <c r="C296" s="1">
        <v>13</v>
      </c>
      <c r="D296" s="1">
        <v>1</v>
      </c>
      <c r="E296" s="1">
        <v>1</v>
      </c>
      <c r="F296" s="1">
        <v>8</v>
      </c>
      <c r="G296" s="1">
        <v>1</v>
      </c>
      <c r="H296" s="1">
        <v>1</v>
      </c>
      <c r="I296" s="1">
        <f t="shared" si="1"/>
        <v>0</v>
      </c>
    </row>
    <row r="297" spans="1:10" x14ac:dyDescent="0.25">
      <c r="C297" s="1">
        <v>13</v>
      </c>
      <c r="D297" s="1">
        <v>1</v>
      </c>
      <c r="E297" s="1">
        <v>1</v>
      </c>
      <c r="F297" s="1">
        <v>9</v>
      </c>
      <c r="G297" s="1">
        <v>1</v>
      </c>
      <c r="H297" s="1">
        <v>1</v>
      </c>
      <c r="I297" s="1">
        <f t="shared" si="1"/>
        <v>0</v>
      </c>
    </row>
    <row r="298" spans="1:10" x14ac:dyDescent="0.25">
      <c r="C298" s="1">
        <v>13</v>
      </c>
      <c r="D298" s="1">
        <v>1</v>
      </c>
      <c r="E298" s="1">
        <v>1</v>
      </c>
      <c r="F298" s="1">
        <v>10</v>
      </c>
      <c r="G298" s="1">
        <v>1</v>
      </c>
      <c r="H298" s="1">
        <v>1</v>
      </c>
      <c r="I298" s="1">
        <f t="shared" si="1"/>
        <v>0</v>
      </c>
    </row>
    <row r="299" spans="1:10" x14ac:dyDescent="0.25">
      <c r="C299" s="1">
        <v>13</v>
      </c>
      <c r="D299" s="1">
        <v>1</v>
      </c>
      <c r="E299" s="1">
        <v>1</v>
      </c>
      <c r="F299" s="1">
        <v>11</v>
      </c>
      <c r="G299" s="1">
        <v>1</v>
      </c>
      <c r="H299" s="1">
        <v>1</v>
      </c>
      <c r="I299" s="1">
        <f t="shared" si="1"/>
        <v>0</v>
      </c>
    </row>
    <row r="300" spans="1:10" x14ac:dyDescent="0.25">
      <c r="C300" s="1">
        <v>13</v>
      </c>
      <c r="D300" s="1">
        <v>1</v>
      </c>
      <c r="E300" s="1">
        <v>1</v>
      </c>
      <c r="F300" s="1">
        <v>12</v>
      </c>
      <c r="G300" s="1">
        <v>1</v>
      </c>
      <c r="H300" s="1">
        <v>1</v>
      </c>
      <c r="I300" s="1">
        <f t="shared" si="1"/>
        <v>0</v>
      </c>
    </row>
    <row r="301" spans="1:10" x14ac:dyDescent="0.25">
      <c r="A301" s="5">
        <v>1</v>
      </c>
      <c r="B301" s="2">
        <v>43885</v>
      </c>
      <c r="C301" s="1">
        <v>14</v>
      </c>
      <c r="D301" s="1">
        <v>2</v>
      </c>
      <c r="E301" s="1">
        <v>1</v>
      </c>
      <c r="F301" s="1">
        <v>1</v>
      </c>
      <c r="G301" s="1">
        <v>0</v>
      </c>
      <c r="H301" s="1">
        <v>0</v>
      </c>
      <c r="I301" s="1">
        <f t="shared" si="1"/>
        <v>0</v>
      </c>
      <c r="J301" s="8">
        <f>(I301+I302+I303+I322+I321+I320+I312+I311+I313)/9</f>
        <v>17</v>
      </c>
    </row>
    <row r="302" spans="1:10" x14ac:dyDescent="0.25">
      <c r="C302" s="1">
        <v>14</v>
      </c>
      <c r="D302" s="1">
        <v>2</v>
      </c>
      <c r="E302" s="1">
        <v>1</v>
      </c>
      <c r="F302" s="1">
        <v>2</v>
      </c>
      <c r="G302" s="1">
        <v>0</v>
      </c>
      <c r="H302" s="1">
        <v>9</v>
      </c>
      <c r="I302" s="1">
        <f t="shared" si="1"/>
        <v>9</v>
      </c>
    </row>
    <row r="303" spans="1:10" x14ac:dyDescent="0.25">
      <c r="C303" s="1">
        <v>14</v>
      </c>
      <c r="D303" s="1">
        <v>2</v>
      </c>
      <c r="E303" s="1">
        <v>1</v>
      </c>
      <c r="F303" s="1">
        <v>3</v>
      </c>
      <c r="G303" s="1">
        <v>9</v>
      </c>
      <c r="H303" s="1">
        <v>13</v>
      </c>
      <c r="I303" s="1">
        <f t="shared" si="1"/>
        <v>4</v>
      </c>
    </row>
    <row r="304" spans="1:10" x14ac:dyDescent="0.25">
      <c r="C304" s="1">
        <v>14</v>
      </c>
      <c r="D304" s="1">
        <v>2</v>
      </c>
      <c r="E304" s="1">
        <v>1</v>
      </c>
      <c r="F304" s="1">
        <v>4</v>
      </c>
      <c r="G304" s="1">
        <v>13</v>
      </c>
      <c r="H304" s="1">
        <v>13</v>
      </c>
      <c r="I304" s="1">
        <f t="shared" si="1"/>
        <v>0</v>
      </c>
    </row>
    <row r="305" spans="3:9" x14ac:dyDescent="0.25">
      <c r="C305" s="1">
        <v>14</v>
      </c>
      <c r="D305" s="1">
        <v>2</v>
      </c>
      <c r="E305" s="1">
        <v>1</v>
      </c>
      <c r="F305" s="1">
        <v>5</v>
      </c>
      <c r="G305" s="1">
        <v>13</v>
      </c>
      <c r="H305" s="1">
        <v>20</v>
      </c>
      <c r="I305" s="1">
        <f t="shared" si="1"/>
        <v>7</v>
      </c>
    </row>
    <row r="306" spans="3:9" x14ac:dyDescent="0.25">
      <c r="C306" s="1">
        <v>14</v>
      </c>
      <c r="D306" s="1">
        <v>2</v>
      </c>
      <c r="E306" s="1">
        <v>1</v>
      </c>
      <c r="F306" s="1">
        <v>6</v>
      </c>
      <c r="G306" s="1">
        <v>21</v>
      </c>
      <c r="H306" s="1">
        <v>21</v>
      </c>
      <c r="I306" s="1">
        <f t="shared" si="1"/>
        <v>0</v>
      </c>
    </row>
    <row r="307" spans="3:9" x14ac:dyDescent="0.25">
      <c r="C307" s="1">
        <v>14</v>
      </c>
      <c r="D307" s="1">
        <v>2</v>
      </c>
      <c r="E307" s="1">
        <v>1</v>
      </c>
      <c r="F307" s="1">
        <v>7</v>
      </c>
      <c r="G307" s="1">
        <v>21</v>
      </c>
      <c r="H307" s="1">
        <v>29</v>
      </c>
      <c r="I307" s="1">
        <f t="shared" si="1"/>
        <v>8</v>
      </c>
    </row>
    <row r="308" spans="3:9" x14ac:dyDescent="0.25">
      <c r="C308" s="1">
        <v>14</v>
      </c>
      <c r="D308" s="1">
        <v>2</v>
      </c>
      <c r="E308" s="1">
        <v>1</v>
      </c>
      <c r="F308" s="1">
        <v>8</v>
      </c>
      <c r="G308" s="1">
        <v>31</v>
      </c>
      <c r="H308" s="1">
        <v>31</v>
      </c>
      <c r="I308" s="1">
        <f t="shared" si="1"/>
        <v>0</v>
      </c>
    </row>
    <row r="309" spans="3:9" x14ac:dyDescent="0.25">
      <c r="C309" s="1">
        <v>14</v>
      </c>
      <c r="D309" s="1">
        <v>2</v>
      </c>
      <c r="E309" s="1">
        <v>1</v>
      </c>
      <c r="F309" s="1">
        <v>9</v>
      </c>
      <c r="G309" s="1">
        <v>31</v>
      </c>
      <c r="H309" s="1">
        <v>31</v>
      </c>
      <c r="I309" s="1">
        <f t="shared" si="1"/>
        <v>0</v>
      </c>
    </row>
    <row r="310" spans="3:9" x14ac:dyDescent="0.25">
      <c r="C310" s="1">
        <v>14</v>
      </c>
      <c r="D310" s="1">
        <v>2</v>
      </c>
      <c r="E310" s="1">
        <v>1</v>
      </c>
      <c r="F310" s="1">
        <v>10</v>
      </c>
      <c r="G310" s="1">
        <v>32</v>
      </c>
      <c r="H310" s="1">
        <v>32</v>
      </c>
      <c r="I310" s="1">
        <f t="shared" si="1"/>
        <v>0</v>
      </c>
    </row>
    <row r="311" spans="3:9" x14ac:dyDescent="0.25">
      <c r="C311" s="1">
        <v>14</v>
      </c>
      <c r="D311" s="1">
        <v>2</v>
      </c>
      <c r="E311" s="1">
        <v>1</v>
      </c>
      <c r="F311" s="1">
        <v>11</v>
      </c>
      <c r="G311" s="1">
        <v>32</v>
      </c>
      <c r="H311" s="1">
        <v>75</v>
      </c>
      <c r="I311" s="1">
        <f t="shared" si="1"/>
        <v>43</v>
      </c>
    </row>
    <row r="312" spans="3:9" x14ac:dyDescent="0.25">
      <c r="C312" s="1">
        <v>14</v>
      </c>
      <c r="D312" s="1">
        <v>2</v>
      </c>
      <c r="E312" s="1">
        <v>1</v>
      </c>
      <c r="F312" s="1">
        <v>12</v>
      </c>
      <c r="G312" s="1">
        <v>75</v>
      </c>
      <c r="H312" s="1">
        <v>117</v>
      </c>
      <c r="I312" s="1">
        <f t="shared" si="1"/>
        <v>42</v>
      </c>
    </row>
    <row r="313" spans="3:9" x14ac:dyDescent="0.25">
      <c r="C313" s="1">
        <v>14</v>
      </c>
      <c r="D313" s="1">
        <v>2</v>
      </c>
      <c r="E313" s="1">
        <v>1</v>
      </c>
      <c r="F313" s="1">
        <v>13</v>
      </c>
      <c r="G313" s="1">
        <v>117</v>
      </c>
      <c r="H313" s="1">
        <v>150</v>
      </c>
      <c r="I313" s="1">
        <f t="shared" si="1"/>
        <v>33</v>
      </c>
    </row>
    <row r="314" spans="3:9" x14ac:dyDescent="0.25">
      <c r="C314" s="1">
        <v>14</v>
      </c>
      <c r="D314" s="1">
        <v>2</v>
      </c>
      <c r="E314" s="1">
        <v>1</v>
      </c>
      <c r="F314" s="1">
        <v>14</v>
      </c>
      <c r="G314" s="1">
        <v>150</v>
      </c>
      <c r="H314" s="1">
        <v>193</v>
      </c>
      <c r="I314" s="1">
        <f t="shared" si="1"/>
        <v>43</v>
      </c>
    </row>
    <row r="315" spans="3:9" x14ac:dyDescent="0.25">
      <c r="C315" s="1">
        <v>14</v>
      </c>
      <c r="D315" s="1">
        <v>2</v>
      </c>
      <c r="E315" s="1">
        <v>1</v>
      </c>
      <c r="F315" s="1">
        <v>15</v>
      </c>
      <c r="G315" s="1">
        <v>193</v>
      </c>
      <c r="H315" s="1">
        <v>234</v>
      </c>
      <c r="I315" s="1">
        <f t="shared" si="1"/>
        <v>41</v>
      </c>
    </row>
    <row r="316" spans="3:9" x14ac:dyDescent="0.25">
      <c r="C316" s="1">
        <v>14</v>
      </c>
      <c r="D316" s="1">
        <v>2</v>
      </c>
      <c r="E316" s="1">
        <v>1</v>
      </c>
      <c r="F316" s="1">
        <v>16</v>
      </c>
      <c r="G316" s="1">
        <v>234</v>
      </c>
      <c r="H316" s="1">
        <v>271</v>
      </c>
      <c r="I316" s="1">
        <f t="shared" si="1"/>
        <v>37</v>
      </c>
    </row>
    <row r="317" spans="3:9" x14ac:dyDescent="0.25">
      <c r="C317" s="1">
        <v>14</v>
      </c>
      <c r="D317" s="1">
        <v>2</v>
      </c>
      <c r="E317" s="1">
        <v>1</v>
      </c>
      <c r="F317" s="1">
        <v>17</v>
      </c>
      <c r="G317" s="1">
        <v>271</v>
      </c>
      <c r="H317" s="1">
        <v>306</v>
      </c>
      <c r="I317" s="1">
        <f t="shared" si="1"/>
        <v>35</v>
      </c>
    </row>
    <row r="318" spans="3:9" x14ac:dyDescent="0.25">
      <c r="C318" s="1">
        <v>14</v>
      </c>
      <c r="D318" s="1">
        <v>2</v>
      </c>
      <c r="E318" s="1">
        <v>1</v>
      </c>
      <c r="F318" s="1">
        <v>18</v>
      </c>
      <c r="G318" s="1">
        <v>306</v>
      </c>
      <c r="H318" s="1">
        <v>337</v>
      </c>
      <c r="I318" s="1">
        <f t="shared" si="1"/>
        <v>31</v>
      </c>
    </row>
    <row r="319" spans="3:9" x14ac:dyDescent="0.25">
      <c r="C319" s="1">
        <v>14</v>
      </c>
      <c r="D319" s="1">
        <v>2</v>
      </c>
      <c r="E319" s="1">
        <v>1</v>
      </c>
      <c r="F319" s="1">
        <v>19</v>
      </c>
      <c r="G319" s="1">
        <v>337</v>
      </c>
      <c r="H319" s="1">
        <v>362</v>
      </c>
      <c r="I319" s="1">
        <f t="shared" si="1"/>
        <v>25</v>
      </c>
    </row>
    <row r="320" spans="3:9" x14ac:dyDescent="0.25">
      <c r="C320" s="1">
        <v>14</v>
      </c>
      <c r="D320" s="1">
        <v>2</v>
      </c>
      <c r="E320" s="1">
        <v>1</v>
      </c>
      <c r="F320" s="1">
        <v>20</v>
      </c>
      <c r="G320" s="1">
        <v>362</v>
      </c>
      <c r="H320" s="1">
        <v>362</v>
      </c>
      <c r="I320" s="1">
        <f t="shared" si="1"/>
        <v>0</v>
      </c>
    </row>
    <row r="321" spans="1:10" x14ac:dyDescent="0.25">
      <c r="C321" s="1">
        <v>14</v>
      </c>
      <c r="D321" s="1">
        <v>2</v>
      </c>
      <c r="E321" s="1">
        <v>1</v>
      </c>
      <c r="F321" s="1">
        <v>21</v>
      </c>
      <c r="G321" s="1">
        <v>362</v>
      </c>
      <c r="H321" s="1">
        <v>384</v>
      </c>
      <c r="I321" s="1">
        <f t="shared" si="1"/>
        <v>22</v>
      </c>
    </row>
    <row r="322" spans="1:10" x14ac:dyDescent="0.25">
      <c r="C322" s="1">
        <v>14</v>
      </c>
      <c r="D322" s="1">
        <v>2</v>
      </c>
      <c r="E322" s="1">
        <v>1</v>
      </c>
      <c r="F322" s="1">
        <v>22</v>
      </c>
      <c r="G322" s="1">
        <v>384</v>
      </c>
      <c r="H322" s="1">
        <v>384</v>
      </c>
      <c r="I322" s="1">
        <f t="shared" si="1"/>
        <v>0</v>
      </c>
    </row>
    <row r="323" spans="1:10" x14ac:dyDescent="0.25">
      <c r="A323" s="5">
        <v>1</v>
      </c>
      <c r="B323" s="2">
        <v>43889</v>
      </c>
      <c r="C323" s="1">
        <v>15</v>
      </c>
      <c r="D323" s="1">
        <v>1</v>
      </c>
      <c r="E323" s="1">
        <v>1</v>
      </c>
      <c r="F323" s="1">
        <v>1</v>
      </c>
      <c r="G323" s="1">
        <v>3</v>
      </c>
      <c r="H323" s="1">
        <v>56</v>
      </c>
      <c r="I323" s="1">
        <f t="shared" si="1"/>
        <v>53</v>
      </c>
      <c r="J323" s="8">
        <f>(I323+I324+I325+I347+I346+I345+I334+I335+I336)/9</f>
        <v>42</v>
      </c>
    </row>
    <row r="324" spans="1:10" x14ac:dyDescent="0.25">
      <c r="C324" s="1">
        <v>15</v>
      </c>
      <c r="D324" s="1">
        <v>1</v>
      </c>
      <c r="E324" s="1">
        <v>1</v>
      </c>
      <c r="F324" s="1">
        <v>2</v>
      </c>
      <c r="G324" s="1">
        <v>56</v>
      </c>
      <c r="H324" s="1">
        <v>78</v>
      </c>
      <c r="I324" s="1">
        <f t="shared" si="1"/>
        <v>22</v>
      </c>
    </row>
    <row r="325" spans="1:10" x14ac:dyDescent="0.25">
      <c r="C325" s="1">
        <v>15</v>
      </c>
      <c r="D325" s="1">
        <v>1</v>
      </c>
      <c r="E325" s="1">
        <v>1</v>
      </c>
      <c r="F325" s="1">
        <v>3</v>
      </c>
      <c r="G325" s="1">
        <v>78</v>
      </c>
      <c r="H325" s="1">
        <v>117</v>
      </c>
      <c r="I325" s="1">
        <f t="shared" si="1"/>
        <v>39</v>
      </c>
    </row>
    <row r="326" spans="1:10" x14ac:dyDescent="0.25">
      <c r="C326" s="1">
        <v>15</v>
      </c>
      <c r="D326" s="1">
        <v>1</v>
      </c>
      <c r="E326" s="1">
        <v>1</v>
      </c>
      <c r="F326" s="1">
        <v>4</v>
      </c>
      <c r="G326" s="1">
        <v>117</v>
      </c>
      <c r="H326" s="1">
        <v>173</v>
      </c>
      <c r="I326" s="1">
        <f t="shared" si="1"/>
        <v>56</v>
      </c>
    </row>
    <row r="327" spans="1:10" x14ac:dyDescent="0.25">
      <c r="C327" s="1">
        <v>15</v>
      </c>
      <c r="D327" s="1">
        <v>1</v>
      </c>
      <c r="E327" s="1">
        <v>1</v>
      </c>
      <c r="F327" s="1">
        <v>5</v>
      </c>
      <c r="G327" s="1">
        <v>173</v>
      </c>
      <c r="H327" s="1">
        <v>209</v>
      </c>
      <c r="I327" s="1">
        <f t="shared" si="1"/>
        <v>36</v>
      </c>
    </row>
    <row r="328" spans="1:10" x14ac:dyDescent="0.25">
      <c r="C328" s="1">
        <v>15</v>
      </c>
      <c r="D328" s="1">
        <v>1</v>
      </c>
      <c r="E328" s="1">
        <v>1</v>
      </c>
      <c r="F328" s="1">
        <v>6</v>
      </c>
      <c r="G328" s="1">
        <v>209</v>
      </c>
      <c r="H328" s="1">
        <v>241</v>
      </c>
      <c r="I328" s="1">
        <f t="shared" si="1"/>
        <v>32</v>
      </c>
    </row>
    <row r="329" spans="1:10" x14ac:dyDescent="0.25">
      <c r="C329" s="1">
        <v>15</v>
      </c>
      <c r="D329" s="1">
        <v>1</v>
      </c>
      <c r="E329" s="1">
        <v>1</v>
      </c>
      <c r="F329" s="1">
        <v>7</v>
      </c>
      <c r="G329" s="1">
        <v>241</v>
      </c>
      <c r="H329" s="1">
        <v>297</v>
      </c>
      <c r="I329" s="1">
        <f t="shared" si="1"/>
        <v>56</v>
      </c>
    </row>
    <row r="330" spans="1:10" x14ac:dyDescent="0.25">
      <c r="C330" s="1">
        <v>15</v>
      </c>
      <c r="D330" s="1">
        <v>1</v>
      </c>
      <c r="E330" s="1">
        <v>1</v>
      </c>
      <c r="F330" s="1">
        <v>8</v>
      </c>
      <c r="G330" s="1">
        <v>297</v>
      </c>
      <c r="H330" s="1">
        <v>344</v>
      </c>
      <c r="I330" s="1">
        <f t="shared" si="1"/>
        <v>47</v>
      </c>
    </row>
    <row r="331" spans="1:10" x14ac:dyDescent="0.25">
      <c r="C331" s="1">
        <v>15</v>
      </c>
      <c r="D331" s="1">
        <v>1</v>
      </c>
      <c r="E331" s="1">
        <v>1</v>
      </c>
      <c r="F331" s="1">
        <v>9</v>
      </c>
      <c r="G331" s="1">
        <v>344</v>
      </c>
      <c r="H331" s="1">
        <v>387</v>
      </c>
      <c r="I331" s="1">
        <f t="shared" si="1"/>
        <v>43</v>
      </c>
    </row>
    <row r="332" spans="1:10" x14ac:dyDescent="0.25">
      <c r="C332" s="1">
        <v>15</v>
      </c>
      <c r="D332" s="1">
        <v>1</v>
      </c>
      <c r="E332" s="1">
        <v>1</v>
      </c>
      <c r="F332" s="1">
        <v>10</v>
      </c>
      <c r="G332" s="1">
        <v>387</v>
      </c>
      <c r="H332" s="1">
        <v>434</v>
      </c>
      <c r="I332" s="1">
        <f t="shared" si="1"/>
        <v>47</v>
      </c>
    </row>
    <row r="333" spans="1:10" x14ac:dyDescent="0.25">
      <c r="C333" s="1">
        <v>15</v>
      </c>
      <c r="D333" s="1">
        <v>1</v>
      </c>
      <c r="E333" s="1">
        <v>1</v>
      </c>
      <c r="F333" s="1">
        <v>11</v>
      </c>
      <c r="G333" s="1">
        <v>434</v>
      </c>
      <c r="H333" s="1">
        <v>481</v>
      </c>
      <c r="I333" s="1">
        <f t="shared" si="1"/>
        <v>47</v>
      </c>
    </row>
    <row r="334" spans="1:10" x14ac:dyDescent="0.25">
      <c r="C334" s="1">
        <v>15</v>
      </c>
      <c r="D334" s="1">
        <v>1</v>
      </c>
      <c r="E334" s="1">
        <v>1</v>
      </c>
      <c r="F334" s="1">
        <v>12</v>
      </c>
      <c r="G334" s="1">
        <v>481</v>
      </c>
      <c r="H334" s="1">
        <v>521</v>
      </c>
      <c r="I334" s="1">
        <f t="shared" si="1"/>
        <v>40</v>
      </c>
    </row>
    <row r="335" spans="1:10" x14ac:dyDescent="0.25">
      <c r="C335" s="1">
        <v>15</v>
      </c>
      <c r="D335" s="1">
        <v>1</v>
      </c>
      <c r="E335" s="1">
        <v>1</v>
      </c>
      <c r="F335" s="1">
        <v>13</v>
      </c>
      <c r="G335" s="1">
        <v>521</v>
      </c>
      <c r="H335" s="1">
        <v>566</v>
      </c>
      <c r="I335" s="1">
        <f t="shared" si="1"/>
        <v>45</v>
      </c>
    </row>
    <row r="336" spans="1:10" x14ac:dyDescent="0.25">
      <c r="C336" s="1">
        <v>15</v>
      </c>
      <c r="D336" s="1">
        <v>1</v>
      </c>
      <c r="E336" s="1">
        <v>1</v>
      </c>
      <c r="F336" s="1">
        <v>14</v>
      </c>
      <c r="G336" s="1">
        <v>566</v>
      </c>
      <c r="H336" s="1">
        <v>615</v>
      </c>
      <c r="I336" s="1">
        <f t="shared" si="1"/>
        <v>49</v>
      </c>
    </row>
    <row r="337" spans="1:10" x14ac:dyDescent="0.25">
      <c r="C337" s="1">
        <v>15</v>
      </c>
      <c r="D337" s="1">
        <v>1</v>
      </c>
      <c r="E337" s="1">
        <v>1</v>
      </c>
      <c r="F337" s="1">
        <v>15</v>
      </c>
      <c r="G337" s="1">
        <v>615</v>
      </c>
      <c r="H337" s="1">
        <v>665</v>
      </c>
      <c r="I337" s="1">
        <f t="shared" si="1"/>
        <v>50</v>
      </c>
    </row>
    <row r="338" spans="1:10" x14ac:dyDescent="0.25">
      <c r="C338" s="1">
        <v>15</v>
      </c>
      <c r="D338" s="1">
        <v>1</v>
      </c>
      <c r="E338" s="1">
        <v>1</v>
      </c>
      <c r="F338" s="1">
        <v>16</v>
      </c>
      <c r="G338" s="1">
        <v>665</v>
      </c>
      <c r="H338" s="1">
        <v>717</v>
      </c>
      <c r="I338" s="1">
        <f t="shared" si="1"/>
        <v>52</v>
      </c>
    </row>
    <row r="339" spans="1:10" x14ac:dyDescent="0.25">
      <c r="C339" s="1">
        <v>15</v>
      </c>
      <c r="D339" s="1">
        <v>1</v>
      </c>
      <c r="E339" s="1">
        <v>1</v>
      </c>
      <c r="F339" s="1">
        <v>17</v>
      </c>
      <c r="G339" s="1">
        <v>717</v>
      </c>
      <c r="H339" s="1">
        <v>764</v>
      </c>
      <c r="I339" s="1">
        <f t="shared" si="1"/>
        <v>47</v>
      </c>
    </row>
    <row r="340" spans="1:10" x14ac:dyDescent="0.25">
      <c r="C340" s="1">
        <v>15</v>
      </c>
      <c r="D340" s="1">
        <v>1</v>
      </c>
      <c r="E340" s="1">
        <v>1</v>
      </c>
      <c r="F340" s="1">
        <v>18</v>
      </c>
      <c r="G340" s="1">
        <v>764</v>
      </c>
      <c r="H340" s="1">
        <v>799</v>
      </c>
      <c r="I340" s="1">
        <f t="shared" si="1"/>
        <v>35</v>
      </c>
    </row>
    <row r="341" spans="1:10" x14ac:dyDescent="0.25">
      <c r="C341" s="1">
        <v>15</v>
      </c>
      <c r="D341" s="1">
        <v>1</v>
      </c>
      <c r="E341" s="1">
        <v>1</v>
      </c>
      <c r="F341" s="1">
        <v>19</v>
      </c>
      <c r="G341" s="1">
        <v>809</v>
      </c>
      <c r="H341" s="1">
        <v>863</v>
      </c>
      <c r="I341" s="1">
        <f t="shared" si="1"/>
        <v>54</v>
      </c>
    </row>
    <row r="342" spans="1:10" x14ac:dyDescent="0.25">
      <c r="C342" s="1">
        <v>15</v>
      </c>
      <c r="D342" s="1">
        <v>1</v>
      </c>
      <c r="E342" s="1">
        <v>1</v>
      </c>
      <c r="F342" s="1">
        <v>20</v>
      </c>
      <c r="G342" s="1">
        <v>863</v>
      </c>
      <c r="H342" s="1">
        <v>910</v>
      </c>
      <c r="I342" s="1">
        <f t="shared" si="1"/>
        <v>47</v>
      </c>
    </row>
    <row r="343" spans="1:10" x14ac:dyDescent="0.25">
      <c r="C343" s="1">
        <v>15</v>
      </c>
      <c r="D343" s="1">
        <v>1</v>
      </c>
      <c r="E343" s="1">
        <v>1</v>
      </c>
      <c r="F343" s="1">
        <v>21</v>
      </c>
      <c r="G343" s="1">
        <v>910</v>
      </c>
      <c r="H343" s="1">
        <v>949</v>
      </c>
      <c r="I343" s="1">
        <f t="shared" si="1"/>
        <v>39</v>
      </c>
    </row>
    <row r="344" spans="1:10" x14ac:dyDescent="0.25">
      <c r="C344" s="1">
        <v>15</v>
      </c>
      <c r="D344" s="1">
        <v>1</v>
      </c>
      <c r="E344" s="1">
        <v>1</v>
      </c>
      <c r="F344" s="1">
        <v>22</v>
      </c>
      <c r="G344" s="1">
        <v>949</v>
      </c>
      <c r="H344" s="1">
        <v>991</v>
      </c>
      <c r="I344" s="1">
        <f t="shared" si="1"/>
        <v>42</v>
      </c>
    </row>
    <row r="345" spans="1:10" x14ac:dyDescent="0.25">
      <c r="C345" s="1">
        <v>15</v>
      </c>
      <c r="D345" s="1">
        <v>1</v>
      </c>
      <c r="E345" s="1">
        <v>1</v>
      </c>
      <c r="F345" s="1">
        <v>23</v>
      </c>
      <c r="G345" s="1">
        <v>991</v>
      </c>
      <c r="H345" s="1">
        <v>1024</v>
      </c>
      <c r="I345" s="1">
        <f t="shared" si="1"/>
        <v>33</v>
      </c>
    </row>
    <row r="346" spans="1:10" x14ac:dyDescent="0.25">
      <c r="C346" s="1">
        <v>15</v>
      </c>
      <c r="D346" s="1">
        <v>1</v>
      </c>
      <c r="E346" s="1">
        <v>1</v>
      </c>
      <c r="F346" s="1">
        <v>24</v>
      </c>
      <c r="G346" s="1">
        <v>1024</v>
      </c>
      <c r="H346" s="1">
        <v>1065</v>
      </c>
      <c r="I346" s="1">
        <f t="shared" si="1"/>
        <v>41</v>
      </c>
    </row>
    <row r="347" spans="1:10" x14ac:dyDescent="0.25">
      <c r="C347" s="1">
        <v>15</v>
      </c>
      <c r="D347" s="1">
        <v>1</v>
      </c>
      <c r="E347" s="1">
        <v>1</v>
      </c>
      <c r="F347" s="1">
        <v>25</v>
      </c>
      <c r="G347" s="1">
        <v>1065</v>
      </c>
      <c r="H347" s="1">
        <v>1121</v>
      </c>
      <c r="I347" s="1">
        <f t="shared" si="1"/>
        <v>56</v>
      </c>
    </row>
    <row r="348" spans="1:10" x14ac:dyDescent="0.25">
      <c r="A348" s="5">
        <v>1</v>
      </c>
      <c r="B348" s="2">
        <v>43887</v>
      </c>
      <c r="C348" s="1">
        <v>16</v>
      </c>
      <c r="D348" s="1">
        <v>2</v>
      </c>
      <c r="E348" s="1">
        <v>1</v>
      </c>
      <c r="F348" s="1">
        <v>1</v>
      </c>
      <c r="G348" s="1">
        <v>0</v>
      </c>
      <c r="H348" s="1">
        <v>24</v>
      </c>
      <c r="I348" s="1">
        <f t="shared" si="1"/>
        <v>24</v>
      </c>
      <c r="J348" s="8">
        <f>(I348+I349+I350+I358+I357+I356+I353+I352+I354)/9</f>
        <v>11.222222222222221</v>
      </c>
    </row>
    <row r="349" spans="1:10" x14ac:dyDescent="0.25">
      <c r="C349" s="1">
        <v>16</v>
      </c>
      <c r="D349" s="1">
        <v>2</v>
      </c>
      <c r="E349" s="1">
        <v>1</v>
      </c>
      <c r="F349" s="1">
        <v>2</v>
      </c>
      <c r="G349" s="1">
        <v>24</v>
      </c>
      <c r="H349" s="1">
        <v>49</v>
      </c>
      <c r="I349" s="1">
        <f t="shared" si="1"/>
        <v>25</v>
      </c>
    </row>
    <row r="350" spans="1:10" x14ac:dyDescent="0.25">
      <c r="C350" s="1">
        <v>16</v>
      </c>
      <c r="D350" s="1">
        <v>2</v>
      </c>
      <c r="E350" s="1">
        <v>1</v>
      </c>
      <c r="F350" s="1">
        <v>3</v>
      </c>
      <c r="G350" s="1">
        <v>49</v>
      </c>
      <c r="H350" s="1">
        <v>49</v>
      </c>
      <c r="I350" s="1">
        <f t="shared" si="1"/>
        <v>0</v>
      </c>
    </row>
    <row r="351" spans="1:10" x14ac:dyDescent="0.25">
      <c r="C351" s="1">
        <v>16</v>
      </c>
      <c r="D351" s="1">
        <v>2</v>
      </c>
      <c r="E351" s="1">
        <v>1</v>
      </c>
      <c r="F351" s="1">
        <v>4</v>
      </c>
      <c r="G351" s="1">
        <v>49</v>
      </c>
      <c r="H351" s="1">
        <v>49</v>
      </c>
      <c r="I351" s="1">
        <f t="shared" si="1"/>
        <v>0</v>
      </c>
    </row>
    <row r="352" spans="1:10" x14ac:dyDescent="0.25">
      <c r="C352" s="1">
        <v>16</v>
      </c>
      <c r="D352" s="1">
        <v>2</v>
      </c>
      <c r="E352" s="1">
        <v>1</v>
      </c>
      <c r="F352" s="1">
        <v>5</v>
      </c>
      <c r="G352" s="1">
        <v>49</v>
      </c>
      <c r="H352" s="1">
        <v>78</v>
      </c>
      <c r="I352" s="1">
        <f t="shared" si="1"/>
        <v>29</v>
      </c>
    </row>
    <row r="353" spans="1:10" x14ac:dyDescent="0.25">
      <c r="C353" s="1">
        <v>16</v>
      </c>
      <c r="D353" s="1">
        <v>2</v>
      </c>
      <c r="E353" s="1">
        <v>1</v>
      </c>
      <c r="F353" s="1">
        <v>6</v>
      </c>
      <c r="G353" s="1">
        <v>78</v>
      </c>
      <c r="H353" s="1">
        <v>98</v>
      </c>
      <c r="I353" s="1">
        <f t="shared" si="1"/>
        <v>20</v>
      </c>
    </row>
    <row r="354" spans="1:10" x14ac:dyDescent="0.25">
      <c r="C354" s="1">
        <v>16</v>
      </c>
      <c r="D354" s="1">
        <v>2</v>
      </c>
      <c r="E354" s="1">
        <v>1</v>
      </c>
      <c r="F354" s="1">
        <v>7</v>
      </c>
      <c r="G354" s="1">
        <v>98</v>
      </c>
      <c r="H354" s="1">
        <v>98</v>
      </c>
      <c r="I354" s="1">
        <f t="shared" si="1"/>
        <v>0</v>
      </c>
    </row>
    <row r="355" spans="1:10" x14ac:dyDescent="0.25">
      <c r="C355" s="1">
        <v>16</v>
      </c>
      <c r="D355" s="1">
        <v>2</v>
      </c>
      <c r="E355" s="1">
        <v>1</v>
      </c>
      <c r="F355" s="1">
        <v>8</v>
      </c>
      <c r="G355" s="1">
        <v>98</v>
      </c>
      <c r="H355" s="1">
        <v>105</v>
      </c>
      <c r="I355" s="1">
        <f t="shared" si="1"/>
        <v>7</v>
      </c>
    </row>
    <row r="356" spans="1:10" x14ac:dyDescent="0.25">
      <c r="C356" s="1">
        <v>16</v>
      </c>
      <c r="D356" s="1">
        <v>2</v>
      </c>
      <c r="E356" s="1">
        <v>1</v>
      </c>
      <c r="F356" s="1">
        <v>9</v>
      </c>
      <c r="G356" s="1">
        <v>105</v>
      </c>
      <c r="H356" s="1">
        <v>108</v>
      </c>
      <c r="I356" s="1">
        <f t="shared" si="1"/>
        <v>3</v>
      </c>
    </row>
    <row r="357" spans="1:10" x14ac:dyDescent="0.25">
      <c r="C357" s="1">
        <v>16</v>
      </c>
      <c r="D357" s="1">
        <v>2</v>
      </c>
      <c r="E357" s="1">
        <v>1</v>
      </c>
      <c r="F357" s="1">
        <v>10</v>
      </c>
      <c r="G357" s="1">
        <v>108</v>
      </c>
      <c r="H357" s="1">
        <v>108</v>
      </c>
      <c r="I357" s="1">
        <f t="shared" si="1"/>
        <v>0</v>
      </c>
    </row>
    <row r="358" spans="1:10" x14ac:dyDescent="0.25">
      <c r="C358" s="1">
        <v>16</v>
      </c>
      <c r="D358" s="1">
        <v>2</v>
      </c>
      <c r="E358" s="1">
        <v>1</v>
      </c>
      <c r="F358" s="1">
        <v>11</v>
      </c>
      <c r="G358" s="1">
        <v>108</v>
      </c>
      <c r="H358" s="1">
        <v>108</v>
      </c>
      <c r="I358" s="1">
        <f t="shared" si="1"/>
        <v>0</v>
      </c>
    </row>
    <row r="359" spans="1:10" x14ac:dyDescent="0.25">
      <c r="A359" s="5">
        <v>1</v>
      </c>
      <c r="B359" s="2">
        <v>43885</v>
      </c>
      <c r="C359" s="1">
        <v>17</v>
      </c>
      <c r="D359" s="1">
        <v>1</v>
      </c>
      <c r="E359" s="1">
        <v>1</v>
      </c>
      <c r="F359" s="1">
        <v>1</v>
      </c>
      <c r="G359" s="1">
        <v>0</v>
      </c>
      <c r="H359" s="1">
        <v>43</v>
      </c>
      <c r="I359" s="1">
        <f t="shared" si="1"/>
        <v>43</v>
      </c>
      <c r="J359" s="8">
        <f>(I359+I360+I361+I375+I374+I373+I367+I368+I366)/9</f>
        <v>31.111111111111111</v>
      </c>
    </row>
    <row r="360" spans="1:10" x14ac:dyDescent="0.25">
      <c r="C360" s="1">
        <v>17</v>
      </c>
      <c r="D360" s="1">
        <v>1</v>
      </c>
      <c r="E360" s="1">
        <v>1</v>
      </c>
      <c r="F360" s="1">
        <v>2</v>
      </c>
      <c r="G360" s="1">
        <v>43</v>
      </c>
      <c r="H360" s="1">
        <v>81</v>
      </c>
      <c r="I360" s="1">
        <f t="shared" si="1"/>
        <v>38</v>
      </c>
    </row>
    <row r="361" spans="1:10" x14ac:dyDescent="0.25">
      <c r="C361" s="1">
        <v>17</v>
      </c>
      <c r="D361" s="1">
        <v>1</v>
      </c>
      <c r="E361" s="1">
        <v>1</v>
      </c>
      <c r="F361" s="1">
        <v>3</v>
      </c>
      <c r="G361" s="1">
        <v>81</v>
      </c>
      <c r="H361" s="1">
        <v>110</v>
      </c>
      <c r="I361" s="1">
        <f t="shared" si="1"/>
        <v>29</v>
      </c>
    </row>
    <row r="362" spans="1:10" x14ac:dyDescent="0.25">
      <c r="C362" s="1">
        <v>17</v>
      </c>
      <c r="D362" s="1">
        <v>1</v>
      </c>
      <c r="E362" s="1">
        <v>1</v>
      </c>
      <c r="F362" s="1">
        <v>4</v>
      </c>
      <c r="G362" s="1">
        <v>110</v>
      </c>
      <c r="H362" s="1">
        <v>110</v>
      </c>
      <c r="I362" s="1">
        <f t="shared" si="1"/>
        <v>0</v>
      </c>
    </row>
    <row r="363" spans="1:10" x14ac:dyDescent="0.25">
      <c r="C363" s="1">
        <v>17</v>
      </c>
      <c r="D363" s="1">
        <v>1</v>
      </c>
      <c r="E363" s="1">
        <v>1</v>
      </c>
      <c r="F363" s="1">
        <v>5</v>
      </c>
      <c r="G363" s="1">
        <v>110</v>
      </c>
      <c r="H363" s="1">
        <v>110</v>
      </c>
      <c r="I363" s="1">
        <f t="shared" si="1"/>
        <v>0</v>
      </c>
    </row>
    <row r="364" spans="1:10" x14ac:dyDescent="0.25">
      <c r="C364" s="1">
        <v>17</v>
      </c>
      <c r="D364" s="1">
        <v>1</v>
      </c>
      <c r="E364" s="1">
        <v>1</v>
      </c>
      <c r="F364" s="1">
        <v>6</v>
      </c>
      <c r="G364" s="1">
        <v>110</v>
      </c>
      <c r="H364" s="1">
        <v>162</v>
      </c>
      <c r="I364" s="1">
        <f t="shared" si="1"/>
        <v>52</v>
      </c>
    </row>
    <row r="365" spans="1:10" x14ac:dyDescent="0.25">
      <c r="C365" s="1">
        <v>17</v>
      </c>
      <c r="D365" s="1">
        <v>1</v>
      </c>
      <c r="E365" s="1">
        <v>1</v>
      </c>
      <c r="F365" s="1">
        <v>7</v>
      </c>
      <c r="G365" s="1">
        <v>162</v>
      </c>
      <c r="H365" s="1">
        <v>163</v>
      </c>
      <c r="I365" s="1">
        <f t="shared" si="1"/>
        <v>1</v>
      </c>
    </row>
    <row r="366" spans="1:10" x14ac:dyDescent="0.25">
      <c r="C366" s="1">
        <v>17</v>
      </c>
      <c r="D366" s="1">
        <v>1</v>
      </c>
      <c r="E366" s="1">
        <v>1</v>
      </c>
      <c r="F366" s="1">
        <v>8</v>
      </c>
      <c r="G366" s="1">
        <v>163</v>
      </c>
      <c r="H366" s="1">
        <v>203</v>
      </c>
      <c r="I366" s="1">
        <f t="shared" si="1"/>
        <v>40</v>
      </c>
    </row>
    <row r="367" spans="1:10" x14ac:dyDescent="0.25">
      <c r="C367" s="1">
        <v>17</v>
      </c>
      <c r="D367" s="1">
        <v>1</v>
      </c>
      <c r="E367" s="1">
        <v>1</v>
      </c>
      <c r="F367" s="1">
        <v>9</v>
      </c>
      <c r="G367" s="1">
        <v>203</v>
      </c>
      <c r="H367" s="1">
        <v>242</v>
      </c>
      <c r="I367" s="1">
        <f t="shared" si="1"/>
        <v>39</v>
      </c>
    </row>
    <row r="368" spans="1:10" x14ac:dyDescent="0.25">
      <c r="C368" s="1">
        <v>17</v>
      </c>
      <c r="D368" s="1">
        <v>1</v>
      </c>
      <c r="E368" s="1">
        <v>1</v>
      </c>
      <c r="F368" s="1">
        <v>10</v>
      </c>
      <c r="G368" s="1">
        <v>242</v>
      </c>
      <c r="H368" s="1">
        <v>243</v>
      </c>
      <c r="I368" s="1">
        <f t="shared" si="1"/>
        <v>1</v>
      </c>
    </row>
    <row r="369" spans="1:10" x14ac:dyDescent="0.25">
      <c r="C369" s="1">
        <v>17</v>
      </c>
      <c r="D369" s="1">
        <v>1</v>
      </c>
      <c r="E369" s="1">
        <v>1</v>
      </c>
      <c r="F369" s="1">
        <v>11</v>
      </c>
      <c r="G369" s="1">
        <v>243</v>
      </c>
      <c r="H369" s="1">
        <v>265</v>
      </c>
      <c r="I369" s="1">
        <f t="shared" si="1"/>
        <v>22</v>
      </c>
    </row>
    <row r="370" spans="1:10" x14ac:dyDescent="0.25">
      <c r="C370" s="1">
        <v>17</v>
      </c>
      <c r="D370" s="1">
        <v>1</v>
      </c>
      <c r="E370" s="1">
        <v>1</v>
      </c>
      <c r="F370" s="1">
        <v>12</v>
      </c>
      <c r="G370" s="1">
        <v>265</v>
      </c>
      <c r="H370" s="1">
        <v>297</v>
      </c>
      <c r="I370" s="1">
        <f t="shared" si="1"/>
        <v>32</v>
      </c>
    </row>
    <row r="371" spans="1:10" x14ac:dyDescent="0.25">
      <c r="C371" s="1">
        <v>17</v>
      </c>
      <c r="D371" s="1">
        <v>1</v>
      </c>
      <c r="E371" s="1">
        <v>1</v>
      </c>
      <c r="F371" s="1">
        <v>13</v>
      </c>
      <c r="G371" s="1">
        <v>300</v>
      </c>
      <c r="H371" s="1">
        <v>349</v>
      </c>
      <c r="I371" s="1">
        <f t="shared" si="1"/>
        <v>49</v>
      </c>
    </row>
    <row r="372" spans="1:10" x14ac:dyDescent="0.25">
      <c r="C372" s="1">
        <v>17</v>
      </c>
      <c r="D372" s="1">
        <v>1</v>
      </c>
      <c r="E372" s="1">
        <v>1</v>
      </c>
      <c r="F372" s="1">
        <v>14</v>
      </c>
      <c r="G372" s="1">
        <v>349</v>
      </c>
      <c r="H372" s="1">
        <v>397</v>
      </c>
      <c r="I372" s="1">
        <f t="shared" ref="I372:I626" si="2">H372-G372</f>
        <v>48</v>
      </c>
    </row>
    <row r="373" spans="1:10" x14ac:dyDescent="0.25">
      <c r="C373" s="1">
        <v>17</v>
      </c>
      <c r="D373" s="1">
        <v>1</v>
      </c>
      <c r="E373" s="1">
        <v>1</v>
      </c>
      <c r="F373" s="1">
        <v>15</v>
      </c>
      <c r="G373" s="1">
        <v>398</v>
      </c>
      <c r="H373" s="1">
        <v>424</v>
      </c>
      <c r="I373" s="1">
        <f t="shared" si="2"/>
        <v>26</v>
      </c>
    </row>
    <row r="374" spans="1:10" x14ac:dyDescent="0.25">
      <c r="C374" s="1">
        <v>17</v>
      </c>
      <c r="D374" s="1">
        <v>1</v>
      </c>
      <c r="E374" s="1">
        <v>1</v>
      </c>
      <c r="F374" s="1">
        <v>16</v>
      </c>
      <c r="G374" s="1">
        <v>424</v>
      </c>
      <c r="H374" s="1">
        <v>455</v>
      </c>
      <c r="I374" s="1">
        <f t="shared" si="2"/>
        <v>31</v>
      </c>
    </row>
    <row r="375" spans="1:10" x14ac:dyDescent="0.25">
      <c r="C375" s="1">
        <v>17</v>
      </c>
      <c r="D375" s="1">
        <v>1</v>
      </c>
      <c r="E375" s="1">
        <v>1</v>
      </c>
      <c r="F375" s="1">
        <v>17</v>
      </c>
      <c r="G375" s="1">
        <v>455</v>
      </c>
      <c r="H375" s="1">
        <v>488</v>
      </c>
      <c r="I375" s="1">
        <f t="shared" si="2"/>
        <v>33</v>
      </c>
    </row>
    <row r="376" spans="1:10" x14ac:dyDescent="0.25">
      <c r="A376" s="5">
        <v>1</v>
      </c>
      <c r="B376" s="2">
        <v>43889</v>
      </c>
      <c r="C376" s="1">
        <v>18</v>
      </c>
      <c r="D376" s="1">
        <v>2</v>
      </c>
      <c r="E376" s="1">
        <v>1</v>
      </c>
      <c r="F376" s="1">
        <v>1</v>
      </c>
      <c r="G376" s="1">
        <v>0</v>
      </c>
      <c r="H376" s="1">
        <v>39</v>
      </c>
      <c r="I376" s="1">
        <f t="shared" si="2"/>
        <v>39</v>
      </c>
      <c r="J376" s="8">
        <f>(I376+I377+I378+I389+I388+I387+I382+I383+I384)/9</f>
        <v>35.555555555555557</v>
      </c>
    </row>
    <row r="377" spans="1:10" x14ac:dyDescent="0.25">
      <c r="C377" s="1">
        <v>18</v>
      </c>
      <c r="D377" s="1">
        <v>2</v>
      </c>
      <c r="E377" s="1">
        <v>1</v>
      </c>
      <c r="F377" s="1">
        <v>2</v>
      </c>
      <c r="G377" s="1">
        <v>39</v>
      </c>
      <c r="H377" s="1">
        <v>79</v>
      </c>
      <c r="I377" s="1">
        <f t="shared" si="2"/>
        <v>40</v>
      </c>
    </row>
    <row r="378" spans="1:10" x14ac:dyDescent="0.25">
      <c r="C378" s="1">
        <v>18</v>
      </c>
      <c r="D378" s="1">
        <v>2</v>
      </c>
      <c r="E378" s="1">
        <v>1</v>
      </c>
      <c r="F378" s="1">
        <v>3</v>
      </c>
      <c r="G378" s="1">
        <v>79</v>
      </c>
      <c r="H378" s="1">
        <v>124</v>
      </c>
      <c r="I378" s="1">
        <f t="shared" si="2"/>
        <v>45</v>
      </c>
    </row>
    <row r="379" spans="1:10" x14ac:dyDescent="0.25">
      <c r="C379" s="1">
        <v>18</v>
      </c>
      <c r="D379" s="1">
        <v>2</v>
      </c>
      <c r="E379" s="1">
        <v>1</v>
      </c>
      <c r="F379" s="1">
        <v>4</v>
      </c>
      <c r="G379" s="1">
        <v>124</v>
      </c>
      <c r="H379" s="1">
        <v>168</v>
      </c>
      <c r="I379" s="1">
        <f t="shared" si="2"/>
        <v>44</v>
      </c>
    </row>
    <row r="380" spans="1:10" x14ac:dyDescent="0.25">
      <c r="C380" s="1">
        <v>18</v>
      </c>
      <c r="D380" s="1">
        <v>2</v>
      </c>
      <c r="E380" s="1">
        <v>1</v>
      </c>
      <c r="F380" s="1">
        <v>5</v>
      </c>
      <c r="G380" s="1">
        <v>168</v>
      </c>
      <c r="H380" s="1">
        <v>198</v>
      </c>
      <c r="I380" s="1">
        <f t="shared" si="2"/>
        <v>30</v>
      </c>
    </row>
    <row r="381" spans="1:10" x14ac:dyDescent="0.25">
      <c r="C381" s="1">
        <v>18</v>
      </c>
      <c r="D381" s="1">
        <v>2</v>
      </c>
      <c r="E381" s="1">
        <v>1</v>
      </c>
      <c r="F381" s="1">
        <v>6</v>
      </c>
      <c r="G381" s="1">
        <v>198</v>
      </c>
      <c r="H381" s="1">
        <v>223</v>
      </c>
      <c r="I381" s="1">
        <f t="shared" si="2"/>
        <v>25</v>
      </c>
    </row>
    <row r="382" spans="1:10" x14ac:dyDescent="0.25">
      <c r="C382" s="1">
        <v>18</v>
      </c>
      <c r="D382" s="1">
        <v>2</v>
      </c>
      <c r="E382" s="1">
        <v>1</v>
      </c>
      <c r="F382" s="1">
        <v>7</v>
      </c>
      <c r="G382" s="1">
        <v>223</v>
      </c>
      <c r="H382" s="1">
        <v>264</v>
      </c>
      <c r="I382" s="1">
        <f t="shared" si="2"/>
        <v>41</v>
      </c>
    </row>
    <row r="383" spans="1:10" x14ac:dyDescent="0.25">
      <c r="C383" s="1">
        <v>18</v>
      </c>
      <c r="D383" s="1">
        <v>2</v>
      </c>
      <c r="E383" s="1">
        <v>1</v>
      </c>
      <c r="F383" s="1">
        <v>8</v>
      </c>
      <c r="G383" s="1">
        <v>264</v>
      </c>
      <c r="H383" s="1">
        <v>264</v>
      </c>
      <c r="I383" s="1">
        <f t="shared" si="2"/>
        <v>0</v>
      </c>
    </row>
    <row r="384" spans="1:10" x14ac:dyDescent="0.25">
      <c r="C384" s="1">
        <v>18</v>
      </c>
      <c r="D384" s="1">
        <v>2</v>
      </c>
      <c r="E384" s="1">
        <v>1</v>
      </c>
      <c r="F384" s="1">
        <v>9</v>
      </c>
      <c r="G384" s="1">
        <v>264</v>
      </c>
      <c r="H384" s="1">
        <v>306</v>
      </c>
      <c r="I384" s="1">
        <f t="shared" si="2"/>
        <v>42</v>
      </c>
    </row>
    <row r="385" spans="1:10" x14ac:dyDescent="0.25">
      <c r="C385" s="1">
        <v>18</v>
      </c>
      <c r="D385" s="1">
        <v>2</v>
      </c>
      <c r="E385" s="1">
        <v>1</v>
      </c>
      <c r="F385" s="1">
        <v>10</v>
      </c>
      <c r="G385" s="1">
        <v>306</v>
      </c>
      <c r="H385" s="1">
        <v>344</v>
      </c>
      <c r="I385" s="1">
        <f t="shared" si="2"/>
        <v>38</v>
      </c>
    </row>
    <row r="386" spans="1:10" x14ac:dyDescent="0.25">
      <c r="C386" s="1">
        <v>18</v>
      </c>
      <c r="D386" s="1">
        <v>2</v>
      </c>
      <c r="E386" s="1">
        <v>1</v>
      </c>
      <c r="F386" s="1">
        <v>11</v>
      </c>
      <c r="G386" s="1">
        <v>344</v>
      </c>
      <c r="H386" s="1">
        <v>370</v>
      </c>
      <c r="I386" s="1">
        <f t="shared" si="2"/>
        <v>26</v>
      </c>
    </row>
    <row r="387" spans="1:10" x14ac:dyDescent="0.25">
      <c r="C387" s="1">
        <v>18</v>
      </c>
      <c r="D387" s="1">
        <v>2</v>
      </c>
      <c r="E387" s="1">
        <v>1</v>
      </c>
      <c r="F387" s="1">
        <v>12</v>
      </c>
      <c r="G387" s="1">
        <v>370</v>
      </c>
      <c r="H387" s="1">
        <v>400</v>
      </c>
      <c r="I387" s="1">
        <f t="shared" si="2"/>
        <v>30</v>
      </c>
    </row>
    <row r="388" spans="1:10" x14ac:dyDescent="0.25">
      <c r="C388" s="1">
        <v>18</v>
      </c>
      <c r="D388" s="1">
        <v>2</v>
      </c>
      <c r="E388" s="1">
        <v>1</v>
      </c>
      <c r="F388" s="1">
        <v>13</v>
      </c>
      <c r="G388" s="1">
        <v>400</v>
      </c>
      <c r="H388" s="1">
        <v>442</v>
      </c>
      <c r="I388" s="1">
        <f t="shared" si="2"/>
        <v>42</v>
      </c>
    </row>
    <row r="389" spans="1:10" x14ac:dyDescent="0.25">
      <c r="C389" s="1">
        <v>18</v>
      </c>
      <c r="D389" s="1">
        <v>2</v>
      </c>
      <c r="E389" s="1">
        <v>1</v>
      </c>
      <c r="F389" s="1">
        <v>14</v>
      </c>
      <c r="G389" s="1">
        <v>442</v>
      </c>
      <c r="H389" s="1">
        <v>483</v>
      </c>
      <c r="I389" s="1">
        <f t="shared" si="2"/>
        <v>41</v>
      </c>
    </row>
    <row r="390" spans="1:10" x14ac:dyDescent="0.25">
      <c r="A390" s="5">
        <v>1</v>
      </c>
      <c r="B390" s="2">
        <v>43887</v>
      </c>
      <c r="C390" s="1">
        <v>19</v>
      </c>
      <c r="D390" s="1">
        <v>2</v>
      </c>
      <c r="E390" s="1">
        <v>1</v>
      </c>
      <c r="F390" s="1">
        <v>1</v>
      </c>
      <c r="G390" s="1">
        <v>2</v>
      </c>
      <c r="H390" s="1">
        <v>2</v>
      </c>
      <c r="I390" s="1">
        <f t="shared" si="2"/>
        <v>0</v>
      </c>
      <c r="J390" s="8">
        <f>(I390+I391+I392+I410+I411+I409+I400+I401+I399)/9</f>
        <v>1.4444444444444444</v>
      </c>
    </row>
    <row r="391" spans="1:10" x14ac:dyDescent="0.25">
      <c r="C391" s="1">
        <v>19</v>
      </c>
      <c r="D391" s="1">
        <v>2</v>
      </c>
      <c r="E391" s="1">
        <v>1</v>
      </c>
      <c r="F391" s="1">
        <v>2</v>
      </c>
      <c r="G391" s="1">
        <v>2</v>
      </c>
      <c r="H391" s="1">
        <v>2</v>
      </c>
      <c r="I391" s="1">
        <f t="shared" si="2"/>
        <v>0</v>
      </c>
    </row>
    <row r="392" spans="1:10" x14ac:dyDescent="0.25">
      <c r="C392" s="1">
        <v>19</v>
      </c>
      <c r="D392" s="1">
        <v>2</v>
      </c>
      <c r="E392" s="1">
        <v>1</v>
      </c>
      <c r="F392" s="1">
        <v>3</v>
      </c>
      <c r="G392" s="1">
        <v>2</v>
      </c>
      <c r="H392" s="1">
        <v>2</v>
      </c>
      <c r="I392" s="1">
        <f t="shared" si="2"/>
        <v>0</v>
      </c>
    </row>
    <row r="393" spans="1:10" x14ac:dyDescent="0.25">
      <c r="C393" s="1">
        <v>19</v>
      </c>
      <c r="D393" s="1">
        <v>2</v>
      </c>
      <c r="E393" s="1">
        <v>1</v>
      </c>
      <c r="F393" s="1">
        <v>4</v>
      </c>
      <c r="G393" s="1">
        <v>2</v>
      </c>
      <c r="H393" s="1">
        <v>2</v>
      </c>
      <c r="I393" s="1">
        <f t="shared" si="2"/>
        <v>0</v>
      </c>
    </row>
    <row r="394" spans="1:10" x14ac:dyDescent="0.25">
      <c r="C394" s="1">
        <v>19</v>
      </c>
      <c r="D394" s="1">
        <v>2</v>
      </c>
      <c r="E394" s="1">
        <v>1</v>
      </c>
      <c r="F394" s="1">
        <v>5</v>
      </c>
      <c r="G394" s="1">
        <v>2</v>
      </c>
      <c r="H394" s="1">
        <v>2</v>
      </c>
      <c r="I394" s="1">
        <f t="shared" si="2"/>
        <v>0</v>
      </c>
    </row>
    <row r="395" spans="1:10" x14ac:dyDescent="0.25">
      <c r="C395" s="1">
        <v>19</v>
      </c>
      <c r="D395" s="1">
        <v>2</v>
      </c>
      <c r="E395" s="1">
        <v>1</v>
      </c>
      <c r="F395" s="1">
        <v>6</v>
      </c>
      <c r="G395" s="1">
        <v>2</v>
      </c>
      <c r="H395" s="1">
        <v>2</v>
      </c>
      <c r="I395" s="1">
        <f t="shared" si="2"/>
        <v>0</v>
      </c>
    </row>
    <row r="396" spans="1:10" x14ac:dyDescent="0.25">
      <c r="C396" s="1">
        <v>19</v>
      </c>
      <c r="D396" s="1">
        <v>2</v>
      </c>
      <c r="E396" s="1">
        <v>1</v>
      </c>
      <c r="F396" s="1">
        <v>7</v>
      </c>
      <c r="G396" s="1">
        <v>2</v>
      </c>
      <c r="H396" s="1">
        <v>43</v>
      </c>
      <c r="I396" s="1">
        <f t="shared" si="2"/>
        <v>41</v>
      </c>
    </row>
    <row r="397" spans="1:10" x14ac:dyDescent="0.25">
      <c r="C397" s="1">
        <v>19</v>
      </c>
      <c r="D397" s="1">
        <v>2</v>
      </c>
      <c r="E397" s="1">
        <v>1</v>
      </c>
      <c r="F397" s="1">
        <v>8</v>
      </c>
      <c r="G397" s="1">
        <v>43</v>
      </c>
      <c r="H397" s="1">
        <v>78</v>
      </c>
      <c r="I397" s="1">
        <f t="shared" si="2"/>
        <v>35</v>
      </c>
    </row>
    <row r="398" spans="1:10" x14ac:dyDescent="0.25">
      <c r="C398" s="1">
        <v>19</v>
      </c>
      <c r="D398" s="1">
        <v>2</v>
      </c>
      <c r="E398" s="1">
        <v>1</v>
      </c>
      <c r="F398" s="1">
        <v>9</v>
      </c>
      <c r="G398" s="1">
        <v>78</v>
      </c>
      <c r="H398" s="1">
        <v>80</v>
      </c>
      <c r="I398" s="1">
        <f t="shared" si="2"/>
        <v>2</v>
      </c>
    </row>
    <row r="399" spans="1:10" x14ac:dyDescent="0.25">
      <c r="C399" s="1">
        <v>19</v>
      </c>
      <c r="D399" s="1">
        <v>2</v>
      </c>
      <c r="E399" s="1">
        <v>1</v>
      </c>
      <c r="F399" s="1">
        <v>10</v>
      </c>
      <c r="G399" s="1">
        <v>80</v>
      </c>
      <c r="H399" s="1">
        <v>90</v>
      </c>
      <c r="I399" s="1">
        <f t="shared" si="2"/>
        <v>10</v>
      </c>
    </row>
    <row r="400" spans="1:10" x14ac:dyDescent="0.25">
      <c r="C400" s="1">
        <v>19</v>
      </c>
      <c r="D400" s="1">
        <v>2</v>
      </c>
      <c r="E400" s="1">
        <v>1</v>
      </c>
      <c r="F400" s="1">
        <v>11</v>
      </c>
      <c r="G400" s="1">
        <v>90</v>
      </c>
      <c r="H400" s="1">
        <v>93</v>
      </c>
      <c r="I400" s="1">
        <f t="shared" si="2"/>
        <v>3</v>
      </c>
    </row>
    <row r="401" spans="1:10" x14ac:dyDescent="0.25">
      <c r="C401" s="1">
        <v>19</v>
      </c>
      <c r="D401" s="1">
        <v>2</v>
      </c>
      <c r="E401" s="1">
        <v>1</v>
      </c>
      <c r="F401" s="1">
        <v>12</v>
      </c>
      <c r="G401" s="1">
        <v>109</v>
      </c>
      <c r="H401" s="1">
        <v>109</v>
      </c>
      <c r="I401" s="1">
        <f t="shared" si="2"/>
        <v>0</v>
      </c>
    </row>
    <row r="402" spans="1:10" x14ac:dyDescent="0.25">
      <c r="C402" s="1">
        <v>19</v>
      </c>
      <c r="D402" s="1">
        <v>2</v>
      </c>
      <c r="E402" s="1">
        <v>1</v>
      </c>
      <c r="F402" s="1">
        <v>13</v>
      </c>
      <c r="G402" s="1">
        <v>109</v>
      </c>
      <c r="H402" s="1">
        <v>109</v>
      </c>
      <c r="I402" s="1">
        <f t="shared" si="2"/>
        <v>0</v>
      </c>
    </row>
    <row r="403" spans="1:10" x14ac:dyDescent="0.25">
      <c r="C403" s="1">
        <v>19</v>
      </c>
      <c r="D403" s="1">
        <v>2</v>
      </c>
      <c r="E403" s="1">
        <v>1</v>
      </c>
      <c r="F403" s="1">
        <v>14</v>
      </c>
      <c r="G403" s="1">
        <v>109</v>
      </c>
      <c r="H403" s="1">
        <v>109</v>
      </c>
      <c r="I403" s="1">
        <f t="shared" si="2"/>
        <v>0</v>
      </c>
    </row>
    <row r="404" spans="1:10" x14ac:dyDescent="0.25">
      <c r="C404" s="1">
        <v>19</v>
      </c>
      <c r="D404" s="1">
        <v>2</v>
      </c>
      <c r="E404" s="1">
        <v>1</v>
      </c>
      <c r="F404" s="1">
        <v>15</v>
      </c>
      <c r="G404" s="1">
        <v>109</v>
      </c>
      <c r="H404" s="1">
        <v>109</v>
      </c>
      <c r="I404" s="1">
        <f t="shared" si="2"/>
        <v>0</v>
      </c>
    </row>
    <row r="405" spans="1:10" x14ac:dyDescent="0.25">
      <c r="C405" s="1">
        <v>19</v>
      </c>
      <c r="D405" s="1">
        <v>2</v>
      </c>
      <c r="E405" s="1">
        <v>1</v>
      </c>
      <c r="F405" s="1">
        <v>16</v>
      </c>
      <c r="G405" s="1">
        <v>109</v>
      </c>
      <c r="H405" s="1">
        <v>109</v>
      </c>
      <c r="I405" s="1">
        <f t="shared" si="2"/>
        <v>0</v>
      </c>
    </row>
    <row r="406" spans="1:10" x14ac:dyDescent="0.25">
      <c r="C406" s="1">
        <v>19</v>
      </c>
      <c r="D406" s="1">
        <v>2</v>
      </c>
      <c r="E406" s="1">
        <v>1</v>
      </c>
      <c r="F406" s="1">
        <v>17</v>
      </c>
      <c r="G406" s="1">
        <v>109</v>
      </c>
      <c r="H406" s="1">
        <v>109</v>
      </c>
      <c r="I406" s="1">
        <f t="shared" si="2"/>
        <v>0</v>
      </c>
    </row>
    <row r="407" spans="1:10" x14ac:dyDescent="0.25">
      <c r="C407" s="1">
        <v>19</v>
      </c>
      <c r="D407" s="1">
        <v>2</v>
      </c>
      <c r="E407" s="1">
        <v>1</v>
      </c>
      <c r="F407" s="1">
        <v>18</v>
      </c>
      <c r="G407" s="1">
        <v>109</v>
      </c>
      <c r="H407" s="1">
        <v>109</v>
      </c>
      <c r="I407" s="1">
        <f t="shared" si="2"/>
        <v>0</v>
      </c>
    </row>
    <row r="408" spans="1:10" x14ac:dyDescent="0.25">
      <c r="C408" s="1">
        <v>19</v>
      </c>
      <c r="D408" s="1">
        <v>2</v>
      </c>
      <c r="E408" s="1">
        <v>1</v>
      </c>
      <c r="F408" s="1">
        <v>19</v>
      </c>
      <c r="G408" s="1">
        <v>109</v>
      </c>
      <c r="H408" s="1">
        <v>109</v>
      </c>
      <c r="I408" s="1">
        <f t="shared" si="2"/>
        <v>0</v>
      </c>
    </row>
    <row r="409" spans="1:10" x14ac:dyDescent="0.25">
      <c r="C409" s="1">
        <v>19</v>
      </c>
      <c r="D409" s="1">
        <v>2</v>
      </c>
      <c r="E409" s="1">
        <v>1</v>
      </c>
      <c r="F409" s="1">
        <v>20</v>
      </c>
      <c r="G409" s="1">
        <v>113</v>
      </c>
      <c r="H409" s="1">
        <v>113</v>
      </c>
      <c r="I409" s="1">
        <f t="shared" si="2"/>
        <v>0</v>
      </c>
    </row>
    <row r="410" spans="1:10" x14ac:dyDescent="0.25">
      <c r="C410" s="1">
        <v>19</v>
      </c>
      <c r="D410" s="1">
        <v>2</v>
      </c>
      <c r="E410" s="1">
        <v>1</v>
      </c>
      <c r="F410" s="1">
        <v>21</v>
      </c>
      <c r="G410" s="1">
        <v>113</v>
      </c>
      <c r="H410" s="1">
        <v>113</v>
      </c>
      <c r="I410" s="1">
        <f t="shared" si="2"/>
        <v>0</v>
      </c>
    </row>
    <row r="411" spans="1:10" x14ac:dyDescent="0.25">
      <c r="C411" s="1">
        <v>19</v>
      </c>
      <c r="D411" s="1">
        <v>2</v>
      </c>
      <c r="E411" s="1">
        <v>1</v>
      </c>
      <c r="F411" s="1">
        <v>22</v>
      </c>
      <c r="G411" s="1">
        <v>113</v>
      </c>
      <c r="H411" s="1">
        <v>113</v>
      </c>
      <c r="I411" s="1">
        <f t="shared" si="2"/>
        <v>0</v>
      </c>
    </row>
    <row r="412" spans="1:10" x14ac:dyDescent="0.25">
      <c r="A412" s="5">
        <v>1</v>
      </c>
      <c r="B412" s="2">
        <v>43885</v>
      </c>
      <c r="C412" s="1">
        <v>20</v>
      </c>
      <c r="D412" s="1">
        <v>2</v>
      </c>
      <c r="E412" s="1">
        <v>1</v>
      </c>
      <c r="F412" s="1">
        <v>1</v>
      </c>
      <c r="G412" s="1">
        <v>0</v>
      </c>
      <c r="H412" s="1">
        <v>0</v>
      </c>
      <c r="I412" s="1">
        <f t="shared" si="2"/>
        <v>0</v>
      </c>
      <c r="J412" s="8">
        <f>(I412+I413+I414+I420+I418+I419+I417+I416+I415)/9</f>
        <v>21.444444444444443</v>
      </c>
    </row>
    <row r="413" spans="1:10" x14ac:dyDescent="0.25">
      <c r="C413" s="1">
        <v>20</v>
      </c>
      <c r="D413" s="1">
        <v>2</v>
      </c>
      <c r="E413" s="1">
        <v>1</v>
      </c>
      <c r="F413" s="1">
        <v>2</v>
      </c>
      <c r="G413" s="1">
        <v>0</v>
      </c>
      <c r="H413" s="1">
        <v>36</v>
      </c>
      <c r="I413" s="1">
        <f t="shared" si="2"/>
        <v>36</v>
      </c>
    </row>
    <row r="414" spans="1:10" x14ac:dyDescent="0.25">
      <c r="C414" s="1">
        <v>20</v>
      </c>
      <c r="D414" s="1">
        <v>2</v>
      </c>
      <c r="E414" s="1">
        <v>1</v>
      </c>
      <c r="F414" s="1">
        <v>3</v>
      </c>
      <c r="G414" s="1">
        <v>36</v>
      </c>
      <c r="H414" s="1">
        <v>94</v>
      </c>
      <c r="I414" s="1">
        <f t="shared" si="2"/>
        <v>58</v>
      </c>
    </row>
    <row r="415" spans="1:10" x14ac:dyDescent="0.25">
      <c r="C415" s="1">
        <v>20</v>
      </c>
      <c r="D415" s="1">
        <v>2</v>
      </c>
      <c r="E415" s="1">
        <v>1</v>
      </c>
      <c r="F415" s="1">
        <v>4</v>
      </c>
      <c r="G415" s="1">
        <v>94</v>
      </c>
      <c r="H415" s="1">
        <v>138</v>
      </c>
      <c r="I415" s="1">
        <f t="shared" si="2"/>
        <v>44</v>
      </c>
    </row>
    <row r="416" spans="1:10" x14ac:dyDescent="0.25">
      <c r="C416" s="1">
        <v>20</v>
      </c>
      <c r="D416" s="1">
        <v>2</v>
      </c>
      <c r="E416" s="1">
        <v>1</v>
      </c>
      <c r="F416" s="1">
        <v>5</v>
      </c>
      <c r="G416" s="1">
        <v>138</v>
      </c>
      <c r="H416" s="1">
        <v>192</v>
      </c>
      <c r="I416" s="1">
        <f t="shared" si="2"/>
        <v>54</v>
      </c>
    </row>
    <row r="417" spans="1:10" x14ac:dyDescent="0.25">
      <c r="C417" s="1">
        <v>20</v>
      </c>
      <c r="D417" s="1">
        <v>2</v>
      </c>
      <c r="E417" s="1">
        <v>1</v>
      </c>
      <c r="F417" s="1">
        <v>6</v>
      </c>
      <c r="G417" s="1">
        <v>192</v>
      </c>
      <c r="H417" s="1">
        <v>193</v>
      </c>
      <c r="I417" s="1">
        <f t="shared" si="2"/>
        <v>1</v>
      </c>
    </row>
    <row r="418" spans="1:10" x14ac:dyDescent="0.25">
      <c r="C418" s="1">
        <v>20</v>
      </c>
      <c r="D418" s="1">
        <v>2</v>
      </c>
      <c r="E418" s="1">
        <v>1</v>
      </c>
      <c r="F418" s="1">
        <v>7</v>
      </c>
      <c r="G418" s="1">
        <v>193</v>
      </c>
      <c r="H418" s="1">
        <v>193</v>
      </c>
      <c r="I418" s="1">
        <f t="shared" si="2"/>
        <v>0</v>
      </c>
    </row>
    <row r="419" spans="1:10" x14ac:dyDescent="0.25">
      <c r="C419" s="1">
        <v>20</v>
      </c>
      <c r="D419" s="1">
        <v>2</v>
      </c>
      <c r="E419" s="1">
        <v>1</v>
      </c>
      <c r="F419" s="1">
        <v>8</v>
      </c>
      <c r="G419" s="1">
        <v>193</v>
      </c>
      <c r="H419" s="1">
        <v>193</v>
      </c>
      <c r="I419" s="1">
        <f t="shared" si="2"/>
        <v>0</v>
      </c>
    </row>
    <row r="420" spans="1:10" x14ac:dyDescent="0.25">
      <c r="C420" s="1">
        <v>20</v>
      </c>
      <c r="D420" s="1">
        <v>2</v>
      </c>
      <c r="E420" s="1">
        <v>1</v>
      </c>
      <c r="F420" s="1">
        <v>9</v>
      </c>
      <c r="G420" s="1">
        <v>193</v>
      </c>
      <c r="H420" s="1">
        <v>193</v>
      </c>
      <c r="I420" s="1">
        <f t="shared" si="2"/>
        <v>0</v>
      </c>
    </row>
    <row r="421" spans="1:10" x14ac:dyDescent="0.25">
      <c r="A421" s="5">
        <v>2</v>
      </c>
      <c r="B421" s="2">
        <v>43892</v>
      </c>
      <c r="C421" s="1">
        <v>13</v>
      </c>
      <c r="D421" s="1">
        <v>1</v>
      </c>
      <c r="E421" s="1">
        <v>1</v>
      </c>
      <c r="F421" s="1">
        <v>1</v>
      </c>
      <c r="G421" s="1">
        <v>3</v>
      </c>
      <c r="H421" s="1">
        <v>3</v>
      </c>
      <c r="I421" s="1">
        <f t="shared" si="2"/>
        <v>0</v>
      </c>
      <c r="J421" s="8">
        <f>(I421+I422+I423+I439+I438+I437+I430+I431+I429)/9</f>
        <v>19.888888888888889</v>
      </c>
    </row>
    <row r="422" spans="1:10" x14ac:dyDescent="0.25">
      <c r="C422" s="1">
        <v>13</v>
      </c>
      <c r="D422" s="1">
        <v>1</v>
      </c>
      <c r="E422" s="1">
        <v>1</v>
      </c>
      <c r="F422" s="1">
        <v>2</v>
      </c>
      <c r="G422" s="1">
        <v>3</v>
      </c>
      <c r="H422" s="1">
        <v>34</v>
      </c>
      <c r="I422" s="1">
        <f t="shared" si="2"/>
        <v>31</v>
      </c>
    </row>
    <row r="423" spans="1:10" x14ac:dyDescent="0.25">
      <c r="C423" s="1">
        <v>13</v>
      </c>
      <c r="D423" s="1">
        <v>1</v>
      </c>
      <c r="E423" s="1">
        <v>1</v>
      </c>
      <c r="F423" s="1">
        <v>3</v>
      </c>
      <c r="G423" s="1">
        <v>34</v>
      </c>
      <c r="H423" s="1">
        <v>76</v>
      </c>
      <c r="I423" s="1">
        <f t="shared" si="2"/>
        <v>42</v>
      </c>
    </row>
    <row r="424" spans="1:10" x14ac:dyDescent="0.25">
      <c r="C424" s="1">
        <v>13</v>
      </c>
      <c r="D424" s="1">
        <v>1</v>
      </c>
      <c r="E424" s="1">
        <v>1</v>
      </c>
      <c r="F424" s="1">
        <v>4</v>
      </c>
      <c r="G424" s="1">
        <v>76</v>
      </c>
      <c r="H424" s="1">
        <v>110</v>
      </c>
      <c r="I424" s="1">
        <f t="shared" si="2"/>
        <v>34</v>
      </c>
    </row>
    <row r="425" spans="1:10" x14ac:dyDescent="0.25">
      <c r="C425" s="1">
        <v>13</v>
      </c>
      <c r="D425" s="1">
        <v>1</v>
      </c>
      <c r="E425" s="1">
        <v>1</v>
      </c>
      <c r="F425" s="1">
        <v>5</v>
      </c>
      <c r="G425" s="1">
        <v>110</v>
      </c>
      <c r="H425" s="1">
        <v>131</v>
      </c>
      <c r="I425" s="1">
        <f t="shared" si="2"/>
        <v>21</v>
      </c>
    </row>
    <row r="426" spans="1:10" x14ac:dyDescent="0.25">
      <c r="C426" s="1">
        <v>13</v>
      </c>
      <c r="D426" s="1">
        <v>1</v>
      </c>
      <c r="E426" s="1">
        <v>1</v>
      </c>
      <c r="F426" s="1">
        <v>6</v>
      </c>
      <c r="G426" s="1">
        <v>131</v>
      </c>
      <c r="H426" s="1">
        <v>156</v>
      </c>
      <c r="I426" s="1">
        <f t="shared" si="2"/>
        <v>25</v>
      </c>
    </row>
    <row r="427" spans="1:10" x14ac:dyDescent="0.25">
      <c r="C427" s="1">
        <v>13</v>
      </c>
      <c r="D427" s="1">
        <v>1</v>
      </c>
      <c r="E427" s="1">
        <v>1</v>
      </c>
      <c r="F427" s="1">
        <v>7</v>
      </c>
      <c r="G427" s="1">
        <v>156</v>
      </c>
      <c r="H427" s="1">
        <v>189</v>
      </c>
      <c r="I427" s="1">
        <f t="shared" si="2"/>
        <v>33</v>
      </c>
    </row>
    <row r="428" spans="1:10" x14ac:dyDescent="0.25">
      <c r="C428" s="1">
        <v>13</v>
      </c>
      <c r="D428" s="1">
        <v>1</v>
      </c>
      <c r="E428" s="1">
        <v>1</v>
      </c>
      <c r="F428" s="1">
        <v>8</v>
      </c>
      <c r="G428" s="1">
        <v>189</v>
      </c>
      <c r="H428" s="1">
        <v>218</v>
      </c>
      <c r="I428" s="1">
        <f t="shared" si="2"/>
        <v>29</v>
      </c>
    </row>
    <row r="429" spans="1:10" x14ac:dyDescent="0.25">
      <c r="C429" s="1">
        <v>13</v>
      </c>
      <c r="D429" s="1">
        <v>1</v>
      </c>
      <c r="E429" s="1">
        <v>1</v>
      </c>
      <c r="F429" s="1">
        <v>9</v>
      </c>
      <c r="G429" s="1">
        <v>220</v>
      </c>
      <c r="H429" s="1">
        <v>263</v>
      </c>
      <c r="I429" s="1">
        <f t="shared" si="2"/>
        <v>43</v>
      </c>
    </row>
    <row r="430" spans="1:10" x14ac:dyDescent="0.25">
      <c r="C430" s="1">
        <v>13</v>
      </c>
      <c r="D430" s="1">
        <v>1</v>
      </c>
      <c r="E430" s="1">
        <v>1</v>
      </c>
      <c r="F430" s="1">
        <v>10</v>
      </c>
      <c r="G430" s="1">
        <v>263</v>
      </c>
      <c r="H430" s="1">
        <v>289</v>
      </c>
      <c r="I430" s="1">
        <f t="shared" si="2"/>
        <v>26</v>
      </c>
    </row>
    <row r="431" spans="1:10" x14ac:dyDescent="0.25">
      <c r="C431" s="1">
        <v>13</v>
      </c>
      <c r="D431" s="1">
        <v>1</v>
      </c>
      <c r="E431" s="1">
        <v>1</v>
      </c>
      <c r="F431" s="1">
        <v>11</v>
      </c>
      <c r="G431" s="1">
        <v>289</v>
      </c>
      <c r="H431" s="1">
        <v>325</v>
      </c>
      <c r="I431" s="1">
        <f t="shared" si="2"/>
        <v>36</v>
      </c>
    </row>
    <row r="432" spans="1:10" x14ac:dyDescent="0.25">
      <c r="C432" s="1">
        <v>13</v>
      </c>
      <c r="D432" s="1">
        <v>1</v>
      </c>
      <c r="E432" s="1">
        <v>1</v>
      </c>
      <c r="F432" s="1">
        <v>12</v>
      </c>
      <c r="G432" s="1">
        <v>325</v>
      </c>
      <c r="H432" s="1">
        <v>365</v>
      </c>
      <c r="I432" s="1">
        <f t="shared" si="2"/>
        <v>40</v>
      </c>
    </row>
    <row r="433" spans="1:10" x14ac:dyDescent="0.25">
      <c r="C433" s="1">
        <v>13</v>
      </c>
      <c r="D433" s="1">
        <v>1</v>
      </c>
      <c r="E433" s="1">
        <v>1</v>
      </c>
      <c r="F433" s="1">
        <v>13</v>
      </c>
      <c r="G433" s="1">
        <v>365</v>
      </c>
      <c r="H433" s="1">
        <v>398</v>
      </c>
      <c r="I433" s="1">
        <f t="shared" si="2"/>
        <v>33</v>
      </c>
    </row>
    <row r="434" spans="1:10" x14ac:dyDescent="0.25">
      <c r="C434" s="1">
        <v>13</v>
      </c>
      <c r="D434" s="1">
        <v>1</v>
      </c>
      <c r="E434" s="1">
        <v>1</v>
      </c>
      <c r="F434" s="1">
        <v>14</v>
      </c>
      <c r="G434" s="1">
        <v>398</v>
      </c>
      <c r="H434" s="1">
        <v>399</v>
      </c>
      <c r="I434" s="1">
        <f t="shared" si="2"/>
        <v>1</v>
      </c>
    </row>
    <row r="435" spans="1:10" x14ac:dyDescent="0.25">
      <c r="C435" s="1">
        <v>13</v>
      </c>
      <c r="D435" s="1">
        <v>1</v>
      </c>
      <c r="E435" s="1">
        <v>1</v>
      </c>
      <c r="F435" s="1">
        <v>15</v>
      </c>
      <c r="G435" s="1">
        <v>399</v>
      </c>
      <c r="H435" s="1">
        <v>430</v>
      </c>
      <c r="I435" s="1">
        <f t="shared" si="2"/>
        <v>31</v>
      </c>
    </row>
    <row r="436" spans="1:10" x14ac:dyDescent="0.25">
      <c r="C436" s="1">
        <v>13</v>
      </c>
      <c r="D436" s="1">
        <v>1</v>
      </c>
      <c r="E436" s="1">
        <v>1</v>
      </c>
      <c r="F436" s="1">
        <v>16</v>
      </c>
      <c r="G436" s="1">
        <v>430</v>
      </c>
      <c r="H436" s="1">
        <v>457</v>
      </c>
      <c r="I436" s="1">
        <f t="shared" si="2"/>
        <v>27</v>
      </c>
    </row>
    <row r="437" spans="1:10" x14ac:dyDescent="0.25">
      <c r="C437" s="1">
        <v>13</v>
      </c>
      <c r="D437" s="1">
        <v>1</v>
      </c>
      <c r="E437" s="1">
        <v>1</v>
      </c>
      <c r="F437" s="1">
        <v>17</v>
      </c>
      <c r="G437" s="1">
        <v>457</v>
      </c>
      <c r="H437" s="1">
        <v>457</v>
      </c>
      <c r="I437" s="1">
        <f t="shared" si="2"/>
        <v>0</v>
      </c>
    </row>
    <row r="438" spans="1:10" x14ac:dyDescent="0.25">
      <c r="C438" s="1">
        <v>13</v>
      </c>
      <c r="D438" s="1">
        <v>1</v>
      </c>
      <c r="E438" s="1">
        <v>1</v>
      </c>
      <c r="F438" s="1">
        <v>18</v>
      </c>
      <c r="G438" s="1">
        <v>457</v>
      </c>
      <c r="H438" s="1">
        <v>457</v>
      </c>
      <c r="I438" s="1">
        <f t="shared" si="2"/>
        <v>0</v>
      </c>
    </row>
    <row r="439" spans="1:10" x14ac:dyDescent="0.25">
      <c r="C439" s="1">
        <v>13</v>
      </c>
      <c r="D439" s="1">
        <v>1</v>
      </c>
      <c r="E439" s="1">
        <v>1</v>
      </c>
      <c r="F439" s="1">
        <v>19</v>
      </c>
      <c r="G439" s="1">
        <v>457</v>
      </c>
      <c r="H439" s="1">
        <v>458</v>
      </c>
      <c r="I439" s="1">
        <f t="shared" si="2"/>
        <v>1</v>
      </c>
    </row>
    <row r="440" spans="1:10" x14ac:dyDescent="0.25">
      <c r="A440" s="5">
        <v>2</v>
      </c>
      <c r="B440" s="2">
        <v>43896</v>
      </c>
      <c r="C440" s="1">
        <v>14</v>
      </c>
      <c r="D440" s="1">
        <v>2</v>
      </c>
      <c r="E440" s="1">
        <v>1</v>
      </c>
      <c r="F440" s="1">
        <v>1</v>
      </c>
      <c r="G440" s="1">
        <v>0</v>
      </c>
      <c r="H440" s="1">
        <v>20</v>
      </c>
      <c r="I440" s="1">
        <f t="shared" si="2"/>
        <v>20</v>
      </c>
      <c r="J440" s="8">
        <f>(I440+I441+I442+I455+I454+I453+I447+I448+I449)/9</f>
        <v>25.666666666666668</v>
      </c>
    </row>
    <row r="441" spans="1:10" x14ac:dyDescent="0.25">
      <c r="C441" s="1">
        <v>14</v>
      </c>
      <c r="D441" s="1">
        <v>2</v>
      </c>
      <c r="E441" s="1">
        <v>1</v>
      </c>
      <c r="F441" s="1">
        <v>2</v>
      </c>
      <c r="G441" s="1">
        <v>20</v>
      </c>
      <c r="H441" s="1">
        <v>30</v>
      </c>
      <c r="I441" s="1">
        <f t="shared" si="2"/>
        <v>10</v>
      </c>
    </row>
    <row r="442" spans="1:10" x14ac:dyDescent="0.25">
      <c r="C442" s="1">
        <v>14</v>
      </c>
      <c r="D442" s="1">
        <v>2</v>
      </c>
      <c r="E442" s="1">
        <v>1</v>
      </c>
      <c r="F442" s="1">
        <v>3</v>
      </c>
      <c r="G442" s="1">
        <v>30</v>
      </c>
      <c r="H442" s="1">
        <v>54</v>
      </c>
      <c r="I442" s="1">
        <f t="shared" si="2"/>
        <v>24</v>
      </c>
    </row>
    <row r="443" spans="1:10" x14ac:dyDescent="0.25">
      <c r="C443" s="1">
        <v>14</v>
      </c>
      <c r="D443" s="1">
        <v>2</v>
      </c>
      <c r="E443" s="1">
        <v>1</v>
      </c>
      <c r="F443" s="1">
        <v>4</v>
      </c>
      <c r="G443" s="1">
        <v>54</v>
      </c>
      <c r="H443" s="1">
        <v>72</v>
      </c>
      <c r="I443" s="1">
        <f t="shared" si="2"/>
        <v>18</v>
      </c>
    </row>
    <row r="444" spans="1:10" x14ac:dyDescent="0.25">
      <c r="C444" s="1">
        <v>14</v>
      </c>
      <c r="D444" s="1">
        <v>2</v>
      </c>
      <c r="E444" s="1">
        <v>1</v>
      </c>
      <c r="F444" s="1">
        <v>5</v>
      </c>
      <c r="G444" s="1">
        <v>72</v>
      </c>
      <c r="H444" s="1">
        <v>97</v>
      </c>
      <c r="I444" s="1">
        <f t="shared" si="2"/>
        <v>25</v>
      </c>
    </row>
    <row r="445" spans="1:10" x14ac:dyDescent="0.25">
      <c r="C445" s="1">
        <v>14</v>
      </c>
      <c r="D445" s="1">
        <v>2</v>
      </c>
      <c r="E445" s="1">
        <v>1</v>
      </c>
      <c r="F445" s="1">
        <v>6</v>
      </c>
      <c r="G445" s="1">
        <v>97</v>
      </c>
      <c r="H445" s="1">
        <v>144</v>
      </c>
      <c r="I445" s="1">
        <f t="shared" si="2"/>
        <v>47</v>
      </c>
    </row>
    <row r="446" spans="1:10" x14ac:dyDescent="0.25">
      <c r="C446" s="1">
        <v>14</v>
      </c>
      <c r="D446" s="1">
        <v>2</v>
      </c>
      <c r="E446" s="1">
        <v>1</v>
      </c>
      <c r="F446" s="1">
        <v>7</v>
      </c>
      <c r="G446" s="1">
        <v>144</v>
      </c>
      <c r="H446" s="1">
        <v>180</v>
      </c>
      <c r="I446" s="1">
        <f t="shared" si="2"/>
        <v>36</v>
      </c>
    </row>
    <row r="447" spans="1:10" x14ac:dyDescent="0.25">
      <c r="C447" s="1">
        <v>14</v>
      </c>
      <c r="D447" s="1">
        <v>2</v>
      </c>
      <c r="E447" s="1">
        <v>1</v>
      </c>
      <c r="F447" s="1">
        <v>8</v>
      </c>
      <c r="G447" s="1">
        <v>181</v>
      </c>
      <c r="H447" s="1">
        <v>224</v>
      </c>
      <c r="I447" s="1">
        <f t="shared" si="2"/>
        <v>43</v>
      </c>
    </row>
    <row r="448" spans="1:10" x14ac:dyDescent="0.25">
      <c r="C448" s="1">
        <v>14</v>
      </c>
      <c r="D448" s="1">
        <v>2</v>
      </c>
      <c r="E448" s="1">
        <v>1</v>
      </c>
      <c r="F448" s="1">
        <v>9</v>
      </c>
      <c r="G448" s="1">
        <v>224</v>
      </c>
      <c r="H448" s="1">
        <v>260</v>
      </c>
      <c r="I448" s="1">
        <f t="shared" si="2"/>
        <v>36</v>
      </c>
    </row>
    <row r="449" spans="1:10" x14ac:dyDescent="0.25">
      <c r="C449" s="1">
        <v>14</v>
      </c>
      <c r="D449" s="1">
        <v>2</v>
      </c>
      <c r="E449" s="1">
        <v>1</v>
      </c>
      <c r="F449" s="1">
        <v>10</v>
      </c>
      <c r="G449" s="1">
        <v>260</v>
      </c>
      <c r="H449" s="1">
        <v>289</v>
      </c>
      <c r="I449" s="1">
        <f t="shared" si="2"/>
        <v>29</v>
      </c>
    </row>
    <row r="450" spans="1:10" x14ac:dyDescent="0.25">
      <c r="C450" s="1">
        <v>14</v>
      </c>
      <c r="D450" s="1">
        <v>2</v>
      </c>
      <c r="E450" s="1">
        <v>1</v>
      </c>
      <c r="F450" s="1">
        <v>11</v>
      </c>
      <c r="G450" s="1">
        <v>289</v>
      </c>
      <c r="H450" s="1">
        <v>311</v>
      </c>
      <c r="I450" s="1">
        <f t="shared" si="2"/>
        <v>22</v>
      </c>
    </row>
    <row r="451" spans="1:10" x14ac:dyDescent="0.25">
      <c r="C451" s="1">
        <v>14</v>
      </c>
      <c r="D451" s="1">
        <v>2</v>
      </c>
      <c r="E451" s="1">
        <v>1</v>
      </c>
      <c r="F451" s="1">
        <v>12</v>
      </c>
      <c r="G451" s="1">
        <v>311</v>
      </c>
      <c r="H451" s="1">
        <v>348</v>
      </c>
      <c r="I451" s="1">
        <f t="shared" si="2"/>
        <v>37</v>
      </c>
    </row>
    <row r="452" spans="1:10" x14ac:dyDescent="0.25">
      <c r="C452" s="1">
        <v>14</v>
      </c>
      <c r="D452" s="1">
        <v>2</v>
      </c>
      <c r="E452" s="1">
        <v>1</v>
      </c>
      <c r="F452" s="1">
        <v>13</v>
      </c>
      <c r="G452" s="1">
        <v>348</v>
      </c>
      <c r="H452" s="1">
        <v>361</v>
      </c>
      <c r="I452" s="1">
        <f t="shared" si="2"/>
        <v>13</v>
      </c>
    </row>
    <row r="453" spans="1:10" x14ac:dyDescent="0.25">
      <c r="C453" s="1">
        <v>14</v>
      </c>
      <c r="D453" s="1">
        <v>2</v>
      </c>
      <c r="E453" s="1">
        <v>1</v>
      </c>
      <c r="F453" s="1">
        <v>14</v>
      </c>
      <c r="G453" s="1">
        <v>361</v>
      </c>
      <c r="H453" s="1">
        <v>388</v>
      </c>
      <c r="I453" s="1">
        <f t="shared" si="2"/>
        <v>27</v>
      </c>
    </row>
    <row r="454" spans="1:10" x14ac:dyDescent="0.25">
      <c r="C454" s="1">
        <v>14</v>
      </c>
      <c r="D454" s="1">
        <v>2</v>
      </c>
      <c r="E454" s="1">
        <v>1</v>
      </c>
      <c r="F454" s="1">
        <v>15</v>
      </c>
      <c r="G454" s="1">
        <v>388</v>
      </c>
      <c r="H454" s="1">
        <v>408</v>
      </c>
      <c r="I454" s="1">
        <f t="shared" si="2"/>
        <v>20</v>
      </c>
    </row>
    <row r="455" spans="1:10" x14ac:dyDescent="0.25">
      <c r="C455" s="1">
        <v>14</v>
      </c>
      <c r="D455" s="1">
        <v>2</v>
      </c>
      <c r="E455" s="1">
        <v>1</v>
      </c>
      <c r="F455" s="1">
        <v>16</v>
      </c>
      <c r="G455" s="1">
        <v>408</v>
      </c>
      <c r="H455" s="1">
        <v>430</v>
      </c>
      <c r="I455" s="1">
        <f t="shared" si="2"/>
        <v>22</v>
      </c>
    </row>
    <row r="456" spans="1:10" x14ac:dyDescent="0.25">
      <c r="A456" s="5">
        <v>2</v>
      </c>
      <c r="B456" s="2">
        <v>43894</v>
      </c>
      <c r="C456" s="1">
        <v>15</v>
      </c>
      <c r="D456" s="1">
        <v>1</v>
      </c>
      <c r="E456" s="1">
        <v>1</v>
      </c>
      <c r="F456" s="1">
        <v>1</v>
      </c>
      <c r="G456" s="1">
        <v>0</v>
      </c>
      <c r="H456" s="1">
        <v>45</v>
      </c>
      <c r="I456" s="1">
        <f t="shared" si="2"/>
        <v>45</v>
      </c>
      <c r="J456" s="8">
        <f>(I456+I457+I458+I480+I479+I478+I467+I468+I469)/9</f>
        <v>48.888888888888886</v>
      </c>
    </row>
    <row r="457" spans="1:10" x14ac:dyDescent="0.25">
      <c r="C457" s="1">
        <v>15</v>
      </c>
      <c r="D457" s="1">
        <v>1</v>
      </c>
      <c r="E457" s="1">
        <v>1</v>
      </c>
      <c r="F457" s="1">
        <v>2</v>
      </c>
      <c r="G457" s="1">
        <v>45</v>
      </c>
      <c r="H457" s="1">
        <v>103</v>
      </c>
      <c r="I457" s="1">
        <f t="shared" si="2"/>
        <v>58</v>
      </c>
    </row>
    <row r="458" spans="1:10" x14ac:dyDescent="0.25">
      <c r="C458" s="1">
        <v>15</v>
      </c>
      <c r="D458" s="1">
        <v>1</v>
      </c>
      <c r="E458" s="1">
        <v>1</v>
      </c>
      <c r="F458" s="1">
        <v>3</v>
      </c>
      <c r="G458" s="1">
        <v>108</v>
      </c>
      <c r="H458" s="1">
        <v>162</v>
      </c>
      <c r="I458" s="1">
        <f t="shared" si="2"/>
        <v>54</v>
      </c>
    </row>
    <row r="459" spans="1:10" x14ac:dyDescent="0.25">
      <c r="C459" s="1">
        <v>15</v>
      </c>
      <c r="D459" s="1">
        <v>1</v>
      </c>
      <c r="E459" s="1">
        <v>1</v>
      </c>
      <c r="F459" s="1">
        <v>4</v>
      </c>
      <c r="G459" s="1">
        <v>162</v>
      </c>
      <c r="H459" s="1">
        <v>208</v>
      </c>
      <c r="I459" s="1">
        <f t="shared" si="2"/>
        <v>46</v>
      </c>
    </row>
    <row r="460" spans="1:10" x14ac:dyDescent="0.25">
      <c r="C460" s="1">
        <v>15</v>
      </c>
      <c r="D460" s="1">
        <v>1</v>
      </c>
      <c r="E460" s="1">
        <v>1</v>
      </c>
      <c r="F460" s="1">
        <v>5</v>
      </c>
      <c r="G460" s="1">
        <v>208</v>
      </c>
      <c r="H460" s="1">
        <v>263</v>
      </c>
      <c r="I460" s="1">
        <f t="shared" si="2"/>
        <v>55</v>
      </c>
    </row>
    <row r="461" spans="1:10" x14ac:dyDescent="0.25">
      <c r="C461" s="1">
        <v>15</v>
      </c>
      <c r="D461" s="1">
        <v>1</v>
      </c>
      <c r="E461" s="1">
        <v>1</v>
      </c>
      <c r="F461" s="1">
        <v>6</v>
      </c>
      <c r="G461" s="1">
        <v>263</v>
      </c>
      <c r="H461" s="1">
        <v>310</v>
      </c>
      <c r="I461" s="1">
        <f t="shared" si="2"/>
        <v>47</v>
      </c>
    </row>
    <row r="462" spans="1:10" x14ac:dyDescent="0.25">
      <c r="C462" s="1">
        <v>15</v>
      </c>
      <c r="D462" s="1">
        <v>1</v>
      </c>
      <c r="E462" s="1">
        <v>1</v>
      </c>
      <c r="F462" s="1">
        <v>7</v>
      </c>
      <c r="G462" s="1">
        <v>310</v>
      </c>
      <c r="H462" s="1">
        <v>370</v>
      </c>
      <c r="I462" s="1">
        <f t="shared" si="2"/>
        <v>60</v>
      </c>
    </row>
    <row r="463" spans="1:10" x14ac:dyDescent="0.25">
      <c r="C463" s="1">
        <v>15</v>
      </c>
      <c r="D463" s="1">
        <v>1</v>
      </c>
      <c r="E463" s="1">
        <v>1</v>
      </c>
      <c r="F463" s="1">
        <v>8</v>
      </c>
      <c r="G463" s="1">
        <v>370</v>
      </c>
      <c r="H463" s="1">
        <v>410</v>
      </c>
      <c r="I463" s="1">
        <f t="shared" si="2"/>
        <v>40</v>
      </c>
    </row>
    <row r="464" spans="1:10" x14ac:dyDescent="0.25">
      <c r="C464" s="1">
        <v>15</v>
      </c>
      <c r="D464" s="1">
        <v>1</v>
      </c>
      <c r="E464" s="1">
        <v>1</v>
      </c>
      <c r="F464" s="1">
        <v>9</v>
      </c>
      <c r="G464" s="1">
        <v>410</v>
      </c>
      <c r="H464" s="1">
        <v>463</v>
      </c>
      <c r="I464" s="1">
        <f t="shared" si="2"/>
        <v>53</v>
      </c>
    </row>
    <row r="465" spans="3:9" x14ac:dyDescent="0.25">
      <c r="C465" s="1">
        <v>15</v>
      </c>
      <c r="D465" s="1">
        <v>1</v>
      </c>
      <c r="E465" s="1">
        <v>1</v>
      </c>
      <c r="F465" s="1">
        <v>10</v>
      </c>
      <c r="G465" s="1">
        <v>463</v>
      </c>
      <c r="H465" s="1">
        <v>491</v>
      </c>
      <c r="I465" s="1">
        <f t="shared" si="2"/>
        <v>28</v>
      </c>
    </row>
    <row r="466" spans="3:9" x14ac:dyDescent="0.25">
      <c r="C466" s="1">
        <v>15</v>
      </c>
      <c r="D466" s="1">
        <v>1</v>
      </c>
      <c r="E466" s="1">
        <v>1</v>
      </c>
      <c r="F466" s="1">
        <v>11</v>
      </c>
      <c r="G466" s="1">
        <v>491</v>
      </c>
      <c r="H466" s="1">
        <v>534</v>
      </c>
      <c r="I466" s="1">
        <f t="shared" si="2"/>
        <v>43</v>
      </c>
    </row>
    <row r="467" spans="3:9" x14ac:dyDescent="0.25">
      <c r="C467" s="1">
        <v>15</v>
      </c>
      <c r="D467" s="1">
        <v>1</v>
      </c>
      <c r="E467" s="1">
        <v>1</v>
      </c>
      <c r="F467" s="1">
        <v>12</v>
      </c>
      <c r="G467" s="1">
        <v>534</v>
      </c>
      <c r="H467" s="1">
        <v>575</v>
      </c>
      <c r="I467" s="1">
        <f t="shared" si="2"/>
        <v>41</v>
      </c>
    </row>
    <row r="468" spans="3:9" x14ac:dyDescent="0.25">
      <c r="C468" s="1">
        <v>15</v>
      </c>
      <c r="D468" s="1">
        <v>1</v>
      </c>
      <c r="E468" s="1">
        <v>1</v>
      </c>
      <c r="F468" s="1">
        <v>13</v>
      </c>
      <c r="G468" s="1">
        <v>577</v>
      </c>
      <c r="H468" s="1">
        <v>587</v>
      </c>
      <c r="I468" s="1">
        <f t="shared" si="2"/>
        <v>10</v>
      </c>
    </row>
    <row r="469" spans="3:9" x14ac:dyDescent="0.25">
      <c r="C469" s="1">
        <v>15</v>
      </c>
      <c r="D469" s="1">
        <v>1</v>
      </c>
      <c r="E469" s="1">
        <v>1</v>
      </c>
      <c r="F469" s="1">
        <v>14</v>
      </c>
      <c r="G469" s="1">
        <v>590</v>
      </c>
      <c r="H469" s="1">
        <v>636</v>
      </c>
      <c r="I469" s="1">
        <f t="shared" si="2"/>
        <v>46</v>
      </c>
    </row>
    <row r="470" spans="3:9" x14ac:dyDescent="0.25">
      <c r="C470" s="1">
        <v>15</v>
      </c>
      <c r="D470" s="1">
        <v>1</v>
      </c>
      <c r="E470" s="1">
        <v>1</v>
      </c>
      <c r="F470" s="1">
        <v>15</v>
      </c>
      <c r="G470" s="1">
        <v>636</v>
      </c>
      <c r="H470" s="1">
        <v>664</v>
      </c>
      <c r="I470" s="1">
        <f t="shared" si="2"/>
        <v>28</v>
      </c>
    </row>
    <row r="471" spans="3:9" x14ac:dyDescent="0.25">
      <c r="C471" s="1">
        <v>15</v>
      </c>
      <c r="D471" s="1">
        <v>1</v>
      </c>
      <c r="E471" s="1">
        <v>1</v>
      </c>
      <c r="F471" s="1">
        <v>16</v>
      </c>
      <c r="G471" s="1">
        <v>664</v>
      </c>
      <c r="H471" s="1">
        <v>714</v>
      </c>
      <c r="I471" s="1">
        <f t="shared" si="2"/>
        <v>50</v>
      </c>
    </row>
    <row r="472" spans="3:9" x14ac:dyDescent="0.25">
      <c r="C472" s="1">
        <v>15</v>
      </c>
      <c r="D472" s="1">
        <v>1</v>
      </c>
      <c r="E472" s="1">
        <v>1</v>
      </c>
      <c r="F472" s="1">
        <v>17</v>
      </c>
      <c r="G472" s="1">
        <v>714</v>
      </c>
      <c r="H472" s="1">
        <v>767</v>
      </c>
      <c r="I472" s="1">
        <f t="shared" si="2"/>
        <v>53</v>
      </c>
    </row>
    <row r="473" spans="3:9" x14ac:dyDescent="0.25">
      <c r="C473" s="1">
        <v>15</v>
      </c>
      <c r="D473" s="1">
        <v>1</v>
      </c>
      <c r="E473" s="1">
        <v>1</v>
      </c>
      <c r="F473" s="1">
        <v>18</v>
      </c>
      <c r="G473" s="1">
        <v>767</v>
      </c>
      <c r="H473" s="1">
        <v>821</v>
      </c>
      <c r="I473" s="1">
        <f t="shared" si="2"/>
        <v>54</v>
      </c>
    </row>
    <row r="474" spans="3:9" x14ac:dyDescent="0.25">
      <c r="C474" s="1">
        <v>15</v>
      </c>
      <c r="D474" s="1">
        <v>1</v>
      </c>
      <c r="E474" s="1">
        <v>1</v>
      </c>
      <c r="F474" s="1">
        <v>19</v>
      </c>
      <c r="G474" s="1">
        <v>821</v>
      </c>
      <c r="H474" s="1">
        <v>865</v>
      </c>
      <c r="I474" s="1">
        <f t="shared" si="2"/>
        <v>44</v>
      </c>
    </row>
    <row r="475" spans="3:9" x14ac:dyDescent="0.25">
      <c r="C475" s="1">
        <v>15</v>
      </c>
      <c r="D475" s="1">
        <v>1</v>
      </c>
      <c r="E475" s="1">
        <v>1</v>
      </c>
      <c r="F475" s="1">
        <v>20</v>
      </c>
      <c r="G475" s="1">
        <v>865</v>
      </c>
      <c r="H475" s="1">
        <v>923</v>
      </c>
      <c r="I475" s="1">
        <f t="shared" si="2"/>
        <v>58</v>
      </c>
    </row>
    <row r="476" spans="3:9" x14ac:dyDescent="0.25">
      <c r="C476" s="1">
        <v>15</v>
      </c>
      <c r="D476" s="1">
        <v>1</v>
      </c>
      <c r="E476" s="1">
        <v>1</v>
      </c>
      <c r="F476" s="1">
        <v>21</v>
      </c>
      <c r="G476" s="1">
        <v>923</v>
      </c>
      <c r="H476" s="1">
        <v>978</v>
      </c>
      <c r="I476" s="1">
        <f t="shared" si="2"/>
        <v>55</v>
      </c>
    </row>
    <row r="477" spans="3:9" x14ac:dyDescent="0.25">
      <c r="C477" s="1">
        <v>15</v>
      </c>
      <c r="D477" s="1">
        <v>1</v>
      </c>
      <c r="E477" s="1">
        <v>1</v>
      </c>
      <c r="F477" s="1">
        <v>22</v>
      </c>
      <c r="G477" s="1">
        <v>978</v>
      </c>
      <c r="H477" s="1">
        <v>1025</v>
      </c>
      <c r="I477" s="1">
        <f t="shared" si="2"/>
        <v>47</v>
      </c>
    </row>
    <row r="478" spans="3:9" x14ac:dyDescent="0.25">
      <c r="C478" s="1">
        <v>15</v>
      </c>
      <c r="D478" s="1">
        <v>1</v>
      </c>
      <c r="E478" s="1">
        <v>1</v>
      </c>
      <c r="F478" s="1">
        <v>23</v>
      </c>
      <c r="G478" s="1">
        <v>1028</v>
      </c>
      <c r="H478" s="1">
        <v>1090</v>
      </c>
      <c r="I478" s="1">
        <f t="shared" si="2"/>
        <v>62</v>
      </c>
    </row>
    <row r="479" spans="3:9" x14ac:dyDescent="0.25">
      <c r="C479" s="1">
        <v>15</v>
      </c>
      <c r="D479" s="1">
        <v>1</v>
      </c>
      <c r="E479" s="1">
        <v>1</v>
      </c>
      <c r="F479" s="1">
        <v>24</v>
      </c>
      <c r="G479" s="1">
        <v>1090</v>
      </c>
      <c r="H479" s="1">
        <v>1154</v>
      </c>
      <c r="I479" s="1">
        <f t="shared" si="2"/>
        <v>64</v>
      </c>
    </row>
    <row r="480" spans="3:9" x14ac:dyDescent="0.25">
      <c r="C480" s="1">
        <v>15</v>
      </c>
      <c r="D480" s="1">
        <v>1</v>
      </c>
      <c r="E480" s="1">
        <v>1</v>
      </c>
      <c r="F480" s="1">
        <v>25</v>
      </c>
      <c r="G480" s="1">
        <v>1154</v>
      </c>
      <c r="H480" s="1">
        <v>1214</v>
      </c>
      <c r="I480" s="1">
        <f t="shared" si="2"/>
        <v>60</v>
      </c>
    </row>
    <row r="481" spans="1:10" x14ac:dyDescent="0.25">
      <c r="A481" s="5">
        <v>2</v>
      </c>
      <c r="B481" s="2">
        <v>43892</v>
      </c>
      <c r="C481" s="1">
        <v>16</v>
      </c>
      <c r="D481" s="1">
        <v>2</v>
      </c>
      <c r="E481" s="1">
        <v>1</v>
      </c>
      <c r="F481" s="1">
        <v>1</v>
      </c>
      <c r="G481" s="1">
        <v>1</v>
      </c>
      <c r="H481" s="1">
        <v>1</v>
      </c>
      <c r="I481" s="1">
        <f t="shared" si="2"/>
        <v>0</v>
      </c>
      <c r="J481" s="8">
        <f>(I481+I482+I483+I491+I490+I489+I486+I485+I487)/9</f>
        <v>14.666666666666666</v>
      </c>
    </row>
    <row r="482" spans="1:10" x14ac:dyDescent="0.25">
      <c r="C482" s="1">
        <v>16</v>
      </c>
      <c r="D482" s="1">
        <v>2</v>
      </c>
      <c r="E482" s="1">
        <v>1</v>
      </c>
      <c r="F482" s="1">
        <v>2</v>
      </c>
      <c r="G482" s="1">
        <v>1</v>
      </c>
      <c r="H482" s="1">
        <v>34</v>
      </c>
      <c r="I482" s="1">
        <f t="shared" si="2"/>
        <v>33</v>
      </c>
    </row>
    <row r="483" spans="1:10" x14ac:dyDescent="0.25">
      <c r="C483" s="1">
        <v>16</v>
      </c>
      <c r="D483" s="1">
        <v>2</v>
      </c>
      <c r="E483" s="1">
        <v>1</v>
      </c>
      <c r="F483" s="1">
        <v>3</v>
      </c>
      <c r="G483" s="1">
        <v>34</v>
      </c>
      <c r="H483" s="1">
        <v>75</v>
      </c>
      <c r="I483" s="1">
        <f t="shared" si="2"/>
        <v>41</v>
      </c>
    </row>
    <row r="484" spans="1:10" x14ac:dyDescent="0.25">
      <c r="C484" s="1">
        <v>16</v>
      </c>
      <c r="D484" s="1">
        <v>2</v>
      </c>
      <c r="E484" s="1">
        <v>1</v>
      </c>
      <c r="F484" s="1">
        <v>4</v>
      </c>
      <c r="G484" s="1">
        <v>75</v>
      </c>
      <c r="H484" s="1">
        <v>75</v>
      </c>
      <c r="I484" s="1">
        <f t="shared" si="2"/>
        <v>0</v>
      </c>
    </row>
    <row r="485" spans="1:10" x14ac:dyDescent="0.25">
      <c r="C485" s="1">
        <v>16</v>
      </c>
      <c r="D485" s="1">
        <v>2</v>
      </c>
      <c r="E485" s="1">
        <v>1</v>
      </c>
      <c r="F485" s="1">
        <v>5</v>
      </c>
      <c r="G485" s="1">
        <v>75</v>
      </c>
      <c r="H485" s="1">
        <v>107</v>
      </c>
      <c r="I485" s="1">
        <f t="shared" si="2"/>
        <v>32</v>
      </c>
    </row>
    <row r="486" spans="1:10" x14ac:dyDescent="0.25">
      <c r="C486" s="1">
        <v>16</v>
      </c>
      <c r="D486" s="1">
        <v>2</v>
      </c>
      <c r="E486" s="1">
        <v>1</v>
      </c>
      <c r="F486" s="1">
        <v>6</v>
      </c>
      <c r="G486" s="1">
        <v>107</v>
      </c>
      <c r="H486" s="1">
        <v>133</v>
      </c>
      <c r="I486" s="1">
        <f t="shared" si="2"/>
        <v>26</v>
      </c>
    </row>
    <row r="487" spans="1:10" x14ac:dyDescent="0.25">
      <c r="C487" s="1">
        <v>16</v>
      </c>
      <c r="D487" s="1">
        <v>2</v>
      </c>
      <c r="E487" s="1">
        <v>1</v>
      </c>
      <c r="F487" s="1">
        <v>7</v>
      </c>
      <c r="G487" s="1">
        <v>133</v>
      </c>
      <c r="H487" s="1">
        <v>133</v>
      </c>
      <c r="I487" s="1">
        <f t="shared" si="2"/>
        <v>0</v>
      </c>
    </row>
    <row r="488" spans="1:10" x14ac:dyDescent="0.25">
      <c r="C488" s="1">
        <v>16</v>
      </c>
      <c r="D488" s="1">
        <v>2</v>
      </c>
      <c r="E488" s="1">
        <v>1</v>
      </c>
      <c r="F488" s="1">
        <v>8</v>
      </c>
      <c r="G488" s="1">
        <v>133</v>
      </c>
      <c r="H488" s="1">
        <v>133</v>
      </c>
      <c r="I488" s="1">
        <f t="shared" si="2"/>
        <v>0</v>
      </c>
    </row>
    <row r="489" spans="1:10" x14ac:dyDescent="0.25">
      <c r="C489" s="1">
        <v>16</v>
      </c>
      <c r="D489" s="1">
        <v>2</v>
      </c>
      <c r="E489" s="1">
        <v>1</v>
      </c>
      <c r="F489" s="1">
        <v>9</v>
      </c>
      <c r="G489" s="1">
        <v>133</v>
      </c>
      <c r="H489" s="1">
        <v>133</v>
      </c>
      <c r="I489" s="1">
        <f t="shared" si="2"/>
        <v>0</v>
      </c>
    </row>
    <row r="490" spans="1:10" x14ac:dyDescent="0.25">
      <c r="C490" s="1">
        <v>16</v>
      </c>
      <c r="D490" s="1">
        <v>2</v>
      </c>
      <c r="E490" s="1">
        <v>1</v>
      </c>
      <c r="F490" s="1">
        <v>10</v>
      </c>
      <c r="G490" s="1">
        <v>133</v>
      </c>
      <c r="H490" s="1">
        <v>133</v>
      </c>
      <c r="I490" s="1">
        <f t="shared" si="2"/>
        <v>0</v>
      </c>
    </row>
    <row r="491" spans="1:10" x14ac:dyDescent="0.25">
      <c r="C491" s="1">
        <v>16</v>
      </c>
      <c r="D491" s="1">
        <v>2</v>
      </c>
      <c r="E491" s="1">
        <v>1</v>
      </c>
      <c r="F491" s="1">
        <v>11</v>
      </c>
      <c r="G491" s="1">
        <v>133</v>
      </c>
      <c r="H491" s="1">
        <v>133</v>
      </c>
      <c r="I491" s="1">
        <f t="shared" si="2"/>
        <v>0</v>
      </c>
    </row>
    <row r="492" spans="1:10" x14ac:dyDescent="0.25">
      <c r="A492" s="5">
        <v>2</v>
      </c>
      <c r="B492" s="2">
        <v>43896</v>
      </c>
      <c r="C492" s="1">
        <v>17</v>
      </c>
      <c r="D492" s="1">
        <v>1</v>
      </c>
      <c r="E492" s="1">
        <v>1</v>
      </c>
      <c r="F492" s="1">
        <v>1</v>
      </c>
      <c r="G492" s="1">
        <v>20</v>
      </c>
      <c r="H492" s="1">
        <v>71</v>
      </c>
      <c r="I492" s="1">
        <f t="shared" si="2"/>
        <v>51</v>
      </c>
      <c r="J492" s="8">
        <f>(I492+I493+I494+I516+I515+I514+I503+I504+I505)/9</f>
        <v>35.444444444444443</v>
      </c>
    </row>
    <row r="493" spans="1:10" x14ac:dyDescent="0.25">
      <c r="C493" s="1">
        <v>17</v>
      </c>
      <c r="D493" s="1">
        <v>1</v>
      </c>
      <c r="E493" s="1">
        <v>1</v>
      </c>
      <c r="F493" s="1">
        <v>2</v>
      </c>
      <c r="G493" s="1">
        <v>71</v>
      </c>
      <c r="H493" s="1">
        <v>119</v>
      </c>
      <c r="I493" s="1">
        <f t="shared" si="2"/>
        <v>48</v>
      </c>
    </row>
    <row r="494" spans="1:10" x14ac:dyDescent="0.25">
      <c r="C494" s="1">
        <v>17</v>
      </c>
      <c r="D494" s="1">
        <v>1</v>
      </c>
      <c r="E494" s="1">
        <v>1</v>
      </c>
      <c r="F494" s="1">
        <v>3</v>
      </c>
      <c r="G494" s="1">
        <v>119</v>
      </c>
      <c r="H494" s="1">
        <v>145</v>
      </c>
      <c r="I494" s="1">
        <f t="shared" si="2"/>
        <v>26</v>
      </c>
    </row>
    <row r="495" spans="1:10" x14ac:dyDescent="0.25">
      <c r="C495" s="1">
        <v>17</v>
      </c>
      <c r="D495" s="1">
        <v>1</v>
      </c>
      <c r="E495" s="1">
        <v>1</v>
      </c>
      <c r="F495" s="1">
        <v>4</v>
      </c>
      <c r="G495" s="1">
        <v>155</v>
      </c>
      <c r="H495" s="1">
        <v>180</v>
      </c>
      <c r="I495" s="1">
        <f t="shared" si="2"/>
        <v>25</v>
      </c>
    </row>
    <row r="496" spans="1:10" x14ac:dyDescent="0.25">
      <c r="C496" s="1">
        <v>17</v>
      </c>
      <c r="D496" s="1">
        <v>1</v>
      </c>
      <c r="E496" s="1">
        <v>1</v>
      </c>
      <c r="F496" s="1">
        <v>5</v>
      </c>
      <c r="G496" s="1">
        <v>180</v>
      </c>
      <c r="H496" s="1">
        <v>182</v>
      </c>
      <c r="I496" s="1">
        <f t="shared" si="2"/>
        <v>2</v>
      </c>
    </row>
    <row r="497" spans="3:9" x14ac:dyDescent="0.25">
      <c r="C497" s="1">
        <v>17</v>
      </c>
      <c r="D497" s="1">
        <v>1</v>
      </c>
      <c r="E497" s="1">
        <v>1</v>
      </c>
      <c r="F497" s="1">
        <v>6</v>
      </c>
      <c r="G497" s="1">
        <v>184</v>
      </c>
      <c r="H497" s="1">
        <v>207</v>
      </c>
      <c r="I497" s="1">
        <f t="shared" si="2"/>
        <v>23</v>
      </c>
    </row>
    <row r="498" spans="3:9" x14ac:dyDescent="0.25">
      <c r="C498" s="1">
        <v>17</v>
      </c>
      <c r="D498" s="1">
        <v>1</v>
      </c>
      <c r="E498" s="1">
        <v>1</v>
      </c>
      <c r="F498" s="1">
        <v>7</v>
      </c>
      <c r="G498" s="1">
        <v>212</v>
      </c>
      <c r="H498" s="1">
        <v>219</v>
      </c>
      <c r="I498" s="1">
        <f t="shared" si="2"/>
        <v>7</v>
      </c>
    </row>
    <row r="499" spans="3:9" x14ac:dyDescent="0.25">
      <c r="C499" s="1">
        <v>17</v>
      </c>
      <c r="D499" s="1">
        <v>1</v>
      </c>
      <c r="E499" s="1">
        <v>1</v>
      </c>
      <c r="F499" s="1">
        <v>8</v>
      </c>
      <c r="G499" s="1">
        <v>225</v>
      </c>
      <c r="H499" s="1">
        <v>272</v>
      </c>
      <c r="I499" s="1">
        <f t="shared" si="2"/>
        <v>47</v>
      </c>
    </row>
    <row r="500" spans="3:9" x14ac:dyDescent="0.25">
      <c r="C500" s="1">
        <v>17</v>
      </c>
      <c r="D500" s="1">
        <v>1</v>
      </c>
      <c r="E500" s="1">
        <v>1</v>
      </c>
      <c r="F500" s="1">
        <v>9</v>
      </c>
      <c r="G500" s="1">
        <v>272</v>
      </c>
      <c r="H500" s="1">
        <v>295</v>
      </c>
      <c r="I500" s="1">
        <f t="shared" si="2"/>
        <v>23</v>
      </c>
    </row>
    <row r="501" spans="3:9" x14ac:dyDescent="0.25">
      <c r="C501" s="1">
        <v>17</v>
      </c>
      <c r="D501" s="1">
        <v>1</v>
      </c>
      <c r="E501" s="1">
        <v>1</v>
      </c>
      <c r="F501" s="1">
        <v>10</v>
      </c>
      <c r="G501" s="1">
        <v>295</v>
      </c>
      <c r="H501" s="1">
        <v>338</v>
      </c>
      <c r="I501" s="1">
        <f t="shared" si="2"/>
        <v>43</v>
      </c>
    </row>
    <row r="502" spans="3:9" x14ac:dyDescent="0.25">
      <c r="C502" s="1">
        <v>17</v>
      </c>
      <c r="D502" s="1">
        <v>1</v>
      </c>
      <c r="E502" s="1">
        <v>1</v>
      </c>
      <c r="F502" s="1">
        <v>11</v>
      </c>
      <c r="G502" s="1">
        <v>340</v>
      </c>
      <c r="H502" s="1">
        <v>361</v>
      </c>
      <c r="I502" s="1">
        <f t="shared" si="2"/>
        <v>21</v>
      </c>
    </row>
    <row r="503" spans="3:9" x14ac:dyDescent="0.25">
      <c r="C503" s="1">
        <v>17</v>
      </c>
      <c r="D503" s="1">
        <v>1</v>
      </c>
      <c r="E503" s="1">
        <v>1</v>
      </c>
      <c r="F503" s="1">
        <v>12</v>
      </c>
      <c r="G503" s="1">
        <v>361</v>
      </c>
      <c r="H503" s="1">
        <v>375</v>
      </c>
      <c r="I503" s="1">
        <f t="shared" si="2"/>
        <v>14</v>
      </c>
    </row>
    <row r="504" spans="3:9" x14ac:dyDescent="0.25">
      <c r="C504" s="1">
        <v>17</v>
      </c>
      <c r="D504" s="1">
        <v>1</v>
      </c>
      <c r="E504" s="1">
        <v>1</v>
      </c>
      <c r="F504" s="1">
        <v>13</v>
      </c>
      <c r="G504" s="1">
        <v>375</v>
      </c>
      <c r="H504" s="1">
        <v>394</v>
      </c>
      <c r="I504" s="1">
        <f t="shared" si="2"/>
        <v>19</v>
      </c>
    </row>
    <row r="505" spans="3:9" x14ac:dyDescent="0.25">
      <c r="C505" s="1">
        <v>17</v>
      </c>
      <c r="D505" s="1">
        <v>1</v>
      </c>
      <c r="E505" s="1">
        <v>1</v>
      </c>
      <c r="F505" s="1">
        <v>14</v>
      </c>
      <c r="G505" s="1">
        <v>397</v>
      </c>
      <c r="H505" s="1">
        <v>402</v>
      </c>
      <c r="I505" s="1">
        <f t="shared" si="2"/>
        <v>5</v>
      </c>
    </row>
    <row r="506" spans="3:9" x14ac:dyDescent="0.25">
      <c r="C506" s="1">
        <v>17</v>
      </c>
      <c r="D506" s="1">
        <v>1</v>
      </c>
      <c r="E506" s="1">
        <v>1</v>
      </c>
      <c r="F506" s="1">
        <v>15</v>
      </c>
      <c r="G506" s="1">
        <v>402</v>
      </c>
      <c r="H506" s="1">
        <v>411</v>
      </c>
      <c r="I506" s="1">
        <f t="shared" si="2"/>
        <v>9</v>
      </c>
    </row>
    <row r="507" spans="3:9" x14ac:dyDescent="0.25">
      <c r="C507" s="1">
        <v>17</v>
      </c>
      <c r="D507" s="1">
        <v>1</v>
      </c>
      <c r="E507" s="1">
        <v>1</v>
      </c>
      <c r="F507" s="1">
        <v>16</v>
      </c>
      <c r="G507" s="1">
        <v>412</v>
      </c>
      <c r="H507" s="1">
        <v>466</v>
      </c>
      <c r="I507" s="1">
        <f t="shared" si="2"/>
        <v>54</v>
      </c>
    </row>
    <row r="508" spans="3:9" x14ac:dyDescent="0.25">
      <c r="C508" s="1">
        <v>17</v>
      </c>
      <c r="D508" s="1">
        <v>1</v>
      </c>
      <c r="E508" s="1">
        <v>1</v>
      </c>
      <c r="F508" s="1">
        <v>17</v>
      </c>
      <c r="G508" s="1">
        <v>466</v>
      </c>
      <c r="H508" s="1">
        <v>494</v>
      </c>
      <c r="I508" s="1">
        <f t="shared" si="2"/>
        <v>28</v>
      </c>
    </row>
    <row r="509" spans="3:9" x14ac:dyDescent="0.25">
      <c r="C509" s="1">
        <v>17</v>
      </c>
      <c r="D509" s="1">
        <v>1</v>
      </c>
      <c r="E509" s="1">
        <v>1</v>
      </c>
      <c r="F509" s="1">
        <v>18</v>
      </c>
      <c r="G509" s="1">
        <v>500</v>
      </c>
      <c r="H509" s="1">
        <v>532</v>
      </c>
      <c r="I509" s="1">
        <f t="shared" si="2"/>
        <v>32</v>
      </c>
    </row>
    <row r="510" spans="3:9" x14ac:dyDescent="0.25">
      <c r="C510" s="1">
        <v>17</v>
      </c>
      <c r="D510" s="1">
        <v>1</v>
      </c>
      <c r="E510" s="1">
        <v>1</v>
      </c>
      <c r="F510" s="1">
        <v>19</v>
      </c>
      <c r="G510" s="1">
        <v>532</v>
      </c>
      <c r="H510" s="1">
        <v>572</v>
      </c>
      <c r="I510" s="1">
        <f t="shared" si="2"/>
        <v>40</v>
      </c>
    </row>
    <row r="511" spans="3:9" x14ac:dyDescent="0.25">
      <c r="C511" s="1">
        <v>17</v>
      </c>
      <c r="D511" s="1">
        <v>1</v>
      </c>
      <c r="E511" s="1">
        <v>1</v>
      </c>
      <c r="F511" s="1">
        <v>20</v>
      </c>
      <c r="G511" s="1">
        <v>572</v>
      </c>
      <c r="H511" s="1">
        <v>618</v>
      </c>
      <c r="I511" s="1">
        <f t="shared" si="2"/>
        <v>46</v>
      </c>
    </row>
    <row r="512" spans="3:9" x14ac:dyDescent="0.25">
      <c r="C512" s="1">
        <v>17</v>
      </c>
      <c r="D512" s="1">
        <v>1</v>
      </c>
      <c r="E512" s="1">
        <v>1</v>
      </c>
      <c r="F512" s="1">
        <v>21</v>
      </c>
      <c r="G512" s="1">
        <v>618</v>
      </c>
      <c r="H512" s="1">
        <v>674</v>
      </c>
      <c r="I512" s="1">
        <f t="shared" si="2"/>
        <v>56</v>
      </c>
    </row>
    <row r="513" spans="1:10" x14ac:dyDescent="0.25">
      <c r="C513" s="1">
        <v>17</v>
      </c>
      <c r="D513" s="1">
        <v>1</v>
      </c>
      <c r="E513" s="1">
        <v>1</v>
      </c>
      <c r="F513" s="1">
        <v>22</v>
      </c>
      <c r="G513" s="1">
        <v>674</v>
      </c>
      <c r="H513" s="1">
        <v>719</v>
      </c>
      <c r="I513" s="1">
        <f t="shared" si="2"/>
        <v>45</v>
      </c>
    </row>
    <row r="514" spans="1:10" x14ac:dyDescent="0.25">
      <c r="C514" s="1">
        <v>17</v>
      </c>
      <c r="D514" s="1">
        <v>1</v>
      </c>
      <c r="E514" s="1">
        <v>1</v>
      </c>
      <c r="F514" s="1">
        <v>23</v>
      </c>
      <c r="G514" s="1">
        <v>719</v>
      </c>
      <c r="H514" s="1">
        <v>764</v>
      </c>
      <c r="I514" s="1">
        <f t="shared" si="2"/>
        <v>45</v>
      </c>
    </row>
    <row r="515" spans="1:10" x14ac:dyDescent="0.25">
      <c r="C515" s="1">
        <v>17</v>
      </c>
      <c r="D515" s="1">
        <v>1</v>
      </c>
      <c r="E515" s="1">
        <v>1</v>
      </c>
      <c r="F515" s="1">
        <v>24</v>
      </c>
      <c r="G515" s="1">
        <v>765</v>
      </c>
      <c r="H515" s="1">
        <v>818</v>
      </c>
      <c r="I515" s="1">
        <f t="shared" si="2"/>
        <v>53</v>
      </c>
    </row>
    <row r="516" spans="1:10" x14ac:dyDescent="0.25">
      <c r="C516" s="1">
        <v>17</v>
      </c>
      <c r="D516" s="1">
        <v>1</v>
      </c>
      <c r="E516" s="1">
        <v>1</v>
      </c>
      <c r="F516" s="1">
        <v>25</v>
      </c>
      <c r="G516" s="1">
        <v>818</v>
      </c>
      <c r="H516" s="1">
        <v>876</v>
      </c>
      <c r="I516" s="1">
        <f t="shared" si="2"/>
        <v>58</v>
      </c>
    </row>
    <row r="517" spans="1:10" x14ac:dyDescent="0.25">
      <c r="A517" s="5">
        <v>2</v>
      </c>
      <c r="B517" s="2">
        <v>43894</v>
      </c>
      <c r="C517" s="1">
        <v>18</v>
      </c>
      <c r="D517" s="1">
        <v>2</v>
      </c>
      <c r="E517" s="1">
        <v>1</v>
      </c>
      <c r="F517" s="1">
        <v>1</v>
      </c>
      <c r="G517" s="1">
        <v>6</v>
      </c>
      <c r="H517" s="1">
        <v>42</v>
      </c>
      <c r="I517" s="1">
        <f t="shared" si="2"/>
        <v>36</v>
      </c>
      <c r="J517" s="8">
        <f>(I517+I518+I519+I537+I536+I535+I526+I527+I528)/9</f>
        <v>29.888888888888889</v>
      </c>
    </row>
    <row r="518" spans="1:10" x14ac:dyDescent="0.25">
      <c r="C518" s="1">
        <v>18</v>
      </c>
      <c r="D518" s="1">
        <v>2</v>
      </c>
      <c r="E518" s="1">
        <v>1</v>
      </c>
      <c r="F518" s="1">
        <v>2</v>
      </c>
      <c r="G518" s="1">
        <v>42</v>
      </c>
      <c r="H518" s="1">
        <v>80</v>
      </c>
      <c r="I518" s="1">
        <f t="shared" si="2"/>
        <v>38</v>
      </c>
    </row>
    <row r="519" spans="1:10" x14ac:dyDescent="0.25">
      <c r="C519" s="1">
        <v>18</v>
      </c>
      <c r="D519" s="1">
        <v>2</v>
      </c>
      <c r="E519" s="1">
        <v>1</v>
      </c>
      <c r="F519" s="1">
        <v>3</v>
      </c>
      <c r="G519" s="1">
        <v>80</v>
      </c>
      <c r="H519" s="1">
        <v>118</v>
      </c>
      <c r="I519" s="1">
        <f t="shared" si="2"/>
        <v>38</v>
      </c>
    </row>
    <row r="520" spans="1:10" x14ac:dyDescent="0.25">
      <c r="C520" s="1">
        <v>18</v>
      </c>
      <c r="D520" s="1">
        <v>2</v>
      </c>
      <c r="E520" s="1">
        <v>1</v>
      </c>
      <c r="F520" s="1">
        <v>4</v>
      </c>
      <c r="G520" s="1">
        <v>118</v>
      </c>
      <c r="H520" s="1">
        <v>162</v>
      </c>
      <c r="I520" s="1">
        <f t="shared" si="2"/>
        <v>44</v>
      </c>
    </row>
    <row r="521" spans="1:10" x14ac:dyDescent="0.25">
      <c r="C521" s="1">
        <v>18</v>
      </c>
      <c r="D521" s="1">
        <v>2</v>
      </c>
      <c r="E521" s="1">
        <v>1</v>
      </c>
      <c r="F521" s="1">
        <v>5</v>
      </c>
      <c r="G521" s="1">
        <v>162</v>
      </c>
      <c r="H521" s="1">
        <v>200</v>
      </c>
      <c r="I521" s="1">
        <f t="shared" si="2"/>
        <v>38</v>
      </c>
    </row>
    <row r="522" spans="1:10" x14ac:dyDescent="0.25">
      <c r="C522" s="1">
        <v>18</v>
      </c>
      <c r="D522" s="1">
        <v>2</v>
      </c>
      <c r="E522" s="1">
        <v>1</v>
      </c>
      <c r="F522" s="1">
        <v>6</v>
      </c>
      <c r="G522" s="1">
        <v>200</v>
      </c>
      <c r="H522" s="1">
        <v>220</v>
      </c>
      <c r="I522" s="1">
        <f t="shared" si="2"/>
        <v>20</v>
      </c>
    </row>
    <row r="523" spans="1:10" x14ac:dyDescent="0.25">
      <c r="C523" s="1">
        <v>18</v>
      </c>
      <c r="D523" s="1">
        <v>2</v>
      </c>
      <c r="E523" s="1">
        <v>1</v>
      </c>
      <c r="F523" s="1">
        <v>7</v>
      </c>
      <c r="G523" s="1">
        <v>220</v>
      </c>
      <c r="H523" s="1">
        <v>220</v>
      </c>
      <c r="I523" s="1">
        <f t="shared" si="2"/>
        <v>0</v>
      </c>
    </row>
    <row r="524" spans="1:10" x14ac:dyDescent="0.25">
      <c r="C524" s="1">
        <v>18</v>
      </c>
      <c r="D524" s="1">
        <v>2</v>
      </c>
      <c r="E524" s="1">
        <v>1</v>
      </c>
      <c r="F524" s="1">
        <v>8</v>
      </c>
      <c r="G524" s="1">
        <v>220</v>
      </c>
      <c r="H524" s="1">
        <v>220</v>
      </c>
      <c r="I524" s="1">
        <f t="shared" si="2"/>
        <v>0</v>
      </c>
    </row>
    <row r="525" spans="1:10" x14ac:dyDescent="0.25">
      <c r="C525" s="1">
        <v>18</v>
      </c>
      <c r="D525" s="1">
        <v>2</v>
      </c>
      <c r="E525" s="1">
        <v>1</v>
      </c>
      <c r="F525" s="1">
        <v>9</v>
      </c>
      <c r="G525" s="1">
        <v>220</v>
      </c>
      <c r="H525" s="1">
        <v>231</v>
      </c>
      <c r="I525" s="1">
        <f t="shared" si="2"/>
        <v>11</v>
      </c>
    </row>
    <row r="526" spans="1:10" x14ac:dyDescent="0.25">
      <c r="C526" s="1">
        <v>18</v>
      </c>
      <c r="D526" s="1">
        <v>2</v>
      </c>
      <c r="E526" s="1">
        <v>1</v>
      </c>
      <c r="F526" s="1">
        <v>10</v>
      </c>
      <c r="G526" s="1">
        <v>231</v>
      </c>
      <c r="H526" s="1">
        <v>265</v>
      </c>
      <c r="I526" s="1">
        <f t="shared" si="2"/>
        <v>34</v>
      </c>
    </row>
    <row r="527" spans="1:10" x14ac:dyDescent="0.25">
      <c r="C527" s="1">
        <v>18</v>
      </c>
      <c r="D527" s="1">
        <v>2</v>
      </c>
      <c r="E527" s="1">
        <v>1</v>
      </c>
      <c r="F527" s="1">
        <v>11</v>
      </c>
      <c r="G527" s="1">
        <v>265</v>
      </c>
      <c r="H527" s="1">
        <v>265</v>
      </c>
      <c r="I527" s="1">
        <f t="shared" si="2"/>
        <v>0</v>
      </c>
    </row>
    <row r="528" spans="1:10" x14ac:dyDescent="0.25">
      <c r="C528" s="1">
        <v>18</v>
      </c>
      <c r="D528" s="1">
        <v>2</v>
      </c>
      <c r="E528" s="1">
        <v>1</v>
      </c>
      <c r="F528" s="1">
        <v>12</v>
      </c>
      <c r="G528" s="1">
        <v>265</v>
      </c>
      <c r="H528" s="1">
        <v>285</v>
      </c>
      <c r="I528" s="1">
        <f t="shared" si="2"/>
        <v>20</v>
      </c>
    </row>
    <row r="529" spans="1:10" x14ac:dyDescent="0.25">
      <c r="C529" s="1">
        <v>18</v>
      </c>
      <c r="D529" s="1">
        <v>2</v>
      </c>
      <c r="E529" s="1">
        <v>1</v>
      </c>
      <c r="F529" s="1">
        <v>13</v>
      </c>
      <c r="G529" s="1">
        <v>285</v>
      </c>
      <c r="H529" s="1">
        <v>322</v>
      </c>
      <c r="I529" s="1">
        <f t="shared" si="2"/>
        <v>37</v>
      </c>
    </row>
    <row r="530" spans="1:10" x14ac:dyDescent="0.25">
      <c r="C530" s="1">
        <v>18</v>
      </c>
      <c r="D530" s="1">
        <v>2</v>
      </c>
      <c r="E530" s="1">
        <v>1</v>
      </c>
      <c r="F530" s="1">
        <v>14</v>
      </c>
      <c r="G530" s="1">
        <v>322</v>
      </c>
      <c r="H530" s="1">
        <v>322</v>
      </c>
      <c r="I530" s="1">
        <f t="shared" si="2"/>
        <v>0</v>
      </c>
    </row>
    <row r="531" spans="1:10" x14ac:dyDescent="0.25">
      <c r="C531" s="1">
        <v>18</v>
      </c>
      <c r="D531" s="1">
        <v>2</v>
      </c>
      <c r="E531" s="1">
        <v>1</v>
      </c>
      <c r="F531" s="1">
        <v>15</v>
      </c>
      <c r="G531" s="1">
        <v>332</v>
      </c>
      <c r="H531" s="1">
        <v>370</v>
      </c>
      <c r="I531" s="1">
        <f t="shared" si="2"/>
        <v>38</v>
      </c>
    </row>
    <row r="532" spans="1:10" x14ac:dyDescent="0.25">
      <c r="C532" s="1">
        <v>18</v>
      </c>
      <c r="D532" s="1">
        <v>2</v>
      </c>
      <c r="E532" s="1">
        <v>1</v>
      </c>
      <c r="F532" s="1">
        <v>16</v>
      </c>
      <c r="G532" s="1">
        <v>370</v>
      </c>
      <c r="H532" s="1">
        <v>412</v>
      </c>
      <c r="I532" s="1">
        <f t="shared" si="2"/>
        <v>42</v>
      </c>
    </row>
    <row r="533" spans="1:10" x14ac:dyDescent="0.25">
      <c r="C533" s="1">
        <v>18</v>
      </c>
      <c r="D533" s="1">
        <v>2</v>
      </c>
      <c r="E533" s="1">
        <v>1</v>
      </c>
      <c r="F533" s="1">
        <v>17</v>
      </c>
      <c r="G533" s="1">
        <v>412</v>
      </c>
      <c r="H533" s="1">
        <v>456</v>
      </c>
      <c r="I533" s="1">
        <f t="shared" si="2"/>
        <v>44</v>
      </c>
    </row>
    <row r="534" spans="1:10" x14ac:dyDescent="0.25">
      <c r="C534" s="1">
        <v>18</v>
      </c>
      <c r="D534" s="1">
        <v>2</v>
      </c>
      <c r="E534" s="1">
        <v>1</v>
      </c>
      <c r="F534" s="1">
        <v>18</v>
      </c>
      <c r="G534" s="1">
        <v>458</v>
      </c>
      <c r="H534" s="1">
        <v>499</v>
      </c>
      <c r="I534" s="1">
        <f t="shared" si="2"/>
        <v>41</v>
      </c>
    </row>
    <row r="535" spans="1:10" x14ac:dyDescent="0.25">
      <c r="C535" s="1">
        <v>18</v>
      </c>
      <c r="D535" s="1">
        <v>2</v>
      </c>
      <c r="E535" s="1">
        <v>1</v>
      </c>
      <c r="F535" s="1">
        <v>19</v>
      </c>
      <c r="G535" s="1">
        <v>499</v>
      </c>
      <c r="H535" s="1">
        <v>532</v>
      </c>
      <c r="I535" s="1">
        <f t="shared" si="2"/>
        <v>33</v>
      </c>
    </row>
    <row r="536" spans="1:10" x14ac:dyDescent="0.25">
      <c r="C536" s="1">
        <v>18</v>
      </c>
      <c r="D536" s="1">
        <v>2</v>
      </c>
      <c r="E536" s="1">
        <v>1</v>
      </c>
      <c r="F536" s="1">
        <v>20</v>
      </c>
      <c r="G536" s="1">
        <v>532</v>
      </c>
      <c r="H536" s="1">
        <v>566</v>
      </c>
      <c r="I536" s="1">
        <f t="shared" si="2"/>
        <v>34</v>
      </c>
    </row>
    <row r="537" spans="1:10" x14ac:dyDescent="0.25">
      <c r="C537" s="1">
        <v>18</v>
      </c>
      <c r="D537" s="1">
        <v>2</v>
      </c>
      <c r="E537" s="1">
        <v>1</v>
      </c>
      <c r="F537" s="1">
        <v>21</v>
      </c>
      <c r="G537" s="1">
        <v>571</v>
      </c>
      <c r="H537" s="1">
        <v>607</v>
      </c>
      <c r="I537" s="1">
        <f t="shared" si="2"/>
        <v>36</v>
      </c>
    </row>
    <row r="538" spans="1:10" x14ac:dyDescent="0.25">
      <c r="A538" s="5">
        <v>2</v>
      </c>
      <c r="B538" s="2">
        <v>43892</v>
      </c>
      <c r="C538" s="1">
        <v>19</v>
      </c>
      <c r="D538" s="1">
        <v>2</v>
      </c>
      <c r="E538" s="1">
        <v>1</v>
      </c>
      <c r="F538" s="1">
        <v>1</v>
      </c>
      <c r="G538" s="1">
        <v>1</v>
      </c>
      <c r="H538" s="1">
        <v>31</v>
      </c>
      <c r="I538" s="1">
        <f t="shared" si="2"/>
        <v>30</v>
      </c>
      <c r="J538" s="8">
        <f>(I538+I539+I540+I553+I552+I551+I545+I546+I547)/9</f>
        <v>25.555555555555557</v>
      </c>
    </row>
    <row r="539" spans="1:10" x14ac:dyDescent="0.25">
      <c r="C539" s="1">
        <v>19</v>
      </c>
      <c r="D539" s="1">
        <v>2</v>
      </c>
      <c r="E539" s="1">
        <v>1</v>
      </c>
      <c r="F539" s="1">
        <v>2</v>
      </c>
      <c r="G539" s="1">
        <v>31</v>
      </c>
      <c r="H539" s="1">
        <v>77</v>
      </c>
      <c r="I539" s="1">
        <f t="shared" si="2"/>
        <v>46</v>
      </c>
    </row>
    <row r="540" spans="1:10" x14ac:dyDescent="0.25">
      <c r="C540" s="1">
        <v>19</v>
      </c>
      <c r="D540" s="1">
        <v>2</v>
      </c>
      <c r="E540" s="1">
        <v>1</v>
      </c>
      <c r="F540" s="1">
        <v>3</v>
      </c>
      <c r="G540" s="1">
        <v>77</v>
      </c>
      <c r="H540" s="1">
        <v>118</v>
      </c>
      <c r="I540" s="1">
        <f t="shared" si="2"/>
        <v>41</v>
      </c>
    </row>
    <row r="541" spans="1:10" x14ac:dyDescent="0.25">
      <c r="C541" s="1">
        <v>19</v>
      </c>
      <c r="D541" s="1">
        <v>2</v>
      </c>
      <c r="E541" s="1">
        <v>1</v>
      </c>
      <c r="F541" s="1">
        <v>4</v>
      </c>
      <c r="G541" s="1">
        <v>118</v>
      </c>
      <c r="H541" s="1">
        <v>164</v>
      </c>
      <c r="I541" s="1">
        <f t="shared" si="2"/>
        <v>46</v>
      </c>
    </row>
    <row r="542" spans="1:10" x14ac:dyDescent="0.25">
      <c r="C542" s="1">
        <v>19</v>
      </c>
      <c r="D542" s="1">
        <v>2</v>
      </c>
      <c r="E542" s="1">
        <v>1</v>
      </c>
      <c r="F542" s="1">
        <v>5</v>
      </c>
      <c r="G542" s="1">
        <v>164</v>
      </c>
      <c r="H542" s="1">
        <v>205</v>
      </c>
      <c r="I542" s="1">
        <f t="shared" si="2"/>
        <v>41</v>
      </c>
    </row>
    <row r="543" spans="1:10" x14ac:dyDescent="0.25">
      <c r="C543" s="1">
        <v>19</v>
      </c>
      <c r="D543" s="1">
        <v>2</v>
      </c>
      <c r="E543" s="1">
        <v>1</v>
      </c>
      <c r="F543" s="1">
        <v>6</v>
      </c>
      <c r="G543" s="1">
        <v>205</v>
      </c>
      <c r="H543" s="1">
        <v>248</v>
      </c>
      <c r="I543" s="1">
        <f t="shared" si="2"/>
        <v>43</v>
      </c>
    </row>
    <row r="544" spans="1:10" x14ac:dyDescent="0.25">
      <c r="C544" s="1">
        <v>19</v>
      </c>
      <c r="D544" s="1">
        <v>2</v>
      </c>
      <c r="E544" s="1">
        <v>1</v>
      </c>
      <c r="F544" s="1">
        <v>7</v>
      </c>
      <c r="G544" s="1">
        <v>248</v>
      </c>
      <c r="H544" s="1">
        <v>281</v>
      </c>
      <c r="I544" s="1">
        <f t="shared" si="2"/>
        <v>33</v>
      </c>
    </row>
    <row r="545" spans="1:10" x14ac:dyDescent="0.25">
      <c r="C545" s="1">
        <v>19</v>
      </c>
      <c r="D545" s="1">
        <v>2</v>
      </c>
      <c r="E545" s="1">
        <v>1</v>
      </c>
      <c r="F545" s="1">
        <v>8</v>
      </c>
      <c r="G545" s="1">
        <v>281</v>
      </c>
      <c r="H545" s="1">
        <v>281</v>
      </c>
      <c r="I545" s="1">
        <f t="shared" si="2"/>
        <v>0</v>
      </c>
    </row>
    <row r="546" spans="1:10" x14ac:dyDescent="0.25">
      <c r="C546" s="1">
        <v>19</v>
      </c>
      <c r="D546" s="1">
        <v>2</v>
      </c>
      <c r="E546" s="1">
        <v>1</v>
      </c>
      <c r="F546" s="1">
        <v>9</v>
      </c>
      <c r="G546" s="1">
        <v>281</v>
      </c>
      <c r="H546" s="1">
        <v>281</v>
      </c>
      <c r="I546" s="1">
        <f t="shared" si="2"/>
        <v>0</v>
      </c>
    </row>
    <row r="547" spans="1:10" x14ac:dyDescent="0.25">
      <c r="C547" s="1">
        <v>19</v>
      </c>
      <c r="D547" s="1">
        <v>2</v>
      </c>
      <c r="E547" s="1">
        <v>1</v>
      </c>
      <c r="F547" s="1">
        <v>10</v>
      </c>
      <c r="G547" s="1">
        <v>281</v>
      </c>
      <c r="H547" s="1">
        <v>281</v>
      </c>
      <c r="I547" s="1">
        <f t="shared" si="2"/>
        <v>0</v>
      </c>
    </row>
    <row r="548" spans="1:10" x14ac:dyDescent="0.25">
      <c r="C548" s="1">
        <v>19</v>
      </c>
      <c r="D548" s="1">
        <v>2</v>
      </c>
      <c r="E548" s="1">
        <v>1</v>
      </c>
      <c r="F548" s="1">
        <v>11</v>
      </c>
      <c r="G548" s="1">
        <v>281</v>
      </c>
      <c r="H548" s="1">
        <v>321</v>
      </c>
      <c r="I548" s="1">
        <f t="shared" si="2"/>
        <v>40</v>
      </c>
    </row>
    <row r="549" spans="1:10" x14ac:dyDescent="0.25">
      <c r="C549" s="1">
        <v>19</v>
      </c>
      <c r="D549" s="1">
        <v>2</v>
      </c>
      <c r="E549" s="1">
        <v>1</v>
      </c>
      <c r="F549" s="1">
        <v>12</v>
      </c>
      <c r="G549" s="1">
        <v>321</v>
      </c>
      <c r="H549" s="1">
        <v>327</v>
      </c>
      <c r="I549" s="1">
        <f t="shared" si="2"/>
        <v>6</v>
      </c>
    </row>
    <row r="550" spans="1:10" x14ac:dyDescent="0.25">
      <c r="C550" s="1">
        <v>19</v>
      </c>
      <c r="D550" s="1">
        <v>2</v>
      </c>
      <c r="E550" s="1">
        <v>1</v>
      </c>
      <c r="F550" s="1">
        <v>13</v>
      </c>
      <c r="G550" s="1">
        <v>327</v>
      </c>
      <c r="H550" s="1">
        <v>327</v>
      </c>
      <c r="I550" s="1">
        <f t="shared" si="2"/>
        <v>0</v>
      </c>
    </row>
    <row r="551" spans="1:10" x14ac:dyDescent="0.25">
      <c r="C551" s="1">
        <v>19</v>
      </c>
      <c r="D551" s="1">
        <v>2</v>
      </c>
      <c r="E551" s="1">
        <v>1</v>
      </c>
      <c r="F551" s="1">
        <v>14</v>
      </c>
      <c r="G551" s="1">
        <v>327</v>
      </c>
      <c r="H551" s="1">
        <v>369</v>
      </c>
      <c r="I551" s="1">
        <f t="shared" si="2"/>
        <v>42</v>
      </c>
    </row>
    <row r="552" spans="1:10" x14ac:dyDescent="0.25">
      <c r="C552" s="1">
        <v>19</v>
      </c>
      <c r="D552" s="1">
        <v>2</v>
      </c>
      <c r="E552" s="1">
        <v>1</v>
      </c>
      <c r="F552" s="1">
        <v>15</v>
      </c>
      <c r="G552" s="1">
        <v>369</v>
      </c>
      <c r="H552" s="1">
        <v>404</v>
      </c>
      <c r="I552" s="1">
        <f t="shared" si="2"/>
        <v>35</v>
      </c>
    </row>
    <row r="553" spans="1:10" x14ac:dyDescent="0.25">
      <c r="C553" s="1">
        <v>19</v>
      </c>
      <c r="D553" s="1">
        <v>2</v>
      </c>
      <c r="E553" s="1">
        <v>1</v>
      </c>
      <c r="F553" s="1">
        <v>16</v>
      </c>
      <c r="G553" s="1">
        <v>404</v>
      </c>
      <c r="H553" s="1">
        <v>440</v>
      </c>
      <c r="I553" s="1">
        <f t="shared" si="2"/>
        <v>36</v>
      </c>
    </row>
    <row r="554" spans="1:10" x14ac:dyDescent="0.25">
      <c r="A554" s="5">
        <v>2</v>
      </c>
      <c r="B554" s="2">
        <v>43896</v>
      </c>
      <c r="C554" s="1">
        <v>20</v>
      </c>
      <c r="D554" s="1">
        <v>2</v>
      </c>
      <c r="E554" s="1">
        <v>1</v>
      </c>
      <c r="F554" s="1">
        <v>1</v>
      </c>
      <c r="G554" s="1">
        <v>6</v>
      </c>
      <c r="H554" s="1">
        <v>31</v>
      </c>
      <c r="I554" s="1">
        <f t="shared" si="2"/>
        <v>25</v>
      </c>
      <c r="J554" s="8">
        <f>(I554+I555+I556+I574+I573+I572+I563+I564+I565)/9</f>
        <v>29</v>
      </c>
    </row>
    <row r="555" spans="1:10" x14ac:dyDescent="0.25">
      <c r="C555" s="1">
        <v>20</v>
      </c>
      <c r="D555" s="1">
        <v>2</v>
      </c>
      <c r="E555" s="1">
        <v>1</v>
      </c>
      <c r="F555" s="1">
        <v>2</v>
      </c>
      <c r="G555" s="1">
        <v>31</v>
      </c>
      <c r="H555" s="1">
        <v>36</v>
      </c>
      <c r="I555" s="1">
        <f t="shared" si="2"/>
        <v>5</v>
      </c>
    </row>
    <row r="556" spans="1:10" x14ac:dyDescent="0.25">
      <c r="C556" s="1">
        <v>20</v>
      </c>
      <c r="D556" s="1">
        <v>2</v>
      </c>
      <c r="E556" s="1">
        <v>1</v>
      </c>
      <c r="F556" s="1">
        <v>3</v>
      </c>
      <c r="G556" s="1">
        <v>36</v>
      </c>
      <c r="H556" s="1">
        <v>85</v>
      </c>
      <c r="I556" s="1">
        <f t="shared" si="2"/>
        <v>49</v>
      </c>
    </row>
    <row r="557" spans="1:10" x14ac:dyDescent="0.25">
      <c r="C557" s="1">
        <v>20</v>
      </c>
      <c r="D557" s="1">
        <v>2</v>
      </c>
      <c r="E557" s="1">
        <v>1</v>
      </c>
      <c r="F557" s="1">
        <v>4</v>
      </c>
      <c r="G557" s="1">
        <v>85</v>
      </c>
      <c r="H557" s="1">
        <v>96</v>
      </c>
      <c r="I557" s="1">
        <f t="shared" si="2"/>
        <v>11</v>
      </c>
    </row>
    <row r="558" spans="1:10" x14ac:dyDescent="0.25">
      <c r="C558" s="1">
        <v>20</v>
      </c>
      <c r="D558" s="1">
        <v>2</v>
      </c>
      <c r="E558" s="1">
        <v>1</v>
      </c>
      <c r="F558" s="1">
        <v>5</v>
      </c>
      <c r="G558" s="1">
        <v>96</v>
      </c>
      <c r="H558" s="1">
        <v>138</v>
      </c>
      <c r="I558" s="1">
        <f t="shared" si="2"/>
        <v>42</v>
      </c>
    </row>
    <row r="559" spans="1:10" x14ac:dyDescent="0.25">
      <c r="C559" s="1">
        <v>20</v>
      </c>
      <c r="D559" s="1">
        <v>2</v>
      </c>
      <c r="E559" s="1">
        <v>1</v>
      </c>
      <c r="F559" s="1">
        <v>6</v>
      </c>
      <c r="G559" s="1">
        <v>138</v>
      </c>
      <c r="H559" s="1">
        <v>184</v>
      </c>
      <c r="I559" s="1">
        <f t="shared" si="2"/>
        <v>46</v>
      </c>
    </row>
    <row r="560" spans="1:10" x14ac:dyDescent="0.25">
      <c r="C560" s="1">
        <v>20</v>
      </c>
      <c r="D560" s="1">
        <v>2</v>
      </c>
      <c r="E560" s="1">
        <v>1</v>
      </c>
      <c r="F560" s="1">
        <v>7</v>
      </c>
      <c r="G560" s="1">
        <v>184</v>
      </c>
      <c r="H560" s="1">
        <v>227</v>
      </c>
      <c r="I560" s="1">
        <f t="shared" si="2"/>
        <v>43</v>
      </c>
    </row>
    <row r="561" spans="1:10" x14ac:dyDescent="0.25">
      <c r="C561" s="1">
        <v>20</v>
      </c>
      <c r="D561" s="1">
        <v>2</v>
      </c>
      <c r="E561" s="1">
        <v>1</v>
      </c>
      <c r="F561" s="1">
        <v>8</v>
      </c>
      <c r="G561" s="1">
        <v>227</v>
      </c>
      <c r="H561" s="1">
        <v>267</v>
      </c>
      <c r="I561" s="1">
        <f t="shared" si="2"/>
        <v>40</v>
      </c>
    </row>
    <row r="562" spans="1:10" x14ac:dyDescent="0.25">
      <c r="C562" s="1">
        <v>20</v>
      </c>
      <c r="D562" s="1">
        <v>2</v>
      </c>
      <c r="E562" s="1">
        <v>1</v>
      </c>
      <c r="F562" s="1">
        <v>9</v>
      </c>
      <c r="G562" s="1">
        <v>267</v>
      </c>
      <c r="H562" s="1">
        <v>303</v>
      </c>
      <c r="I562" s="1">
        <f t="shared" si="2"/>
        <v>36</v>
      </c>
    </row>
    <row r="563" spans="1:10" x14ac:dyDescent="0.25">
      <c r="C563" s="1">
        <v>20</v>
      </c>
      <c r="D563" s="1">
        <v>2</v>
      </c>
      <c r="E563" s="1">
        <v>1</v>
      </c>
      <c r="F563" s="1">
        <v>10</v>
      </c>
      <c r="G563" s="1">
        <v>303</v>
      </c>
      <c r="H563" s="1">
        <v>340</v>
      </c>
      <c r="I563" s="1">
        <f t="shared" si="2"/>
        <v>37</v>
      </c>
    </row>
    <row r="564" spans="1:10" x14ac:dyDescent="0.25">
      <c r="C564" s="1">
        <v>20</v>
      </c>
      <c r="D564" s="1">
        <v>2</v>
      </c>
      <c r="E564" s="1">
        <v>1</v>
      </c>
      <c r="F564" s="1">
        <v>11</v>
      </c>
      <c r="G564" s="1">
        <v>340</v>
      </c>
      <c r="H564" s="1">
        <v>384</v>
      </c>
      <c r="I564" s="1">
        <f t="shared" si="2"/>
        <v>44</v>
      </c>
    </row>
    <row r="565" spans="1:10" x14ac:dyDescent="0.25">
      <c r="C565" s="1">
        <v>20</v>
      </c>
      <c r="D565" s="1">
        <v>2</v>
      </c>
      <c r="E565" s="1">
        <v>1</v>
      </c>
      <c r="F565" s="1">
        <v>12</v>
      </c>
      <c r="G565" s="1">
        <v>384</v>
      </c>
      <c r="H565" s="1">
        <v>405</v>
      </c>
      <c r="I565" s="1">
        <f t="shared" si="2"/>
        <v>21</v>
      </c>
    </row>
    <row r="566" spans="1:10" x14ac:dyDescent="0.25">
      <c r="C566" s="1">
        <v>20</v>
      </c>
      <c r="D566" s="1">
        <v>2</v>
      </c>
      <c r="E566" s="1">
        <v>1</v>
      </c>
      <c r="F566" s="1">
        <v>13</v>
      </c>
      <c r="G566" s="1">
        <v>405</v>
      </c>
      <c r="H566" s="1">
        <v>454</v>
      </c>
      <c r="I566" s="1">
        <f t="shared" si="2"/>
        <v>49</v>
      </c>
    </row>
    <row r="567" spans="1:10" x14ac:dyDescent="0.25">
      <c r="C567" s="1">
        <v>20</v>
      </c>
      <c r="D567" s="1">
        <v>2</v>
      </c>
      <c r="E567" s="1">
        <v>1</v>
      </c>
      <c r="F567" s="1">
        <v>14</v>
      </c>
      <c r="G567" s="1">
        <v>454</v>
      </c>
      <c r="H567" s="1">
        <v>493</v>
      </c>
      <c r="I567" s="1">
        <f t="shared" si="2"/>
        <v>39</v>
      </c>
    </row>
    <row r="568" spans="1:10" x14ac:dyDescent="0.25">
      <c r="C568" s="1">
        <v>20</v>
      </c>
      <c r="D568" s="1">
        <v>2</v>
      </c>
      <c r="E568" s="1">
        <v>1</v>
      </c>
      <c r="F568" s="1">
        <v>15</v>
      </c>
      <c r="G568" s="1">
        <v>493</v>
      </c>
      <c r="H568" s="1">
        <v>533</v>
      </c>
      <c r="I568" s="1">
        <f t="shared" si="2"/>
        <v>40</v>
      </c>
    </row>
    <row r="569" spans="1:10" x14ac:dyDescent="0.25">
      <c r="C569" s="1">
        <v>20</v>
      </c>
      <c r="D569" s="1">
        <v>2</v>
      </c>
      <c r="E569" s="1">
        <v>1</v>
      </c>
      <c r="F569" s="1">
        <v>16</v>
      </c>
      <c r="G569" s="1">
        <v>533</v>
      </c>
      <c r="H569" s="1">
        <v>584</v>
      </c>
      <c r="I569" s="1">
        <f t="shared" si="2"/>
        <v>51</v>
      </c>
    </row>
    <row r="570" spans="1:10" x14ac:dyDescent="0.25">
      <c r="C570" s="1">
        <v>20</v>
      </c>
      <c r="D570" s="1">
        <v>2</v>
      </c>
      <c r="E570" s="1">
        <v>1</v>
      </c>
      <c r="F570" s="1">
        <v>17</v>
      </c>
      <c r="G570" s="1">
        <v>584</v>
      </c>
      <c r="H570" s="1">
        <v>610</v>
      </c>
      <c r="I570" s="1">
        <f t="shared" si="2"/>
        <v>26</v>
      </c>
    </row>
    <row r="571" spans="1:10" x14ac:dyDescent="0.25">
      <c r="C571" s="1">
        <v>20</v>
      </c>
      <c r="D571" s="1">
        <v>2</v>
      </c>
      <c r="E571" s="1">
        <v>1</v>
      </c>
      <c r="F571" s="1">
        <v>18</v>
      </c>
      <c r="G571" s="1">
        <v>610</v>
      </c>
      <c r="H571" s="1">
        <v>631</v>
      </c>
      <c r="I571" s="1">
        <f t="shared" si="2"/>
        <v>21</v>
      </c>
    </row>
    <row r="572" spans="1:10" x14ac:dyDescent="0.25">
      <c r="C572" s="1">
        <v>20</v>
      </c>
      <c r="D572" s="1">
        <v>2</v>
      </c>
      <c r="E572" s="1">
        <v>1</v>
      </c>
      <c r="F572" s="1">
        <v>19</v>
      </c>
      <c r="G572" s="1">
        <v>631</v>
      </c>
      <c r="H572" s="1">
        <v>662</v>
      </c>
      <c r="I572" s="1">
        <f t="shared" si="2"/>
        <v>31</v>
      </c>
    </row>
    <row r="573" spans="1:10" x14ac:dyDescent="0.25">
      <c r="C573" s="1">
        <v>20</v>
      </c>
      <c r="D573" s="1">
        <v>2</v>
      </c>
      <c r="E573" s="1">
        <v>1</v>
      </c>
      <c r="F573" s="1">
        <v>20</v>
      </c>
      <c r="G573" s="1">
        <v>662</v>
      </c>
      <c r="H573" s="1">
        <v>700</v>
      </c>
      <c r="I573" s="1">
        <f t="shared" si="2"/>
        <v>38</v>
      </c>
    </row>
    <row r="574" spans="1:10" x14ac:dyDescent="0.25">
      <c r="C574" s="1">
        <v>20</v>
      </c>
      <c r="D574" s="1">
        <v>2</v>
      </c>
      <c r="E574" s="1">
        <v>1</v>
      </c>
      <c r="F574" s="1">
        <v>21</v>
      </c>
      <c r="G574" s="1">
        <v>700</v>
      </c>
      <c r="H574" s="1">
        <v>711</v>
      </c>
      <c r="I574" s="1">
        <f t="shared" si="2"/>
        <v>11</v>
      </c>
    </row>
    <row r="575" spans="1:10" x14ac:dyDescent="0.25">
      <c r="A575" s="5">
        <v>1</v>
      </c>
      <c r="B575" s="2">
        <v>43955</v>
      </c>
      <c r="C575" s="1">
        <v>21</v>
      </c>
      <c r="D575" s="1">
        <v>2</v>
      </c>
      <c r="E575" s="1">
        <v>1</v>
      </c>
      <c r="F575" s="1">
        <v>1</v>
      </c>
      <c r="G575" s="1">
        <v>0</v>
      </c>
      <c r="H575" s="1">
        <v>10</v>
      </c>
      <c r="I575" s="1">
        <f t="shared" si="2"/>
        <v>10</v>
      </c>
      <c r="J575" s="8">
        <f>(I575+I576+I577+I583+I582+I581+I580+I579+I578)/9</f>
        <v>7.8888888888888893</v>
      </c>
    </row>
    <row r="576" spans="1:10" x14ac:dyDescent="0.25">
      <c r="C576" s="1">
        <v>21</v>
      </c>
      <c r="D576" s="1">
        <v>2</v>
      </c>
      <c r="E576" s="1">
        <v>1</v>
      </c>
      <c r="F576" s="1">
        <v>2</v>
      </c>
      <c r="G576" s="1">
        <v>10</v>
      </c>
      <c r="H576" s="1">
        <v>25</v>
      </c>
      <c r="I576" s="1">
        <f t="shared" si="2"/>
        <v>15</v>
      </c>
    </row>
    <row r="577" spans="1:10" x14ac:dyDescent="0.25">
      <c r="C577" s="1">
        <v>21</v>
      </c>
      <c r="D577" s="1">
        <v>2</v>
      </c>
      <c r="E577" s="1">
        <v>1</v>
      </c>
      <c r="F577" s="1">
        <v>3</v>
      </c>
      <c r="G577" s="1">
        <v>29</v>
      </c>
      <c r="H577" s="1">
        <v>51</v>
      </c>
      <c r="I577" s="1">
        <f t="shared" si="2"/>
        <v>22</v>
      </c>
    </row>
    <row r="578" spans="1:10" x14ac:dyDescent="0.25">
      <c r="C578" s="1">
        <v>21</v>
      </c>
      <c r="D578" s="1">
        <v>2</v>
      </c>
      <c r="E578" s="1">
        <v>1</v>
      </c>
      <c r="F578" s="1">
        <v>4</v>
      </c>
      <c r="G578" s="1">
        <v>51</v>
      </c>
      <c r="H578" s="1">
        <v>67</v>
      </c>
      <c r="I578" s="1">
        <f t="shared" si="2"/>
        <v>16</v>
      </c>
    </row>
    <row r="579" spans="1:10" x14ac:dyDescent="0.25">
      <c r="C579" s="1">
        <v>21</v>
      </c>
      <c r="D579" s="1">
        <v>2</v>
      </c>
      <c r="E579" s="1">
        <v>1</v>
      </c>
      <c r="F579" s="1">
        <v>5</v>
      </c>
      <c r="G579" s="1">
        <v>67</v>
      </c>
      <c r="H579" s="1">
        <v>71</v>
      </c>
      <c r="I579" s="1">
        <f t="shared" si="2"/>
        <v>4</v>
      </c>
    </row>
    <row r="580" spans="1:10" x14ac:dyDescent="0.25">
      <c r="C580" s="1">
        <v>21</v>
      </c>
      <c r="D580" s="1">
        <v>2</v>
      </c>
      <c r="E580" s="1">
        <v>1</v>
      </c>
      <c r="F580" s="1">
        <v>6</v>
      </c>
      <c r="G580" s="1">
        <v>71</v>
      </c>
      <c r="H580" s="1">
        <v>71</v>
      </c>
      <c r="I580" s="1">
        <f t="shared" si="2"/>
        <v>0</v>
      </c>
    </row>
    <row r="581" spans="1:10" x14ac:dyDescent="0.25">
      <c r="C581" s="1">
        <v>21</v>
      </c>
      <c r="D581" s="1">
        <v>2</v>
      </c>
      <c r="E581" s="1">
        <v>1</v>
      </c>
      <c r="F581" s="1">
        <v>7</v>
      </c>
      <c r="G581" s="1">
        <v>71</v>
      </c>
      <c r="H581" s="1">
        <v>75</v>
      </c>
      <c r="I581" s="1">
        <f t="shared" si="2"/>
        <v>4</v>
      </c>
    </row>
    <row r="582" spans="1:10" x14ac:dyDescent="0.25">
      <c r="C582" s="1">
        <v>21</v>
      </c>
      <c r="D582" s="1">
        <v>2</v>
      </c>
      <c r="E582" s="1">
        <v>1</v>
      </c>
      <c r="F582" s="1">
        <v>8</v>
      </c>
      <c r="G582" s="1">
        <v>75</v>
      </c>
      <c r="H582" s="1">
        <v>75</v>
      </c>
      <c r="I582" s="1">
        <f t="shared" si="2"/>
        <v>0</v>
      </c>
    </row>
    <row r="583" spans="1:10" x14ac:dyDescent="0.25">
      <c r="C583" s="1">
        <v>21</v>
      </c>
      <c r="D583" s="1">
        <v>2</v>
      </c>
      <c r="E583" s="1">
        <v>1</v>
      </c>
      <c r="F583" s="1">
        <v>9</v>
      </c>
      <c r="G583" s="1">
        <v>75</v>
      </c>
      <c r="H583" s="1">
        <v>75</v>
      </c>
      <c r="I583" s="1">
        <f t="shared" si="2"/>
        <v>0</v>
      </c>
    </row>
    <row r="584" spans="1:10" x14ac:dyDescent="0.25">
      <c r="A584" s="5">
        <v>1</v>
      </c>
      <c r="B584" s="2">
        <v>43959</v>
      </c>
      <c r="C584" s="1">
        <v>22</v>
      </c>
      <c r="D584" s="1">
        <v>1</v>
      </c>
      <c r="E584" s="1">
        <v>1</v>
      </c>
      <c r="F584" s="1">
        <v>1</v>
      </c>
      <c r="G584" s="1">
        <v>0</v>
      </c>
      <c r="H584" s="1">
        <v>48</v>
      </c>
      <c r="I584" s="1">
        <f t="shared" si="2"/>
        <v>48</v>
      </c>
      <c r="J584" s="8">
        <f>(I584+I585+I586+I608+I607+I606+I595+I596+I594)/9</f>
        <v>23.666666666666668</v>
      </c>
    </row>
    <row r="585" spans="1:10" x14ac:dyDescent="0.25">
      <c r="C585" s="1">
        <v>22</v>
      </c>
      <c r="D585" s="1">
        <v>1</v>
      </c>
      <c r="E585" s="1">
        <v>1</v>
      </c>
      <c r="F585" s="1">
        <v>2</v>
      </c>
      <c r="G585" s="1">
        <v>48</v>
      </c>
      <c r="H585" s="1">
        <v>95</v>
      </c>
      <c r="I585" s="1">
        <f t="shared" si="2"/>
        <v>47</v>
      </c>
    </row>
    <row r="586" spans="1:10" x14ac:dyDescent="0.25">
      <c r="C586" s="1">
        <v>22</v>
      </c>
      <c r="D586" s="1">
        <v>1</v>
      </c>
      <c r="E586" s="1">
        <v>1</v>
      </c>
      <c r="F586" s="1">
        <v>3</v>
      </c>
      <c r="G586" s="1">
        <v>95</v>
      </c>
      <c r="H586" s="1">
        <v>135</v>
      </c>
      <c r="I586" s="1">
        <f t="shared" si="2"/>
        <v>40</v>
      </c>
    </row>
    <row r="587" spans="1:10" x14ac:dyDescent="0.25">
      <c r="C587" s="1">
        <v>22</v>
      </c>
      <c r="D587" s="1">
        <v>1</v>
      </c>
      <c r="E587" s="1">
        <v>1</v>
      </c>
      <c r="F587" s="1">
        <v>4</v>
      </c>
      <c r="G587" s="1">
        <v>135</v>
      </c>
      <c r="H587" s="1">
        <v>149</v>
      </c>
      <c r="I587" s="1">
        <f t="shared" si="2"/>
        <v>14</v>
      </c>
    </row>
    <row r="588" spans="1:10" x14ac:dyDescent="0.25">
      <c r="C588" s="1">
        <v>22</v>
      </c>
      <c r="D588" s="1">
        <v>1</v>
      </c>
      <c r="E588" s="1">
        <v>1</v>
      </c>
      <c r="F588" s="1">
        <v>5</v>
      </c>
      <c r="G588" s="1">
        <v>149</v>
      </c>
      <c r="H588" s="1">
        <v>179</v>
      </c>
      <c r="I588" s="1">
        <f t="shared" si="2"/>
        <v>30</v>
      </c>
    </row>
    <row r="589" spans="1:10" x14ac:dyDescent="0.25">
      <c r="C589" s="1">
        <v>22</v>
      </c>
      <c r="D589" s="1">
        <v>1</v>
      </c>
      <c r="E589" s="1">
        <v>1</v>
      </c>
      <c r="F589" s="1">
        <v>6</v>
      </c>
      <c r="G589" s="1">
        <v>185</v>
      </c>
      <c r="H589" s="1">
        <v>223</v>
      </c>
      <c r="I589" s="1">
        <f t="shared" si="2"/>
        <v>38</v>
      </c>
    </row>
    <row r="590" spans="1:10" x14ac:dyDescent="0.25">
      <c r="C590" s="1">
        <v>22</v>
      </c>
      <c r="D590" s="1">
        <v>1</v>
      </c>
      <c r="E590" s="1">
        <v>1</v>
      </c>
      <c r="F590" s="1">
        <v>7</v>
      </c>
      <c r="G590" s="1">
        <v>223</v>
      </c>
      <c r="H590" s="1">
        <v>233</v>
      </c>
      <c r="I590" s="1">
        <f t="shared" si="2"/>
        <v>10</v>
      </c>
    </row>
    <row r="591" spans="1:10" x14ac:dyDescent="0.25">
      <c r="C591" s="1">
        <v>22</v>
      </c>
      <c r="D591" s="1">
        <v>1</v>
      </c>
      <c r="E591" s="1">
        <v>1</v>
      </c>
      <c r="F591" s="1">
        <v>8</v>
      </c>
      <c r="G591" s="1">
        <v>233</v>
      </c>
      <c r="H591" s="1">
        <v>275</v>
      </c>
      <c r="I591" s="1">
        <f t="shared" si="2"/>
        <v>42</v>
      </c>
    </row>
    <row r="592" spans="1:10" x14ac:dyDescent="0.25">
      <c r="C592" s="1">
        <v>22</v>
      </c>
      <c r="D592" s="1">
        <v>1</v>
      </c>
      <c r="E592" s="1">
        <v>1</v>
      </c>
      <c r="F592" s="1">
        <v>9</v>
      </c>
      <c r="G592" s="1">
        <v>275</v>
      </c>
      <c r="H592" s="1">
        <v>295</v>
      </c>
      <c r="I592" s="1">
        <f t="shared" si="2"/>
        <v>20</v>
      </c>
    </row>
    <row r="593" spans="3:9" x14ac:dyDescent="0.25">
      <c r="C593" s="1">
        <v>22</v>
      </c>
      <c r="D593" s="1">
        <v>1</v>
      </c>
      <c r="E593" s="1">
        <v>1</v>
      </c>
      <c r="F593" s="1">
        <v>10</v>
      </c>
      <c r="G593" s="1">
        <v>295</v>
      </c>
      <c r="H593" s="1">
        <v>298</v>
      </c>
      <c r="I593" s="1">
        <f t="shared" si="2"/>
        <v>3</v>
      </c>
    </row>
    <row r="594" spans="3:9" x14ac:dyDescent="0.25">
      <c r="C594" s="1">
        <v>22</v>
      </c>
      <c r="D594" s="1">
        <v>1</v>
      </c>
      <c r="E594" s="1">
        <v>1</v>
      </c>
      <c r="F594" s="1">
        <v>11</v>
      </c>
      <c r="G594" s="1">
        <v>298</v>
      </c>
      <c r="H594" s="1">
        <v>324</v>
      </c>
      <c r="I594" s="1">
        <f t="shared" si="2"/>
        <v>26</v>
      </c>
    </row>
    <row r="595" spans="3:9" x14ac:dyDescent="0.25">
      <c r="C595" s="1">
        <v>22</v>
      </c>
      <c r="D595" s="1">
        <v>1</v>
      </c>
      <c r="E595" s="1">
        <v>1</v>
      </c>
      <c r="F595" s="1">
        <v>12</v>
      </c>
      <c r="G595" s="1">
        <v>324</v>
      </c>
      <c r="H595" s="1">
        <v>333</v>
      </c>
      <c r="I595" s="1">
        <f t="shared" si="2"/>
        <v>9</v>
      </c>
    </row>
    <row r="596" spans="3:9" x14ac:dyDescent="0.25">
      <c r="C596" s="1">
        <v>22</v>
      </c>
      <c r="D596" s="1">
        <v>1</v>
      </c>
      <c r="E596" s="1">
        <v>1</v>
      </c>
      <c r="F596" s="1">
        <v>13</v>
      </c>
      <c r="G596" s="1">
        <v>333</v>
      </c>
      <c r="H596" s="1">
        <v>339</v>
      </c>
      <c r="I596" s="1">
        <f t="shared" si="2"/>
        <v>6</v>
      </c>
    </row>
    <row r="597" spans="3:9" x14ac:dyDescent="0.25">
      <c r="C597" s="1">
        <v>22</v>
      </c>
      <c r="D597" s="1">
        <v>1</v>
      </c>
      <c r="E597" s="1">
        <v>1</v>
      </c>
      <c r="F597" s="1">
        <v>14</v>
      </c>
      <c r="G597" s="1">
        <v>339</v>
      </c>
      <c r="H597" s="1">
        <v>346</v>
      </c>
      <c r="I597" s="1">
        <f t="shared" si="2"/>
        <v>7</v>
      </c>
    </row>
    <row r="598" spans="3:9" x14ac:dyDescent="0.25">
      <c r="C598" s="1">
        <v>22</v>
      </c>
      <c r="D598" s="1">
        <v>1</v>
      </c>
      <c r="E598" s="1">
        <v>1</v>
      </c>
      <c r="F598" s="1">
        <v>15</v>
      </c>
      <c r="G598" s="1">
        <v>346</v>
      </c>
      <c r="H598" s="1">
        <v>370</v>
      </c>
      <c r="I598" s="1">
        <f t="shared" si="2"/>
        <v>24</v>
      </c>
    </row>
    <row r="599" spans="3:9" x14ac:dyDescent="0.25">
      <c r="C599" s="1">
        <v>22</v>
      </c>
      <c r="D599" s="1">
        <v>1</v>
      </c>
      <c r="E599" s="1">
        <v>1</v>
      </c>
      <c r="F599" s="1">
        <v>16</v>
      </c>
      <c r="G599" s="1">
        <v>370</v>
      </c>
      <c r="H599" s="1">
        <v>372</v>
      </c>
      <c r="I599" s="1">
        <f t="shared" si="2"/>
        <v>2</v>
      </c>
    </row>
    <row r="600" spans="3:9" x14ac:dyDescent="0.25">
      <c r="C600" s="1">
        <v>22</v>
      </c>
      <c r="D600" s="1">
        <v>1</v>
      </c>
      <c r="E600" s="1">
        <v>1</v>
      </c>
      <c r="F600" s="1">
        <v>17</v>
      </c>
      <c r="G600" s="1">
        <v>372</v>
      </c>
      <c r="H600" s="1">
        <v>406</v>
      </c>
      <c r="I600" s="1">
        <f t="shared" si="2"/>
        <v>34</v>
      </c>
    </row>
    <row r="601" spans="3:9" x14ac:dyDescent="0.25">
      <c r="C601" s="1">
        <v>22</v>
      </c>
      <c r="D601" s="1">
        <v>1</v>
      </c>
      <c r="E601" s="1">
        <v>1</v>
      </c>
      <c r="F601" s="1">
        <v>18</v>
      </c>
      <c r="G601" s="1">
        <v>406</v>
      </c>
      <c r="H601" s="1">
        <v>430</v>
      </c>
      <c r="I601" s="1">
        <f t="shared" si="2"/>
        <v>24</v>
      </c>
    </row>
    <row r="602" spans="3:9" x14ac:dyDescent="0.25">
      <c r="C602" s="1">
        <v>22</v>
      </c>
      <c r="D602" s="1">
        <v>1</v>
      </c>
      <c r="E602" s="1">
        <v>1</v>
      </c>
      <c r="F602" s="1">
        <v>19</v>
      </c>
      <c r="G602" s="1">
        <v>430</v>
      </c>
      <c r="H602" s="1">
        <v>430</v>
      </c>
      <c r="I602" s="1">
        <f t="shared" si="2"/>
        <v>0</v>
      </c>
    </row>
    <row r="603" spans="3:9" x14ac:dyDescent="0.25">
      <c r="C603" s="1">
        <v>22</v>
      </c>
      <c r="D603" s="1">
        <v>1</v>
      </c>
      <c r="E603" s="1">
        <v>1</v>
      </c>
      <c r="F603" s="1">
        <v>20</v>
      </c>
      <c r="G603" s="1">
        <v>430</v>
      </c>
      <c r="H603" s="1">
        <v>462</v>
      </c>
      <c r="I603" s="1">
        <f t="shared" si="2"/>
        <v>32</v>
      </c>
    </row>
    <row r="604" spans="3:9" x14ac:dyDescent="0.25">
      <c r="C604" s="1">
        <v>22</v>
      </c>
      <c r="D604" s="1">
        <v>1</v>
      </c>
      <c r="E604" s="1">
        <v>1</v>
      </c>
      <c r="F604" s="1">
        <v>21</v>
      </c>
      <c r="G604" s="1">
        <v>462</v>
      </c>
      <c r="H604" s="1">
        <v>466</v>
      </c>
      <c r="I604" s="1">
        <f t="shared" si="2"/>
        <v>4</v>
      </c>
    </row>
    <row r="605" spans="3:9" x14ac:dyDescent="0.25">
      <c r="C605" s="1">
        <v>22</v>
      </c>
      <c r="D605" s="1">
        <v>1</v>
      </c>
      <c r="E605" s="1">
        <v>1</v>
      </c>
      <c r="F605" s="1">
        <v>22</v>
      </c>
      <c r="G605" s="1">
        <v>467</v>
      </c>
      <c r="H605" s="1">
        <v>512</v>
      </c>
      <c r="I605" s="1">
        <f t="shared" si="2"/>
        <v>45</v>
      </c>
    </row>
    <row r="606" spans="3:9" x14ac:dyDescent="0.25">
      <c r="C606" s="1">
        <v>22</v>
      </c>
      <c r="D606" s="1">
        <v>1</v>
      </c>
      <c r="E606" s="1">
        <v>1</v>
      </c>
      <c r="F606" s="1">
        <v>23</v>
      </c>
      <c r="G606" s="1">
        <v>512</v>
      </c>
      <c r="H606" s="1">
        <v>512</v>
      </c>
      <c r="I606" s="1">
        <f t="shared" si="2"/>
        <v>0</v>
      </c>
    </row>
    <row r="607" spans="3:9" x14ac:dyDescent="0.25">
      <c r="C607" s="1">
        <v>22</v>
      </c>
      <c r="D607" s="1">
        <v>1</v>
      </c>
      <c r="E607" s="1">
        <v>1</v>
      </c>
      <c r="F607" s="1">
        <v>24</v>
      </c>
      <c r="G607" s="1">
        <v>512</v>
      </c>
      <c r="H607" s="1">
        <v>549</v>
      </c>
      <c r="I607" s="1">
        <f t="shared" si="2"/>
        <v>37</v>
      </c>
    </row>
    <row r="608" spans="3:9" x14ac:dyDescent="0.25">
      <c r="C608" s="1">
        <v>22</v>
      </c>
      <c r="D608" s="1">
        <v>1</v>
      </c>
      <c r="E608" s="1">
        <v>1</v>
      </c>
      <c r="F608" s="1">
        <v>25</v>
      </c>
      <c r="G608" s="1">
        <v>549</v>
      </c>
      <c r="H608" s="1">
        <v>549</v>
      </c>
      <c r="I608" s="1">
        <f t="shared" si="2"/>
        <v>0</v>
      </c>
    </row>
    <row r="609" spans="1:10" x14ac:dyDescent="0.25">
      <c r="A609" s="5">
        <v>1</v>
      </c>
      <c r="B609" s="2">
        <v>43957</v>
      </c>
      <c r="C609" s="1">
        <v>23</v>
      </c>
      <c r="D609" s="1">
        <v>2</v>
      </c>
      <c r="E609" s="1">
        <v>1</v>
      </c>
      <c r="F609" s="1">
        <v>1</v>
      </c>
      <c r="G609" s="1">
        <v>0</v>
      </c>
      <c r="H609" s="1">
        <v>0</v>
      </c>
      <c r="I609" s="1">
        <f t="shared" si="2"/>
        <v>0</v>
      </c>
      <c r="J609" s="8">
        <f>(I609+I610+I611+I618+I617+I616+I614+I613+I615)/9</f>
        <v>5.4444444444444446</v>
      </c>
    </row>
    <row r="610" spans="1:10" x14ac:dyDescent="0.25">
      <c r="C610" s="1">
        <v>23</v>
      </c>
      <c r="D610" s="1">
        <v>2</v>
      </c>
      <c r="E610" s="1">
        <v>1</v>
      </c>
      <c r="F610" s="1">
        <v>2</v>
      </c>
      <c r="G610" s="1">
        <v>0</v>
      </c>
      <c r="H610" s="1">
        <v>42</v>
      </c>
      <c r="I610" s="1">
        <f t="shared" si="2"/>
        <v>42</v>
      </c>
    </row>
    <row r="611" spans="1:10" x14ac:dyDescent="0.25">
      <c r="C611" s="1">
        <v>23</v>
      </c>
      <c r="D611" s="1">
        <v>2</v>
      </c>
      <c r="E611" s="1">
        <v>1</v>
      </c>
      <c r="F611" s="1">
        <v>3</v>
      </c>
      <c r="G611" s="1">
        <v>42</v>
      </c>
      <c r="H611" s="1">
        <v>44</v>
      </c>
      <c r="I611" s="1">
        <f t="shared" si="2"/>
        <v>2</v>
      </c>
    </row>
    <row r="612" spans="1:10" x14ac:dyDescent="0.25">
      <c r="C612" s="1">
        <v>23</v>
      </c>
      <c r="D612" s="1">
        <v>2</v>
      </c>
      <c r="E612" s="1">
        <v>1</v>
      </c>
      <c r="F612" s="1">
        <v>4</v>
      </c>
      <c r="G612" s="1">
        <v>44</v>
      </c>
      <c r="H612" s="1">
        <v>44</v>
      </c>
      <c r="I612" s="1">
        <f t="shared" si="2"/>
        <v>0</v>
      </c>
    </row>
    <row r="613" spans="1:10" x14ac:dyDescent="0.25">
      <c r="C613" s="1">
        <v>23</v>
      </c>
      <c r="D613" s="1">
        <v>2</v>
      </c>
      <c r="E613" s="1">
        <v>1</v>
      </c>
      <c r="F613" s="1">
        <v>5</v>
      </c>
      <c r="G613" s="1">
        <v>44</v>
      </c>
      <c r="H613" s="1">
        <v>44</v>
      </c>
      <c r="I613" s="1">
        <f t="shared" si="2"/>
        <v>0</v>
      </c>
    </row>
    <row r="614" spans="1:10" x14ac:dyDescent="0.25">
      <c r="C614" s="1">
        <v>23</v>
      </c>
      <c r="D614" s="1">
        <v>2</v>
      </c>
      <c r="E614" s="1">
        <v>1</v>
      </c>
      <c r="F614" s="1">
        <v>6</v>
      </c>
      <c r="G614" s="1">
        <v>44</v>
      </c>
      <c r="H614" s="1">
        <v>44</v>
      </c>
      <c r="I614" s="1">
        <f t="shared" si="2"/>
        <v>0</v>
      </c>
    </row>
    <row r="615" spans="1:10" x14ac:dyDescent="0.25">
      <c r="C615" s="1">
        <v>23</v>
      </c>
      <c r="D615" s="1">
        <v>2</v>
      </c>
      <c r="E615" s="1">
        <v>1</v>
      </c>
      <c r="F615" s="1">
        <v>7</v>
      </c>
      <c r="G615" s="1">
        <v>47</v>
      </c>
      <c r="H615" s="1">
        <v>52</v>
      </c>
      <c r="I615" s="1">
        <f t="shared" si="2"/>
        <v>5</v>
      </c>
    </row>
    <row r="616" spans="1:10" x14ac:dyDescent="0.25">
      <c r="C616" s="1">
        <v>23</v>
      </c>
      <c r="D616" s="1">
        <v>2</v>
      </c>
      <c r="E616" s="1">
        <v>1</v>
      </c>
      <c r="F616" s="1">
        <v>8</v>
      </c>
      <c r="G616" s="1">
        <v>52</v>
      </c>
      <c r="H616" s="1">
        <v>52</v>
      </c>
      <c r="I616" s="1">
        <f t="shared" si="2"/>
        <v>0</v>
      </c>
    </row>
    <row r="617" spans="1:10" x14ac:dyDescent="0.25">
      <c r="C617" s="1">
        <v>23</v>
      </c>
      <c r="D617" s="1">
        <v>2</v>
      </c>
      <c r="E617" s="1">
        <v>1</v>
      </c>
      <c r="F617" s="1">
        <v>9</v>
      </c>
      <c r="G617" s="1">
        <v>52</v>
      </c>
      <c r="H617" s="1">
        <v>52</v>
      </c>
      <c r="I617" s="1">
        <f t="shared" si="2"/>
        <v>0</v>
      </c>
    </row>
    <row r="618" spans="1:10" x14ac:dyDescent="0.25">
      <c r="C618" s="1">
        <v>23</v>
      </c>
      <c r="D618" s="1">
        <v>2</v>
      </c>
      <c r="E618" s="1">
        <v>1</v>
      </c>
      <c r="F618" s="1">
        <v>10</v>
      </c>
      <c r="G618" s="1">
        <v>52</v>
      </c>
      <c r="H618" s="1">
        <v>52</v>
      </c>
      <c r="I618" s="1">
        <f t="shared" si="2"/>
        <v>0</v>
      </c>
    </row>
    <row r="619" spans="1:10" x14ac:dyDescent="0.25">
      <c r="A619" s="5">
        <v>1</v>
      </c>
      <c r="B619" s="2">
        <v>43955</v>
      </c>
      <c r="C619" s="1">
        <v>24</v>
      </c>
      <c r="D619" s="1">
        <v>1</v>
      </c>
      <c r="E619" s="1">
        <v>1</v>
      </c>
      <c r="F619" s="1">
        <v>1</v>
      </c>
      <c r="G619" s="1">
        <v>5</v>
      </c>
      <c r="H619" s="1">
        <v>5</v>
      </c>
      <c r="I619" s="1">
        <f t="shared" si="2"/>
        <v>0</v>
      </c>
      <c r="J619" s="8">
        <f>(I619+I620+I621+I643+I642+I641+I631+I630+I629)/9</f>
        <v>19.666666666666668</v>
      </c>
    </row>
    <row r="620" spans="1:10" x14ac:dyDescent="0.25">
      <c r="C620" s="1">
        <v>24</v>
      </c>
      <c r="D620" s="1">
        <v>1</v>
      </c>
      <c r="E620" s="1">
        <v>1</v>
      </c>
      <c r="F620" s="1">
        <v>2</v>
      </c>
      <c r="G620" s="1">
        <v>5</v>
      </c>
      <c r="H620" s="1">
        <v>37</v>
      </c>
      <c r="I620" s="1">
        <f t="shared" si="2"/>
        <v>32</v>
      </c>
    </row>
    <row r="621" spans="1:10" x14ac:dyDescent="0.25">
      <c r="C621" s="1">
        <v>24</v>
      </c>
      <c r="D621" s="1">
        <v>1</v>
      </c>
      <c r="E621" s="1">
        <v>1</v>
      </c>
      <c r="F621" s="1">
        <v>3</v>
      </c>
      <c r="G621" s="1">
        <v>37</v>
      </c>
      <c r="H621" s="1">
        <v>82</v>
      </c>
      <c r="I621" s="1">
        <f t="shared" si="2"/>
        <v>45</v>
      </c>
    </row>
    <row r="622" spans="1:10" x14ac:dyDescent="0.25">
      <c r="C622" s="1">
        <v>24</v>
      </c>
      <c r="D622" s="1">
        <v>1</v>
      </c>
      <c r="E622" s="1">
        <v>1</v>
      </c>
      <c r="F622" s="1">
        <v>4</v>
      </c>
      <c r="G622" s="1">
        <v>82</v>
      </c>
      <c r="H622" s="1">
        <v>128</v>
      </c>
      <c r="I622" s="1">
        <f t="shared" si="2"/>
        <v>46</v>
      </c>
    </row>
    <row r="623" spans="1:10" x14ac:dyDescent="0.25">
      <c r="C623" s="1">
        <v>24</v>
      </c>
      <c r="D623" s="1">
        <v>1</v>
      </c>
      <c r="E623" s="1">
        <v>1</v>
      </c>
      <c r="F623" s="1">
        <v>5</v>
      </c>
      <c r="G623" s="1">
        <v>130</v>
      </c>
      <c r="H623" s="1">
        <v>169</v>
      </c>
      <c r="I623" s="1">
        <f t="shared" si="2"/>
        <v>39</v>
      </c>
    </row>
    <row r="624" spans="1:10" x14ac:dyDescent="0.25">
      <c r="C624" s="1">
        <v>24</v>
      </c>
      <c r="D624" s="1">
        <v>1</v>
      </c>
      <c r="E624" s="1">
        <v>1</v>
      </c>
      <c r="F624" s="1">
        <v>6</v>
      </c>
      <c r="G624" s="1">
        <v>169</v>
      </c>
      <c r="H624" s="1">
        <v>174</v>
      </c>
      <c r="I624" s="1">
        <f t="shared" si="2"/>
        <v>5</v>
      </c>
    </row>
    <row r="625" spans="3:9" x14ac:dyDescent="0.25">
      <c r="C625" s="1">
        <v>24</v>
      </c>
      <c r="D625" s="1">
        <v>1</v>
      </c>
      <c r="E625" s="1">
        <v>1</v>
      </c>
      <c r="F625" s="1">
        <v>7</v>
      </c>
      <c r="G625" s="1">
        <v>174</v>
      </c>
      <c r="H625" s="1">
        <v>174</v>
      </c>
      <c r="I625" s="1">
        <f t="shared" si="2"/>
        <v>0</v>
      </c>
    </row>
    <row r="626" spans="3:9" x14ac:dyDescent="0.25">
      <c r="C626" s="1">
        <v>24</v>
      </c>
      <c r="D626" s="1">
        <v>1</v>
      </c>
      <c r="E626" s="1">
        <v>1</v>
      </c>
      <c r="F626" s="1">
        <v>8</v>
      </c>
      <c r="G626" s="1">
        <v>174</v>
      </c>
      <c r="H626" s="1">
        <v>177</v>
      </c>
      <c r="I626" s="1">
        <f t="shared" si="2"/>
        <v>3</v>
      </c>
    </row>
    <row r="627" spans="3:9" x14ac:dyDescent="0.25">
      <c r="C627" s="1">
        <v>24</v>
      </c>
      <c r="D627" s="1">
        <v>1</v>
      </c>
      <c r="E627" s="1">
        <v>1</v>
      </c>
      <c r="F627" s="1">
        <v>9</v>
      </c>
      <c r="G627" s="1">
        <v>177</v>
      </c>
      <c r="H627" s="1">
        <v>177</v>
      </c>
      <c r="I627" s="1">
        <f t="shared" ref="I627:I811" si="3">H627-G627</f>
        <v>0</v>
      </c>
    </row>
    <row r="628" spans="3:9" x14ac:dyDescent="0.25">
      <c r="C628" s="1">
        <v>24</v>
      </c>
      <c r="D628" s="1">
        <v>1</v>
      </c>
      <c r="E628" s="1">
        <v>1</v>
      </c>
      <c r="F628" s="1">
        <v>10</v>
      </c>
      <c r="G628" s="1">
        <v>177</v>
      </c>
      <c r="H628" s="1">
        <v>181</v>
      </c>
      <c r="I628" s="1">
        <f t="shared" si="3"/>
        <v>4</v>
      </c>
    </row>
    <row r="629" spans="3:9" x14ac:dyDescent="0.25">
      <c r="C629" s="1">
        <v>24</v>
      </c>
      <c r="D629" s="1">
        <v>1</v>
      </c>
      <c r="E629" s="1">
        <v>1</v>
      </c>
      <c r="F629" s="1">
        <v>11</v>
      </c>
      <c r="G629" s="1">
        <v>181</v>
      </c>
      <c r="H629" s="1">
        <v>197</v>
      </c>
      <c r="I629" s="1">
        <f t="shared" si="3"/>
        <v>16</v>
      </c>
    </row>
    <row r="630" spans="3:9" x14ac:dyDescent="0.25">
      <c r="C630" s="1">
        <v>24</v>
      </c>
      <c r="D630" s="1">
        <v>1</v>
      </c>
      <c r="E630" s="1">
        <v>1</v>
      </c>
      <c r="F630" s="1">
        <v>12</v>
      </c>
      <c r="G630" s="1">
        <v>199</v>
      </c>
      <c r="H630" s="1">
        <v>199</v>
      </c>
      <c r="I630" s="1">
        <f t="shared" si="3"/>
        <v>0</v>
      </c>
    </row>
    <row r="631" spans="3:9" x14ac:dyDescent="0.25">
      <c r="C631" s="1">
        <v>24</v>
      </c>
      <c r="D631" s="1">
        <v>1</v>
      </c>
      <c r="E631" s="1">
        <v>1</v>
      </c>
      <c r="F631" s="1">
        <v>13</v>
      </c>
      <c r="G631" s="1">
        <v>199</v>
      </c>
      <c r="H631" s="1">
        <v>210</v>
      </c>
      <c r="I631" s="1">
        <f t="shared" si="3"/>
        <v>11</v>
      </c>
    </row>
    <row r="632" spans="3:9" x14ac:dyDescent="0.25">
      <c r="C632" s="1">
        <v>24</v>
      </c>
      <c r="D632" s="1">
        <v>1</v>
      </c>
      <c r="E632" s="1">
        <v>1</v>
      </c>
      <c r="F632" s="1">
        <v>14</v>
      </c>
      <c r="G632" s="1">
        <v>210</v>
      </c>
      <c r="H632" s="1">
        <v>212</v>
      </c>
      <c r="I632" s="1">
        <f t="shared" si="3"/>
        <v>2</v>
      </c>
    </row>
    <row r="633" spans="3:9" x14ac:dyDescent="0.25">
      <c r="C633" s="1">
        <v>24</v>
      </c>
      <c r="D633" s="1">
        <v>1</v>
      </c>
      <c r="E633" s="1">
        <v>1</v>
      </c>
      <c r="F633" s="1">
        <v>15</v>
      </c>
      <c r="G633" s="1">
        <v>212</v>
      </c>
      <c r="H633" s="1">
        <v>212</v>
      </c>
      <c r="I633" s="1">
        <f t="shared" si="3"/>
        <v>0</v>
      </c>
    </row>
    <row r="634" spans="3:9" x14ac:dyDescent="0.25">
      <c r="C634" s="1">
        <v>24</v>
      </c>
      <c r="D634" s="1">
        <v>1</v>
      </c>
      <c r="E634" s="1">
        <v>1</v>
      </c>
      <c r="F634" s="1">
        <v>16</v>
      </c>
      <c r="G634" s="1">
        <v>212</v>
      </c>
      <c r="H634" s="1">
        <v>216</v>
      </c>
      <c r="I634" s="1">
        <f t="shared" si="3"/>
        <v>4</v>
      </c>
    </row>
    <row r="635" spans="3:9" x14ac:dyDescent="0.25">
      <c r="C635" s="1">
        <v>24</v>
      </c>
      <c r="D635" s="1">
        <v>1</v>
      </c>
      <c r="E635" s="1">
        <v>1</v>
      </c>
      <c r="F635" s="1">
        <v>17</v>
      </c>
      <c r="G635" s="1">
        <v>216</v>
      </c>
      <c r="H635" s="1">
        <v>216</v>
      </c>
      <c r="I635" s="1">
        <f t="shared" si="3"/>
        <v>0</v>
      </c>
    </row>
    <row r="636" spans="3:9" x14ac:dyDescent="0.25">
      <c r="C636" s="1">
        <v>24</v>
      </c>
      <c r="D636" s="1">
        <v>1</v>
      </c>
      <c r="E636" s="1">
        <v>1</v>
      </c>
      <c r="F636" s="1">
        <v>18</v>
      </c>
      <c r="G636" s="1">
        <v>216</v>
      </c>
      <c r="H636" s="1">
        <v>216</v>
      </c>
      <c r="I636" s="1">
        <f t="shared" si="3"/>
        <v>0</v>
      </c>
    </row>
    <row r="637" spans="3:9" x14ac:dyDescent="0.25">
      <c r="C637" s="1">
        <v>24</v>
      </c>
      <c r="D637" s="1">
        <v>1</v>
      </c>
      <c r="E637" s="1">
        <v>1</v>
      </c>
      <c r="F637" s="1">
        <v>19</v>
      </c>
      <c r="G637" s="1">
        <v>216</v>
      </c>
      <c r="H637" s="1">
        <v>216</v>
      </c>
      <c r="I637" s="1">
        <f t="shared" si="3"/>
        <v>0</v>
      </c>
    </row>
    <row r="638" spans="3:9" x14ac:dyDescent="0.25">
      <c r="C638" s="1">
        <v>24</v>
      </c>
      <c r="D638" s="1">
        <v>1</v>
      </c>
      <c r="E638" s="1">
        <v>1</v>
      </c>
      <c r="F638" s="1">
        <v>20</v>
      </c>
      <c r="G638" s="1">
        <v>227</v>
      </c>
      <c r="H638" s="1">
        <v>229</v>
      </c>
      <c r="I638" s="1">
        <f t="shared" si="3"/>
        <v>2</v>
      </c>
    </row>
    <row r="639" spans="3:9" x14ac:dyDescent="0.25">
      <c r="C639" s="1">
        <v>24</v>
      </c>
      <c r="D639" s="1">
        <v>1</v>
      </c>
      <c r="E639" s="1">
        <v>1</v>
      </c>
      <c r="F639" s="1">
        <v>21</v>
      </c>
      <c r="G639" s="1">
        <v>229</v>
      </c>
      <c r="H639" s="1">
        <v>267</v>
      </c>
      <c r="I639" s="1">
        <f t="shared" si="3"/>
        <v>38</v>
      </c>
    </row>
    <row r="640" spans="3:9" x14ac:dyDescent="0.25">
      <c r="C640" s="1">
        <v>24</v>
      </c>
      <c r="D640" s="1">
        <v>1</v>
      </c>
      <c r="E640" s="1">
        <v>1</v>
      </c>
      <c r="F640" s="1">
        <v>22</v>
      </c>
      <c r="G640" s="1">
        <v>267</v>
      </c>
      <c r="H640" s="1">
        <v>303</v>
      </c>
      <c r="I640" s="1">
        <f t="shared" si="3"/>
        <v>36</v>
      </c>
    </row>
    <row r="641" spans="1:10" x14ac:dyDescent="0.25">
      <c r="C641" s="1">
        <v>24</v>
      </c>
      <c r="D641" s="1">
        <v>1</v>
      </c>
      <c r="E641" s="1">
        <v>1</v>
      </c>
      <c r="F641" s="1">
        <v>23</v>
      </c>
      <c r="G641" s="1">
        <v>303</v>
      </c>
      <c r="H641" s="1">
        <v>336</v>
      </c>
      <c r="I641" s="1">
        <f t="shared" si="3"/>
        <v>33</v>
      </c>
    </row>
    <row r="642" spans="1:10" x14ac:dyDescent="0.25">
      <c r="C642" s="1">
        <v>24</v>
      </c>
      <c r="D642" s="1">
        <v>1</v>
      </c>
      <c r="E642" s="1">
        <v>1</v>
      </c>
      <c r="F642" s="1">
        <v>24</v>
      </c>
      <c r="G642" s="1">
        <v>343</v>
      </c>
      <c r="H642" s="1">
        <v>380</v>
      </c>
      <c r="I642" s="1">
        <f t="shared" si="3"/>
        <v>37</v>
      </c>
    </row>
    <row r="643" spans="1:10" x14ac:dyDescent="0.25">
      <c r="C643" s="1">
        <v>24</v>
      </c>
      <c r="D643" s="1">
        <v>1</v>
      </c>
      <c r="E643" s="1">
        <v>1</v>
      </c>
      <c r="F643" s="1">
        <v>25</v>
      </c>
      <c r="G643" s="1">
        <v>381</v>
      </c>
      <c r="H643" s="1">
        <v>384</v>
      </c>
      <c r="I643" s="1">
        <f t="shared" si="3"/>
        <v>3</v>
      </c>
    </row>
    <row r="644" spans="1:10" x14ac:dyDescent="0.25">
      <c r="A644" s="5">
        <v>1</v>
      </c>
      <c r="B644" s="2">
        <v>43959</v>
      </c>
      <c r="C644" s="1">
        <v>25</v>
      </c>
      <c r="D644" s="1">
        <v>1</v>
      </c>
      <c r="E644" s="1">
        <v>1</v>
      </c>
      <c r="F644" s="1">
        <v>1</v>
      </c>
      <c r="G644" s="1">
        <v>0</v>
      </c>
      <c r="H644" s="1">
        <v>10</v>
      </c>
      <c r="I644" s="1">
        <f t="shared" si="3"/>
        <v>10</v>
      </c>
      <c r="J644" s="8">
        <f>(I644+I645+I646+I667+I666+I665+I655+I656+I657)/9</f>
        <v>2</v>
      </c>
    </row>
    <row r="645" spans="1:10" x14ac:dyDescent="0.25">
      <c r="C645" s="1">
        <v>25</v>
      </c>
      <c r="D645" s="1">
        <v>1</v>
      </c>
      <c r="E645" s="1">
        <v>1</v>
      </c>
      <c r="F645" s="1">
        <v>2</v>
      </c>
      <c r="G645" s="1">
        <v>10</v>
      </c>
      <c r="H645" s="1">
        <v>12</v>
      </c>
      <c r="I645" s="1">
        <f t="shared" si="3"/>
        <v>2</v>
      </c>
    </row>
    <row r="646" spans="1:10" x14ac:dyDescent="0.25">
      <c r="C646" s="1">
        <v>25</v>
      </c>
      <c r="D646" s="1">
        <v>1</v>
      </c>
      <c r="E646" s="1">
        <v>1</v>
      </c>
      <c r="F646" s="1">
        <v>3</v>
      </c>
      <c r="G646" s="1">
        <v>12</v>
      </c>
      <c r="H646" s="1">
        <v>12</v>
      </c>
      <c r="I646" s="1">
        <f t="shared" si="3"/>
        <v>0</v>
      </c>
    </row>
    <row r="647" spans="1:10" x14ac:dyDescent="0.25">
      <c r="C647" s="1">
        <v>25</v>
      </c>
      <c r="D647" s="1">
        <v>1</v>
      </c>
      <c r="E647" s="1">
        <v>1</v>
      </c>
      <c r="F647" s="1">
        <v>4</v>
      </c>
      <c r="G647" s="1">
        <v>12</v>
      </c>
      <c r="H647" s="1">
        <v>21</v>
      </c>
      <c r="I647" s="1">
        <f t="shared" si="3"/>
        <v>9</v>
      </c>
    </row>
    <row r="648" spans="1:10" x14ac:dyDescent="0.25">
      <c r="C648" s="1">
        <v>25</v>
      </c>
      <c r="D648" s="1">
        <v>1</v>
      </c>
      <c r="E648" s="1">
        <v>1</v>
      </c>
      <c r="F648" s="1">
        <v>5</v>
      </c>
      <c r="G648" s="1">
        <v>21</v>
      </c>
      <c r="H648" s="1">
        <v>22</v>
      </c>
      <c r="I648" s="1">
        <f t="shared" si="3"/>
        <v>1</v>
      </c>
    </row>
    <row r="649" spans="1:10" x14ac:dyDescent="0.25">
      <c r="C649" s="1">
        <v>25</v>
      </c>
      <c r="D649" s="1">
        <v>1</v>
      </c>
      <c r="E649" s="1">
        <v>1</v>
      </c>
      <c r="F649" s="1">
        <v>6</v>
      </c>
      <c r="G649" s="1">
        <v>22</v>
      </c>
      <c r="H649" s="1">
        <v>26</v>
      </c>
      <c r="I649" s="1">
        <f t="shared" si="3"/>
        <v>4</v>
      </c>
    </row>
    <row r="650" spans="1:10" x14ac:dyDescent="0.25">
      <c r="C650" s="1">
        <v>25</v>
      </c>
      <c r="D650" s="1">
        <v>1</v>
      </c>
      <c r="E650" s="1">
        <v>1</v>
      </c>
      <c r="F650" s="1">
        <v>7</v>
      </c>
      <c r="G650" s="1">
        <v>26</v>
      </c>
      <c r="H650" s="1">
        <v>26</v>
      </c>
      <c r="I650" s="1">
        <f t="shared" si="3"/>
        <v>0</v>
      </c>
    </row>
    <row r="651" spans="1:10" x14ac:dyDescent="0.25">
      <c r="C651" s="1">
        <v>25</v>
      </c>
      <c r="D651" s="1">
        <v>1</v>
      </c>
      <c r="E651" s="1">
        <v>1</v>
      </c>
      <c r="F651" s="1">
        <v>8</v>
      </c>
      <c r="G651" s="1">
        <v>30</v>
      </c>
      <c r="H651" s="1">
        <v>30</v>
      </c>
      <c r="I651" s="1">
        <f t="shared" si="3"/>
        <v>0</v>
      </c>
    </row>
    <row r="652" spans="1:10" x14ac:dyDescent="0.25">
      <c r="C652" s="1">
        <v>25</v>
      </c>
      <c r="D652" s="1">
        <v>1</v>
      </c>
      <c r="E652" s="1">
        <v>1</v>
      </c>
      <c r="F652" s="1">
        <v>9</v>
      </c>
      <c r="G652" s="1">
        <v>37</v>
      </c>
      <c r="H652" s="1">
        <v>40</v>
      </c>
      <c r="I652" s="1">
        <f t="shared" si="3"/>
        <v>3</v>
      </c>
    </row>
    <row r="653" spans="1:10" x14ac:dyDescent="0.25">
      <c r="C653" s="1">
        <v>25</v>
      </c>
      <c r="D653" s="1">
        <v>1</v>
      </c>
      <c r="E653" s="1">
        <v>1</v>
      </c>
      <c r="F653" s="1">
        <v>10</v>
      </c>
      <c r="G653" s="1">
        <v>40</v>
      </c>
      <c r="H653" s="1">
        <v>43</v>
      </c>
      <c r="I653" s="1">
        <f t="shared" si="3"/>
        <v>3</v>
      </c>
    </row>
    <row r="654" spans="1:10" x14ac:dyDescent="0.25">
      <c r="C654" s="1">
        <v>25</v>
      </c>
      <c r="D654" s="1">
        <v>1</v>
      </c>
      <c r="E654" s="1">
        <v>1</v>
      </c>
      <c r="F654" s="1">
        <v>11</v>
      </c>
      <c r="G654" s="1">
        <v>43</v>
      </c>
      <c r="H654" s="1">
        <v>43</v>
      </c>
      <c r="I654" s="1">
        <f t="shared" si="3"/>
        <v>0</v>
      </c>
    </row>
    <row r="655" spans="1:10" x14ac:dyDescent="0.25">
      <c r="C655" s="1">
        <v>25</v>
      </c>
      <c r="D655" s="1">
        <v>1</v>
      </c>
      <c r="E655" s="1">
        <v>1</v>
      </c>
      <c r="F655" s="1">
        <v>12</v>
      </c>
      <c r="G655" s="1">
        <v>43</v>
      </c>
      <c r="H655" s="1">
        <v>43</v>
      </c>
      <c r="I655" s="1">
        <f t="shared" si="3"/>
        <v>0</v>
      </c>
    </row>
    <row r="656" spans="1:10" x14ac:dyDescent="0.25">
      <c r="C656" s="1">
        <v>25</v>
      </c>
      <c r="D656" s="1">
        <v>1</v>
      </c>
      <c r="E656" s="1">
        <v>1</v>
      </c>
      <c r="F656" s="1">
        <v>13</v>
      </c>
      <c r="G656" s="1">
        <v>43</v>
      </c>
      <c r="H656" s="1">
        <v>45</v>
      </c>
      <c r="I656" s="1">
        <f t="shared" si="3"/>
        <v>2</v>
      </c>
    </row>
    <row r="657" spans="1:10" x14ac:dyDescent="0.25">
      <c r="C657" s="1">
        <v>25</v>
      </c>
      <c r="D657" s="1">
        <v>1</v>
      </c>
      <c r="E657" s="1">
        <v>1</v>
      </c>
      <c r="F657" s="1">
        <v>14</v>
      </c>
      <c r="G657" s="1">
        <v>45</v>
      </c>
      <c r="H657" s="1">
        <v>49</v>
      </c>
      <c r="I657" s="1">
        <f t="shared" si="3"/>
        <v>4</v>
      </c>
    </row>
    <row r="658" spans="1:10" x14ac:dyDescent="0.25">
      <c r="C658" s="1">
        <v>25</v>
      </c>
      <c r="D658" s="1">
        <v>1</v>
      </c>
      <c r="E658" s="1">
        <v>1</v>
      </c>
      <c r="F658" s="1">
        <v>15</v>
      </c>
      <c r="G658" s="1">
        <v>49</v>
      </c>
      <c r="H658" s="1">
        <v>51</v>
      </c>
      <c r="I658" s="1">
        <f t="shared" si="3"/>
        <v>2</v>
      </c>
    </row>
    <row r="659" spans="1:10" x14ac:dyDescent="0.25">
      <c r="C659" s="1">
        <v>25</v>
      </c>
      <c r="D659" s="1">
        <v>1</v>
      </c>
      <c r="E659" s="1">
        <v>1</v>
      </c>
      <c r="F659" s="1">
        <v>16</v>
      </c>
      <c r="G659" s="1">
        <v>51</v>
      </c>
      <c r="H659" s="1">
        <v>51</v>
      </c>
      <c r="I659" s="1">
        <f t="shared" si="3"/>
        <v>0</v>
      </c>
    </row>
    <row r="660" spans="1:10" x14ac:dyDescent="0.25">
      <c r="C660" s="1">
        <v>25</v>
      </c>
      <c r="D660" s="1">
        <v>1</v>
      </c>
      <c r="E660" s="1">
        <v>1</v>
      </c>
      <c r="F660" s="1">
        <v>17</v>
      </c>
      <c r="G660" s="1">
        <v>51</v>
      </c>
      <c r="H660" s="1">
        <v>51</v>
      </c>
      <c r="I660" s="1">
        <f t="shared" si="3"/>
        <v>0</v>
      </c>
    </row>
    <row r="661" spans="1:10" x14ac:dyDescent="0.25">
      <c r="C661" s="1">
        <v>25</v>
      </c>
      <c r="D661" s="1">
        <v>1</v>
      </c>
      <c r="E661" s="1">
        <v>1</v>
      </c>
      <c r="F661" s="1">
        <v>18</v>
      </c>
      <c r="G661" s="1">
        <v>51</v>
      </c>
      <c r="H661" s="1">
        <v>51</v>
      </c>
      <c r="I661" s="1">
        <f t="shared" si="3"/>
        <v>0</v>
      </c>
    </row>
    <row r="662" spans="1:10" x14ac:dyDescent="0.25">
      <c r="C662" s="1">
        <v>25</v>
      </c>
      <c r="D662" s="1">
        <v>1</v>
      </c>
      <c r="E662" s="1">
        <v>1</v>
      </c>
      <c r="F662" s="1">
        <v>19</v>
      </c>
      <c r="G662" s="1">
        <v>52</v>
      </c>
      <c r="H662" s="1">
        <v>52</v>
      </c>
      <c r="I662" s="1">
        <f t="shared" si="3"/>
        <v>0</v>
      </c>
    </row>
    <row r="663" spans="1:10" x14ac:dyDescent="0.25">
      <c r="C663" s="1">
        <v>25</v>
      </c>
      <c r="D663" s="1">
        <v>1</v>
      </c>
      <c r="E663" s="1">
        <v>1</v>
      </c>
      <c r="F663" s="1">
        <v>20</v>
      </c>
      <c r="G663" s="1">
        <v>52</v>
      </c>
      <c r="H663" s="1">
        <v>52</v>
      </c>
      <c r="I663" s="1">
        <f t="shared" si="3"/>
        <v>0</v>
      </c>
    </row>
    <row r="664" spans="1:10" x14ac:dyDescent="0.25">
      <c r="C664" s="1">
        <v>25</v>
      </c>
      <c r="D664" s="1">
        <v>1</v>
      </c>
      <c r="E664" s="1">
        <v>1</v>
      </c>
      <c r="F664" s="1">
        <v>21</v>
      </c>
      <c r="G664" s="1">
        <v>52</v>
      </c>
      <c r="H664" s="1">
        <v>52</v>
      </c>
      <c r="I664" s="1">
        <f t="shared" si="3"/>
        <v>0</v>
      </c>
    </row>
    <row r="665" spans="1:10" x14ac:dyDescent="0.25">
      <c r="C665" s="1">
        <v>25</v>
      </c>
      <c r="D665" s="1">
        <v>1</v>
      </c>
      <c r="E665" s="1">
        <v>1</v>
      </c>
      <c r="F665" s="1">
        <v>22</v>
      </c>
      <c r="G665" s="1">
        <v>52</v>
      </c>
      <c r="H665" s="1">
        <v>52</v>
      </c>
      <c r="I665" s="1">
        <f t="shared" si="3"/>
        <v>0</v>
      </c>
    </row>
    <row r="666" spans="1:10" x14ac:dyDescent="0.25">
      <c r="C666" s="1">
        <v>25</v>
      </c>
      <c r="D666" s="1">
        <v>1</v>
      </c>
      <c r="E666" s="1">
        <v>1</v>
      </c>
      <c r="F666" s="1">
        <v>23</v>
      </c>
      <c r="G666" s="1">
        <v>53</v>
      </c>
      <c r="H666" s="1">
        <v>53</v>
      </c>
      <c r="I666" s="1">
        <f t="shared" si="3"/>
        <v>0</v>
      </c>
    </row>
    <row r="667" spans="1:10" x14ac:dyDescent="0.25">
      <c r="C667" s="1">
        <v>25</v>
      </c>
      <c r="D667" s="1">
        <v>1</v>
      </c>
      <c r="E667" s="1">
        <v>1</v>
      </c>
      <c r="F667" s="1">
        <v>24</v>
      </c>
      <c r="G667" s="1">
        <v>53</v>
      </c>
      <c r="H667" s="1">
        <v>53</v>
      </c>
      <c r="I667" s="1">
        <f t="shared" si="3"/>
        <v>0</v>
      </c>
    </row>
    <row r="668" spans="1:10" x14ac:dyDescent="0.25">
      <c r="A668" s="5">
        <v>1</v>
      </c>
      <c r="B668" s="2">
        <v>43957</v>
      </c>
      <c r="C668" s="1">
        <v>26</v>
      </c>
      <c r="D668" s="1">
        <v>2</v>
      </c>
      <c r="E668" s="1">
        <v>1</v>
      </c>
      <c r="F668" s="1">
        <v>1</v>
      </c>
      <c r="G668" s="1">
        <v>2</v>
      </c>
      <c r="H668" s="1">
        <v>23</v>
      </c>
      <c r="I668" s="1">
        <f t="shared" si="3"/>
        <v>21</v>
      </c>
      <c r="J668" s="8">
        <f>(I668+I669+I670+I680+I679+I678+I674+I675+I673)/9</f>
        <v>33.888888888888886</v>
      </c>
    </row>
    <row r="669" spans="1:10" x14ac:dyDescent="0.25">
      <c r="C669" s="1">
        <v>26</v>
      </c>
      <c r="D669" s="1">
        <v>2</v>
      </c>
      <c r="E669" s="1">
        <v>1</v>
      </c>
      <c r="F669" s="1">
        <v>2</v>
      </c>
      <c r="G669" s="1">
        <v>23</v>
      </c>
      <c r="H669" s="1">
        <v>51</v>
      </c>
      <c r="I669" s="1">
        <f t="shared" si="3"/>
        <v>28</v>
      </c>
    </row>
    <row r="670" spans="1:10" x14ac:dyDescent="0.25">
      <c r="C670" s="1">
        <v>26</v>
      </c>
      <c r="D670" s="1">
        <v>2</v>
      </c>
      <c r="E670" s="1">
        <v>1</v>
      </c>
      <c r="F670" s="1">
        <v>3</v>
      </c>
      <c r="G670" s="1">
        <v>52</v>
      </c>
      <c r="H670" s="1">
        <v>67</v>
      </c>
      <c r="I670" s="1">
        <f t="shared" si="3"/>
        <v>15</v>
      </c>
    </row>
    <row r="671" spans="1:10" x14ac:dyDescent="0.25">
      <c r="C671" s="1">
        <v>26</v>
      </c>
      <c r="D671" s="1">
        <v>2</v>
      </c>
      <c r="E671" s="1">
        <v>1</v>
      </c>
      <c r="F671" s="1">
        <v>4</v>
      </c>
      <c r="G671" s="1">
        <v>74</v>
      </c>
      <c r="H671" s="1">
        <v>113</v>
      </c>
      <c r="I671" s="1">
        <f t="shared" si="3"/>
        <v>39</v>
      </c>
    </row>
    <row r="672" spans="1:10" x14ac:dyDescent="0.25">
      <c r="C672" s="1">
        <v>26</v>
      </c>
      <c r="D672" s="1">
        <v>2</v>
      </c>
      <c r="E672" s="1">
        <v>1</v>
      </c>
      <c r="F672" s="1">
        <v>5</v>
      </c>
      <c r="G672" s="1">
        <v>119</v>
      </c>
      <c r="H672" s="1">
        <v>119</v>
      </c>
      <c r="I672" s="1">
        <f t="shared" si="3"/>
        <v>0</v>
      </c>
    </row>
    <row r="673" spans="1:10" x14ac:dyDescent="0.25">
      <c r="C673" s="1">
        <v>26</v>
      </c>
      <c r="D673" s="1">
        <v>2</v>
      </c>
      <c r="E673" s="1">
        <v>1</v>
      </c>
      <c r="F673" s="1">
        <v>6</v>
      </c>
      <c r="G673" s="1">
        <v>119</v>
      </c>
      <c r="H673" s="1">
        <v>164</v>
      </c>
      <c r="I673" s="1">
        <f t="shared" si="3"/>
        <v>45</v>
      </c>
    </row>
    <row r="674" spans="1:10" x14ac:dyDescent="0.25">
      <c r="C674" s="1">
        <v>26</v>
      </c>
      <c r="D674" s="1">
        <v>2</v>
      </c>
      <c r="E674" s="1">
        <v>1</v>
      </c>
      <c r="F674" s="1">
        <v>7</v>
      </c>
      <c r="G674" s="1">
        <v>164</v>
      </c>
      <c r="H674" s="1">
        <v>205</v>
      </c>
      <c r="I674" s="1">
        <f t="shared" si="3"/>
        <v>41</v>
      </c>
    </row>
    <row r="675" spans="1:10" x14ac:dyDescent="0.25">
      <c r="C675" s="1">
        <v>26</v>
      </c>
      <c r="D675" s="1">
        <v>2</v>
      </c>
      <c r="E675" s="1">
        <v>1</v>
      </c>
      <c r="F675" s="1">
        <v>8</v>
      </c>
      <c r="G675" s="1">
        <v>206</v>
      </c>
      <c r="H675" s="1">
        <v>251</v>
      </c>
      <c r="I675" s="1">
        <f t="shared" si="3"/>
        <v>45</v>
      </c>
    </row>
    <row r="676" spans="1:10" x14ac:dyDescent="0.25">
      <c r="C676" s="1">
        <v>26</v>
      </c>
      <c r="D676" s="1">
        <v>2</v>
      </c>
      <c r="E676" s="1">
        <v>1</v>
      </c>
      <c r="F676" s="1">
        <v>9</v>
      </c>
      <c r="G676" s="1">
        <v>251</v>
      </c>
      <c r="H676" s="1">
        <v>294</v>
      </c>
      <c r="I676" s="1">
        <f t="shared" si="3"/>
        <v>43</v>
      </c>
    </row>
    <row r="677" spans="1:10" x14ac:dyDescent="0.25">
      <c r="C677" s="1">
        <v>26</v>
      </c>
      <c r="D677" s="1">
        <v>2</v>
      </c>
      <c r="E677" s="1">
        <v>1</v>
      </c>
      <c r="F677" s="1">
        <v>10</v>
      </c>
      <c r="G677" s="1">
        <v>294</v>
      </c>
      <c r="H677" s="1">
        <v>344</v>
      </c>
      <c r="I677" s="1">
        <f t="shared" si="3"/>
        <v>50</v>
      </c>
    </row>
    <row r="678" spans="1:10" x14ac:dyDescent="0.25">
      <c r="C678" s="1">
        <v>26</v>
      </c>
      <c r="D678" s="1">
        <v>2</v>
      </c>
      <c r="E678" s="1">
        <v>1</v>
      </c>
      <c r="F678" s="1">
        <v>11</v>
      </c>
      <c r="G678" s="1">
        <v>344</v>
      </c>
      <c r="H678" s="1">
        <v>374</v>
      </c>
      <c r="I678" s="1">
        <f t="shared" si="3"/>
        <v>30</v>
      </c>
    </row>
    <row r="679" spans="1:10" x14ac:dyDescent="0.25">
      <c r="C679" s="1">
        <v>26</v>
      </c>
      <c r="D679" s="1">
        <v>2</v>
      </c>
      <c r="E679" s="1">
        <v>1</v>
      </c>
      <c r="F679" s="1">
        <v>12</v>
      </c>
      <c r="G679" s="1">
        <v>374</v>
      </c>
      <c r="H679" s="1">
        <v>419</v>
      </c>
      <c r="I679" s="1">
        <f t="shared" si="3"/>
        <v>45</v>
      </c>
    </row>
    <row r="680" spans="1:10" x14ac:dyDescent="0.25">
      <c r="C680" s="1">
        <v>26</v>
      </c>
      <c r="D680" s="1">
        <v>2</v>
      </c>
      <c r="E680" s="1">
        <v>1</v>
      </c>
      <c r="F680" s="1">
        <v>13</v>
      </c>
      <c r="G680" s="1">
        <v>419</v>
      </c>
      <c r="H680" s="1">
        <v>454</v>
      </c>
      <c r="I680" s="1">
        <f t="shared" si="3"/>
        <v>35</v>
      </c>
    </row>
    <row r="681" spans="1:10" x14ac:dyDescent="0.25">
      <c r="A681" s="5">
        <v>2</v>
      </c>
      <c r="B681" s="2">
        <v>43966</v>
      </c>
      <c r="C681" s="1">
        <v>21</v>
      </c>
      <c r="D681" s="1">
        <v>2</v>
      </c>
      <c r="E681" s="1">
        <v>1</v>
      </c>
      <c r="F681" s="1">
        <v>1</v>
      </c>
      <c r="G681" s="1">
        <v>0</v>
      </c>
      <c r="H681" s="1">
        <v>48</v>
      </c>
      <c r="I681" s="1">
        <f t="shared" si="3"/>
        <v>48</v>
      </c>
      <c r="J681" s="8">
        <f>(I681+I682+I683+I705+I704+I703+I692+I693+I694)/9</f>
        <v>37</v>
      </c>
    </row>
    <row r="682" spans="1:10" x14ac:dyDescent="0.25">
      <c r="C682" s="1">
        <v>21</v>
      </c>
      <c r="D682" s="1">
        <v>2</v>
      </c>
      <c r="E682" s="1">
        <v>1</v>
      </c>
      <c r="F682" s="1">
        <v>2</v>
      </c>
      <c r="G682" s="1">
        <v>48</v>
      </c>
      <c r="H682" s="1">
        <v>98</v>
      </c>
      <c r="I682" s="1">
        <f t="shared" si="3"/>
        <v>50</v>
      </c>
    </row>
    <row r="683" spans="1:10" x14ac:dyDescent="0.25">
      <c r="C683" s="1">
        <v>21</v>
      </c>
      <c r="D683" s="1">
        <v>2</v>
      </c>
      <c r="E683" s="1">
        <v>1</v>
      </c>
      <c r="F683" s="1">
        <v>3</v>
      </c>
      <c r="G683" s="1">
        <v>98</v>
      </c>
      <c r="H683" s="1">
        <v>139</v>
      </c>
      <c r="I683" s="1">
        <f t="shared" si="3"/>
        <v>41</v>
      </c>
    </row>
    <row r="684" spans="1:10" x14ac:dyDescent="0.25">
      <c r="C684" s="1">
        <v>21</v>
      </c>
      <c r="D684" s="1">
        <v>2</v>
      </c>
      <c r="E684" s="1">
        <v>1</v>
      </c>
      <c r="F684" s="1">
        <v>4</v>
      </c>
      <c r="G684" s="1">
        <v>139</v>
      </c>
      <c r="H684" s="1">
        <v>184</v>
      </c>
      <c r="I684" s="1">
        <f t="shared" si="3"/>
        <v>45</v>
      </c>
    </row>
    <row r="685" spans="1:10" x14ac:dyDescent="0.25">
      <c r="C685" s="1">
        <v>21</v>
      </c>
      <c r="D685" s="1">
        <v>2</v>
      </c>
      <c r="E685" s="1">
        <v>1</v>
      </c>
      <c r="F685" s="1">
        <v>5</v>
      </c>
      <c r="G685" s="1">
        <v>184</v>
      </c>
      <c r="H685" s="1">
        <v>221</v>
      </c>
      <c r="I685" s="1">
        <f t="shared" si="3"/>
        <v>37</v>
      </c>
    </row>
    <row r="686" spans="1:10" x14ac:dyDescent="0.25">
      <c r="C686" s="1">
        <v>21</v>
      </c>
      <c r="D686" s="1">
        <v>2</v>
      </c>
      <c r="E686" s="1">
        <v>1</v>
      </c>
      <c r="F686" s="1">
        <v>6</v>
      </c>
      <c r="G686" s="1">
        <v>221</v>
      </c>
      <c r="H686" s="1">
        <v>264</v>
      </c>
      <c r="I686" s="1">
        <f t="shared" si="3"/>
        <v>43</v>
      </c>
    </row>
    <row r="687" spans="1:10" x14ac:dyDescent="0.25">
      <c r="C687" s="1">
        <v>21</v>
      </c>
      <c r="D687" s="1">
        <v>2</v>
      </c>
      <c r="E687" s="1">
        <v>1</v>
      </c>
      <c r="F687" s="1">
        <v>7</v>
      </c>
      <c r="G687" s="1">
        <v>264</v>
      </c>
      <c r="H687" s="1">
        <v>302</v>
      </c>
      <c r="I687" s="1">
        <f t="shared" si="3"/>
        <v>38</v>
      </c>
    </row>
    <row r="688" spans="1:10" x14ac:dyDescent="0.25">
      <c r="C688" s="1">
        <v>21</v>
      </c>
      <c r="D688" s="1">
        <v>2</v>
      </c>
      <c r="E688" s="1">
        <v>1</v>
      </c>
      <c r="F688" s="1">
        <v>8</v>
      </c>
      <c r="G688" s="1">
        <v>302</v>
      </c>
      <c r="H688" s="1">
        <v>345</v>
      </c>
      <c r="I688" s="1">
        <f t="shared" si="3"/>
        <v>43</v>
      </c>
    </row>
    <row r="689" spans="3:9" x14ac:dyDescent="0.25">
      <c r="C689" s="1">
        <v>21</v>
      </c>
      <c r="D689" s="1">
        <v>2</v>
      </c>
      <c r="E689" s="1">
        <v>1</v>
      </c>
      <c r="F689" s="1">
        <v>9</v>
      </c>
      <c r="G689" s="1">
        <v>345</v>
      </c>
      <c r="H689" s="1">
        <v>381</v>
      </c>
      <c r="I689" s="1">
        <f t="shared" si="3"/>
        <v>36</v>
      </c>
    </row>
    <row r="690" spans="3:9" x14ac:dyDescent="0.25">
      <c r="C690" s="1">
        <v>21</v>
      </c>
      <c r="D690" s="1">
        <v>2</v>
      </c>
      <c r="E690" s="1">
        <v>1</v>
      </c>
      <c r="F690" s="1">
        <v>10</v>
      </c>
      <c r="G690" s="1">
        <v>381</v>
      </c>
      <c r="H690" s="1">
        <v>422</v>
      </c>
      <c r="I690" s="1">
        <f t="shared" si="3"/>
        <v>41</v>
      </c>
    </row>
    <row r="691" spans="3:9" x14ac:dyDescent="0.25">
      <c r="C691" s="1">
        <v>21</v>
      </c>
      <c r="D691" s="1">
        <v>2</v>
      </c>
      <c r="E691" s="1">
        <v>1</v>
      </c>
      <c r="F691" s="1">
        <v>11</v>
      </c>
      <c r="G691" s="1">
        <v>422</v>
      </c>
      <c r="H691" s="1">
        <v>449</v>
      </c>
      <c r="I691" s="1">
        <f t="shared" si="3"/>
        <v>27</v>
      </c>
    </row>
    <row r="692" spans="3:9" x14ac:dyDescent="0.25">
      <c r="C692" s="1">
        <v>21</v>
      </c>
      <c r="D692" s="1">
        <v>2</v>
      </c>
      <c r="E692" s="1">
        <v>1</v>
      </c>
      <c r="F692" s="1">
        <v>12</v>
      </c>
      <c r="G692" s="1">
        <v>449</v>
      </c>
      <c r="H692" s="1">
        <v>488</v>
      </c>
      <c r="I692" s="1">
        <f t="shared" si="3"/>
        <v>39</v>
      </c>
    </row>
    <row r="693" spans="3:9" x14ac:dyDescent="0.25">
      <c r="C693" s="1">
        <v>21</v>
      </c>
      <c r="D693" s="1">
        <v>2</v>
      </c>
      <c r="E693" s="1">
        <v>1</v>
      </c>
      <c r="F693" s="1">
        <v>13</v>
      </c>
      <c r="G693" s="1">
        <v>488</v>
      </c>
      <c r="H693" s="1">
        <v>518</v>
      </c>
      <c r="I693" s="1">
        <f t="shared" si="3"/>
        <v>30</v>
      </c>
    </row>
    <row r="694" spans="3:9" x14ac:dyDescent="0.25">
      <c r="C694" s="1">
        <v>21</v>
      </c>
      <c r="D694" s="1">
        <v>2</v>
      </c>
      <c r="E694" s="1">
        <v>1</v>
      </c>
      <c r="F694" s="1">
        <v>14</v>
      </c>
      <c r="G694" s="1">
        <v>518</v>
      </c>
      <c r="H694" s="1">
        <v>553</v>
      </c>
      <c r="I694" s="1">
        <f t="shared" si="3"/>
        <v>35</v>
      </c>
    </row>
    <row r="695" spans="3:9" x14ac:dyDescent="0.25">
      <c r="C695" s="1">
        <v>21</v>
      </c>
      <c r="D695" s="1">
        <v>2</v>
      </c>
      <c r="E695" s="1">
        <v>1</v>
      </c>
      <c r="F695" s="1">
        <v>15</v>
      </c>
      <c r="G695" s="1">
        <v>553</v>
      </c>
      <c r="H695" s="1">
        <v>594</v>
      </c>
      <c r="I695" s="1">
        <f t="shared" si="3"/>
        <v>41</v>
      </c>
    </row>
    <row r="696" spans="3:9" x14ac:dyDescent="0.25">
      <c r="C696" s="1">
        <v>21</v>
      </c>
      <c r="D696" s="1">
        <v>2</v>
      </c>
      <c r="E696" s="1">
        <v>1</v>
      </c>
      <c r="F696" s="1">
        <v>16</v>
      </c>
      <c r="G696" s="1">
        <v>596</v>
      </c>
      <c r="H696" s="1">
        <v>635</v>
      </c>
      <c r="I696" s="1">
        <f t="shared" si="3"/>
        <v>39</v>
      </c>
    </row>
    <row r="697" spans="3:9" x14ac:dyDescent="0.25">
      <c r="C697" s="1">
        <v>21</v>
      </c>
      <c r="D697" s="1">
        <v>2</v>
      </c>
      <c r="E697" s="1">
        <v>1</v>
      </c>
      <c r="F697" s="1">
        <v>17</v>
      </c>
      <c r="G697" s="1">
        <v>635</v>
      </c>
      <c r="H697" s="1">
        <v>676</v>
      </c>
      <c r="I697" s="1">
        <f t="shared" si="3"/>
        <v>41</v>
      </c>
    </row>
    <row r="698" spans="3:9" x14ac:dyDescent="0.25">
      <c r="C698" s="1">
        <v>21</v>
      </c>
      <c r="D698" s="1">
        <v>2</v>
      </c>
      <c r="E698" s="1">
        <v>1</v>
      </c>
      <c r="F698" s="1">
        <v>18</v>
      </c>
      <c r="G698" s="1">
        <v>679</v>
      </c>
      <c r="H698" s="1">
        <v>719</v>
      </c>
      <c r="I698" s="1">
        <f t="shared" si="3"/>
        <v>40</v>
      </c>
    </row>
    <row r="699" spans="3:9" x14ac:dyDescent="0.25">
      <c r="C699" s="1">
        <v>21</v>
      </c>
      <c r="D699" s="1">
        <v>2</v>
      </c>
      <c r="E699" s="1">
        <v>1</v>
      </c>
      <c r="F699" s="1">
        <v>19</v>
      </c>
      <c r="G699" s="1">
        <v>719</v>
      </c>
      <c r="H699" s="1">
        <v>750</v>
      </c>
      <c r="I699" s="1">
        <f t="shared" si="3"/>
        <v>31</v>
      </c>
    </row>
    <row r="700" spans="3:9" x14ac:dyDescent="0.25">
      <c r="C700" s="1">
        <v>21</v>
      </c>
      <c r="D700" s="1">
        <v>2</v>
      </c>
      <c r="E700" s="1">
        <v>1</v>
      </c>
      <c r="F700" s="1">
        <v>20</v>
      </c>
      <c r="G700" s="1">
        <v>750</v>
      </c>
      <c r="H700" s="1">
        <v>790</v>
      </c>
      <c r="I700" s="1">
        <f t="shared" si="3"/>
        <v>40</v>
      </c>
    </row>
    <row r="701" spans="3:9" x14ac:dyDescent="0.25">
      <c r="C701" s="1">
        <v>21</v>
      </c>
      <c r="D701" s="1">
        <v>2</v>
      </c>
      <c r="E701" s="1">
        <v>1</v>
      </c>
      <c r="F701" s="1">
        <v>21</v>
      </c>
      <c r="G701" s="1">
        <v>790</v>
      </c>
      <c r="H701" s="1">
        <v>810</v>
      </c>
      <c r="I701" s="1">
        <f t="shared" si="3"/>
        <v>20</v>
      </c>
    </row>
    <row r="702" spans="3:9" x14ac:dyDescent="0.25">
      <c r="C702" s="1">
        <v>21</v>
      </c>
      <c r="D702" s="1">
        <v>2</v>
      </c>
      <c r="E702" s="1">
        <v>1</v>
      </c>
      <c r="F702" s="1">
        <v>22</v>
      </c>
      <c r="G702" s="1">
        <v>810</v>
      </c>
      <c r="H702" s="1">
        <v>845</v>
      </c>
      <c r="I702" s="1">
        <f t="shared" si="3"/>
        <v>35</v>
      </c>
    </row>
    <row r="703" spans="3:9" x14ac:dyDescent="0.25">
      <c r="C703" s="1">
        <v>21</v>
      </c>
      <c r="D703" s="1">
        <v>2</v>
      </c>
      <c r="E703" s="1">
        <v>1</v>
      </c>
      <c r="F703" s="1">
        <v>23</v>
      </c>
      <c r="G703" s="1">
        <v>847</v>
      </c>
      <c r="H703" s="1">
        <v>892</v>
      </c>
      <c r="I703" s="1">
        <f t="shared" si="3"/>
        <v>45</v>
      </c>
    </row>
    <row r="704" spans="3:9" x14ac:dyDescent="0.25">
      <c r="C704" s="1">
        <v>21</v>
      </c>
      <c r="D704" s="1">
        <v>2</v>
      </c>
      <c r="E704" s="1">
        <v>1</v>
      </c>
      <c r="F704" s="1">
        <v>24</v>
      </c>
      <c r="G704" s="1">
        <v>892</v>
      </c>
      <c r="H704" s="1">
        <v>937</v>
      </c>
      <c r="I704" s="1">
        <f t="shared" si="3"/>
        <v>45</v>
      </c>
    </row>
    <row r="705" spans="1:10" x14ac:dyDescent="0.25">
      <c r="C705" s="1">
        <v>21</v>
      </c>
      <c r="D705" s="1">
        <v>2</v>
      </c>
      <c r="E705" s="1">
        <v>1</v>
      </c>
      <c r="F705" s="1">
        <v>25</v>
      </c>
      <c r="G705" s="1">
        <v>937</v>
      </c>
      <c r="H705" s="1">
        <v>937</v>
      </c>
      <c r="I705" s="1">
        <f t="shared" si="3"/>
        <v>0</v>
      </c>
    </row>
    <row r="706" spans="1:10" x14ac:dyDescent="0.25">
      <c r="A706" s="5">
        <v>2</v>
      </c>
      <c r="B706" s="2">
        <v>43964</v>
      </c>
      <c r="C706" s="1">
        <v>22</v>
      </c>
      <c r="D706" s="1">
        <v>1</v>
      </c>
      <c r="E706" s="1">
        <v>1</v>
      </c>
      <c r="F706" s="1">
        <v>1</v>
      </c>
      <c r="G706" s="1">
        <v>1</v>
      </c>
      <c r="H706" s="1">
        <v>41</v>
      </c>
      <c r="I706" s="1">
        <f t="shared" si="3"/>
        <v>40</v>
      </c>
      <c r="J706" s="8">
        <f>(I706+I707+I708+I730+I729+I728+I717+I718+I719)/9</f>
        <v>37.777777777777779</v>
      </c>
    </row>
    <row r="707" spans="1:10" x14ac:dyDescent="0.25">
      <c r="C707" s="1">
        <v>22</v>
      </c>
      <c r="D707" s="1">
        <v>1</v>
      </c>
      <c r="E707" s="1">
        <v>1</v>
      </c>
      <c r="F707" s="1">
        <v>2</v>
      </c>
      <c r="G707" s="1">
        <v>41</v>
      </c>
      <c r="H707" s="1">
        <v>89</v>
      </c>
      <c r="I707" s="1">
        <f t="shared" si="3"/>
        <v>48</v>
      </c>
    </row>
    <row r="708" spans="1:10" x14ac:dyDescent="0.25">
      <c r="C708" s="1">
        <v>22</v>
      </c>
      <c r="D708" s="1">
        <v>1</v>
      </c>
      <c r="E708" s="1">
        <v>1</v>
      </c>
      <c r="F708" s="1">
        <v>3</v>
      </c>
      <c r="G708" s="1">
        <v>89</v>
      </c>
      <c r="H708" s="1">
        <v>127</v>
      </c>
      <c r="I708" s="1">
        <f t="shared" si="3"/>
        <v>38</v>
      </c>
    </row>
    <row r="709" spans="1:10" x14ac:dyDescent="0.25">
      <c r="C709" s="1">
        <v>22</v>
      </c>
      <c r="D709" s="1">
        <v>1</v>
      </c>
      <c r="E709" s="1">
        <v>1</v>
      </c>
      <c r="F709" s="1">
        <v>4</v>
      </c>
      <c r="G709" s="1">
        <v>127</v>
      </c>
      <c r="H709" s="1">
        <v>154</v>
      </c>
      <c r="I709" s="1">
        <f t="shared" si="3"/>
        <v>27</v>
      </c>
    </row>
    <row r="710" spans="1:10" x14ac:dyDescent="0.25">
      <c r="C710" s="1">
        <v>22</v>
      </c>
      <c r="D710" s="1">
        <v>1</v>
      </c>
      <c r="E710" s="1">
        <v>1</v>
      </c>
      <c r="F710" s="1">
        <v>5</v>
      </c>
      <c r="G710" s="1">
        <v>154</v>
      </c>
      <c r="H710" s="1">
        <v>210</v>
      </c>
      <c r="I710" s="1">
        <f t="shared" si="3"/>
        <v>56</v>
      </c>
    </row>
    <row r="711" spans="1:10" x14ac:dyDescent="0.25">
      <c r="C711" s="1">
        <v>22</v>
      </c>
      <c r="D711" s="1">
        <v>1</v>
      </c>
      <c r="E711" s="1">
        <v>1</v>
      </c>
      <c r="F711" s="1">
        <v>6</v>
      </c>
      <c r="G711" s="1">
        <v>210</v>
      </c>
      <c r="H711" s="1">
        <v>239</v>
      </c>
      <c r="I711" s="1">
        <f t="shared" si="3"/>
        <v>29</v>
      </c>
    </row>
    <row r="712" spans="1:10" x14ac:dyDescent="0.25">
      <c r="C712" s="1">
        <v>22</v>
      </c>
      <c r="D712" s="1">
        <v>1</v>
      </c>
      <c r="E712" s="1">
        <v>1</v>
      </c>
      <c r="F712" s="1">
        <v>7</v>
      </c>
      <c r="G712" s="1">
        <v>239</v>
      </c>
      <c r="H712" s="1">
        <v>268</v>
      </c>
      <c r="I712" s="1">
        <f t="shared" si="3"/>
        <v>29</v>
      </c>
    </row>
    <row r="713" spans="1:10" x14ac:dyDescent="0.25">
      <c r="C713" s="1">
        <v>22</v>
      </c>
      <c r="D713" s="1">
        <v>1</v>
      </c>
      <c r="E713" s="1">
        <v>1</v>
      </c>
      <c r="F713" s="1">
        <v>8</v>
      </c>
      <c r="G713" s="1">
        <v>268</v>
      </c>
      <c r="H713" s="1">
        <v>312</v>
      </c>
      <c r="I713" s="1">
        <f t="shared" si="3"/>
        <v>44</v>
      </c>
    </row>
    <row r="714" spans="1:10" x14ac:dyDescent="0.25">
      <c r="C714" s="1">
        <v>22</v>
      </c>
      <c r="D714" s="1">
        <v>1</v>
      </c>
      <c r="E714" s="1">
        <v>1</v>
      </c>
      <c r="F714" s="1">
        <v>9</v>
      </c>
      <c r="G714" s="1">
        <v>312</v>
      </c>
      <c r="H714" s="1">
        <v>347</v>
      </c>
      <c r="I714" s="1">
        <f t="shared" si="3"/>
        <v>35</v>
      </c>
    </row>
    <row r="715" spans="1:10" x14ac:dyDescent="0.25">
      <c r="C715" s="1">
        <v>22</v>
      </c>
      <c r="D715" s="1">
        <v>1</v>
      </c>
      <c r="E715" s="1">
        <v>1</v>
      </c>
      <c r="F715" s="1">
        <v>10</v>
      </c>
      <c r="G715" s="1">
        <v>347</v>
      </c>
      <c r="H715" s="1">
        <v>373</v>
      </c>
      <c r="I715" s="1">
        <f t="shared" si="3"/>
        <v>26</v>
      </c>
    </row>
    <row r="716" spans="1:10" x14ac:dyDescent="0.25">
      <c r="C716" s="1">
        <v>22</v>
      </c>
      <c r="D716" s="1">
        <v>1</v>
      </c>
      <c r="E716" s="1">
        <v>1</v>
      </c>
      <c r="F716" s="1">
        <v>11</v>
      </c>
      <c r="G716" s="1">
        <v>377</v>
      </c>
      <c r="H716" s="1">
        <v>400</v>
      </c>
      <c r="I716" s="1">
        <f t="shared" si="3"/>
        <v>23</v>
      </c>
    </row>
    <row r="717" spans="1:10" x14ac:dyDescent="0.25">
      <c r="C717" s="1">
        <v>22</v>
      </c>
      <c r="D717" s="1">
        <v>1</v>
      </c>
      <c r="E717" s="1">
        <v>1</v>
      </c>
      <c r="F717" s="1">
        <v>12</v>
      </c>
      <c r="G717" s="1">
        <v>400</v>
      </c>
      <c r="H717" s="1">
        <v>435</v>
      </c>
      <c r="I717" s="1">
        <f t="shared" si="3"/>
        <v>35</v>
      </c>
    </row>
    <row r="718" spans="1:10" x14ac:dyDescent="0.25">
      <c r="C718" s="1">
        <v>22</v>
      </c>
      <c r="D718" s="1">
        <v>1</v>
      </c>
      <c r="E718" s="1">
        <v>1</v>
      </c>
      <c r="F718" s="1">
        <v>13</v>
      </c>
      <c r="G718" s="1">
        <v>435</v>
      </c>
      <c r="H718" s="1">
        <v>475</v>
      </c>
      <c r="I718" s="1">
        <f t="shared" si="3"/>
        <v>40</v>
      </c>
    </row>
    <row r="719" spans="1:10" x14ac:dyDescent="0.25">
      <c r="C719" s="1">
        <v>22</v>
      </c>
      <c r="D719" s="1">
        <v>1</v>
      </c>
      <c r="E719" s="1">
        <v>1</v>
      </c>
      <c r="F719" s="1">
        <v>14</v>
      </c>
      <c r="G719" s="1">
        <v>476</v>
      </c>
      <c r="H719" s="1">
        <v>516</v>
      </c>
      <c r="I719" s="1">
        <f t="shared" si="3"/>
        <v>40</v>
      </c>
    </row>
    <row r="720" spans="1:10" x14ac:dyDescent="0.25">
      <c r="C720" s="1">
        <v>22</v>
      </c>
      <c r="D720" s="1">
        <v>1</v>
      </c>
      <c r="E720" s="1">
        <v>1</v>
      </c>
      <c r="F720" s="1">
        <v>15</v>
      </c>
      <c r="G720" s="1">
        <v>516</v>
      </c>
      <c r="H720" s="1">
        <v>563</v>
      </c>
      <c r="I720" s="1">
        <f t="shared" si="3"/>
        <v>47</v>
      </c>
    </row>
    <row r="721" spans="1:10" x14ac:dyDescent="0.25">
      <c r="C721" s="1">
        <v>22</v>
      </c>
      <c r="D721" s="1">
        <v>1</v>
      </c>
      <c r="E721" s="1">
        <v>1</v>
      </c>
      <c r="F721" s="1">
        <v>16</v>
      </c>
      <c r="G721" s="1">
        <v>563</v>
      </c>
      <c r="H721" s="1">
        <v>599</v>
      </c>
      <c r="I721" s="1">
        <f t="shared" si="3"/>
        <v>36</v>
      </c>
    </row>
    <row r="722" spans="1:10" x14ac:dyDescent="0.25">
      <c r="C722" s="1">
        <v>22</v>
      </c>
      <c r="D722" s="1">
        <v>1</v>
      </c>
      <c r="E722" s="1">
        <v>1</v>
      </c>
      <c r="F722" s="1">
        <v>17</v>
      </c>
      <c r="G722" s="1">
        <v>599</v>
      </c>
      <c r="H722" s="1">
        <v>645</v>
      </c>
      <c r="I722" s="1">
        <f t="shared" si="3"/>
        <v>46</v>
      </c>
    </row>
    <row r="723" spans="1:10" x14ac:dyDescent="0.25">
      <c r="C723" s="1">
        <v>22</v>
      </c>
      <c r="D723" s="1">
        <v>1</v>
      </c>
      <c r="E723" s="1">
        <v>1</v>
      </c>
      <c r="F723" s="1">
        <v>18</v>
      </c>
      <c r="G723" s="1">
        <v>645</v>
      </c>
      <c r="H723" s="1">
        <v>676</v>
      </c>
      <c r="I723" s="1">
        <f t="shared" si="3"/>
        <v>31</v>
      </c>
    </row>
    <row r="724" spans="1:10" x14ac:dyDescent="0.25">
      <c r="C724" s="1">
        <v>22</v>
      </c>
      <c r="D724" s="1">
        <v>1</v>
      </c>
      <c r="E724" s="1">
        <v>1</v>
      </c>
      <c r="F724" s="1">
        <v>19</v>
      </c>
      <c r="G724" s="1">
        <v>676</v>
      </c>
      <c r="H724" s="1">
        <v>727</v>
      </c>
      <c r="I724" s="1">
        <f t="shared" si="3"/>
        <v>51</v>
      </c>
    </row>
    <row r="725" spans="1:10" x14ac:dyDescent="0.25">
      <c r="C725" s="1">
        <v>22</v>
      </c>
      <c r="D725" s="1">
        <v>1</v>
      </c>
      <c r="E725" s="1">
        <v>1</v>
      </c>
      <c r="F725" s="1">
        <v>20</v>
      </c>
      <c r="G725" s="1">
        <v>727</v>
      </c>
      <c r="H725" s="1">
        <v>759</v>
      </c>
      <c r="I725" s="1">
        <f t="shared" si="3"/>
        <v>32</v>
      </c>
    </row>
    <row r="726" spans="1:10" x14ac:dyDescent="0.25">
      <c r="C726" s="1">
        <v>22</v>
      </c>
      <c r="D726" s="1">
        <v>1</v>
      </c>
      <c r="E726" s="1">
        <v>1</v>
      </c>
      <c r="F726" s="1">
        <v>21</v>
      </c>
      <c r="G726" s="1">
        <v>759</v>
      </c>
      <c r="H726" s="1">
        <v>759</v>
      </c>
      <c r="I726" s="1">
        <f t="shared" si="3"/>
        <v>0</v>
      </c>
    </row>
    <row r="727" spans="1:10" x14ac:dyDescent="0.25">
      <c r="C727" s="1">
        <v>22</v>
      </c>
      <c r="D727" s="1">
        <v>1</v>
      </c>
      <c r="E727" s="1">
        <v>1</v>
      </c>
      <c r="F727" s="1">
        <v>22</v>
      </c>
      <c r="G727" s="1">
        <v>759</v>
      </c>
      <c r="H727" s="1">
        <v>759</v>
      </c>
      <c r="I727" s="1">
        <f t="shared" si="3"/>
        <v>0</v>
      </c>
    </row>
    <row r="728" spans="1:10" x14ac:dyDescent="0.25">
      <c r="C728" s="1">
        <v>22</v>
      </c>
      <c r="D728" s="1">
        <v>1</v>
      </c>
      <c r="E728" s="1">
        <v>1</v>
      </c>
      <c r="F728" s="1">
        <v>23</v>
      </c>
      <c r="G728" s="1">
        <v>759</v>
      </c>
      <c r="H728" s="1">
        <v>804</v>
      </c>
      <c r="I728" s="1">
        <f t="shared" si="3"/>
        <v>45</v>
      </c>
    </row>
    <row r="729" spans="1:10" x14ac:dyDescent="0.25">
      <c r="C729" s="1">
        <v>22</v>
      </c>
      <c r="D729" s="1">
        <v>1</v>
      </c>
      <c r="E729" s="1">
        <v>1</v>
      </c>
      <c r="F729" s="1">
        <v>24</v>
      </c>
      <c r="G729" s="1">
        <v>804</v>
      </c>
      <c r="H729" s="1">
        <v>804</v>
      </c>
      <c r="I729" s="1">
        <f t="shared" si="3"/>
        <v>0</v>
      </c>
    </row>
    <row r="730" spans="1:10" x14ac:dyDescent="0.25">
      <c r="C730" s="1">
        <v>22</v>
      </c>
      <c r="D730" s="1">
        <v>1</v>
      </c>
      <c r="E730" s="1">
        <v>1</v>
      </c>
      <c r="F730" s="1">
        <v>25</v>
      </c>
      <c r="G730" s="1">
        <v>804</v>
      </c>
      <c r="H730" s="1">
        <v>858</v>
      </c>
      <c r="I730" s="1">
        <f t="shared" si="3"/>
        <v>54</v>
      </c>
    </row>
    <row r="731" spans="1:10" x14ac:dyDescent="0.25">
      <c r="A731" s="5">
        <v>2</v>
      </c>
      <c r="B731" s="2">
        <v>43962</v>
      </c>
      <c r="C731" s="1">
        <v>23</v>
      </c>
      <c r="D731" s="1">
        <v>2</v>
      </c>
      <c r="E731" s="1">
        <v>1</v>
      </c>
      <c r="F731" s="1">
        <v>1</v>
      </c>
      <c r="G731" s="1">
        <v>1</v>
      </c>
      <c r="H731" s="1">
        <v>1</v>
      </c>
      <c r="I731" s="1">
        <f t="shared" si="3"/>
        <v>0</v>
      </c>
      <c r="J731" s="8">
        <f>(I731+I732+I733+I750+I749+I748+I740+I741+I742)/9</f>
        <v>13.666666666666666</v>
      </c>
    </row>
    <row r="732" spans="1:10" x14ac:dyDescent="0.25">
      <c r="C732" s="1">
        <v>23</v>
      </c>
      <c r="D732" s="1">
        <v>2</v>
      </c>
      <c r="E732" s="1">
        <v>1</v>
      </c>
      <c r="F732" s="1">
        <v>2</v>
      </c>
      <c r="G732" s="1">
        <v>1</v>
      </c>
      <c r="H732" s="1">
        <v>7</v>
      </c>
      <c r="I732" s="1">
        <f t="shared" si="3"/>
        <v>6</v>
      </c>
    </row>
    <row r="733" spans="1:10" x14ac:dyDescent="0.25">
      <c r="C733" s="1">
        <v>23</v>
      </c>
      <c r="D733" s="1">
        <v>2</v>
      </c>
      <c r="E733" s="1">
        <v>1</v>
      </c>
      <c r="F733" s="1">
        <v>3</v>
      </c>
      <c r="G733" s="1">
        <v>7</v>
      </c>
      <c r="H733" s="1">
        <v>37</v>
      </c>
      <c r="I733" s="1">
        <f t="shared" si="3"/>
        <v>30</v>
      </c>
    </row>
    <row r="734" spans="1:10" x14ac:dyDescent="0.25">
      <c r="C734" s="1">
        <v>23</v>
      </c>
      <c r="D734" s="1">
        <v>2</v>
      </c>
      <c r="E734" s="1">
        <v>1</v>
      </c>
      <c r="F734" s="1">
        <v>4</v>
      </c>
      <c r="G734" s="1">
        <v>37</v>
      </c>
      <c r="H734" s="1">
        <v>60</v>
      </c>
      <c r="I734" s="1">
        <f t="shared" si="3"/>
        <v>23</v>
      </c>
    </row>
    <row r="735" spans="1:10" x14ac:dyDescent="0.25">
      <c r="C735" s="1">
        <v>23</v>
      </c>
      <c r="D735" s="1">
        <v>2</v>
      </c>
      <c r="E735" s="1">
        <v>1</v>
      </c>
      <c r="F735" s="1">
        <v>5</v>
      </c>
      <c r="G735" s="1">
        <v>60</v>
      </c>
      <c r="H735" s="1">
        <v>66</v>
      </c>
      <c r="I735" s="1">
        <f t="shared" si="3"/>
        <v>6</v>
      </c>
    </row>
    <row r="736" spans="1:10" x14ac:dyDescent="0.25">
      <c r="C736" s="1">
        <v>23</v>
      </c>
      <c r="D736" s="1">
        <v>2</v>
      </c>
      <c r="E736" s="1">
        <v>1</v>
      </c>
      <c r="F736" s="1">
        <v>6</v>
      </c>
      <c r="G736" s="1">
        <v>66</v>
      </c>
      <c r="H736" s="1">
        <v>74</v>
      </c>
      <c r="I736" s="1">
        <f t="shared" si="3"/>
        <v>8</v>
      </c>
    </row>
    <row r="737" spans="1:10" x14ac:dyDescent="0.25">
      <c r="C737" s="1">
        <v>23</v>
      </c>
      <c r="D737" s="1">
        <v>2</v>
      </c>
      <c r="E737" s="1">
        <v>1</v>
      </c>
      <c r="F737" s="1">
        <v>7</v>
      </c>
      <c r="G737" s="1">
        <v>74</v>
      </c>
      <c r="H737" s="1">
        <v>77</v>
      </c>
      <c r="I737" s="1">
        <f t="shared" si="3"/>
        <v>3</v>
      </c>
    </row>
    <row r="738" spans="1:10" x14ac:dyDescent="0.25">
      <c r="C738" s="1">
        <v>23</v>
      </c>
      <c r="D738" s="1">
        <v>2</v>
      </c>
      <c r="E738" s="1">
        <v>1</v>
      </c>
      <c r="F738" s="1">
        <v>8</v>
      </c>
      <c r="G738" s="1">
        <v>77</v>
      </c>
      <c r="H738" s="1">
        <v>77</v>
      </c>
      <c r="I738" s="1">
        <f t="shared" si="3"/>
        <v>0</v>
      </c>
    </row>
    <row r="739" spans="1:10" x14ac:dyDescent="0.25">
      <c r="C739" s="1">
        <v>23</v>
      </c>
      <c r="D739" s="1">
        <v>2</v>
      </c>
      <c r="E739" s="1">
        <v>1</v>
      </c>
      <c r="F739" s="1">
        <v>9</v>
      </c>
      <c r="G739" s="1">
        <v>77</v>
      </c>
      <c r="H739" s="1">
        <v>77</v>
      </c>
      <c r="I739" s="1">
        <f t="shared" si="3"/>
        <v>0</v>
      </c>
    </row>
    <row r="740" spans="1:10" x14ac:dyDescent="0.25">
      <c r="C740" s="1">
        <v>23</v>
      </c>
      <c r="D740" s="1">
        <v>2</v>
      </c>
      <c r="E740" s="1">
        <v>1</v>
      </c>
      <c r="F740" s="1">
        <v>10</v>
      </c>
      <c r="G740" s="1">
        <v>77</v>
      </c>
      <c r="H740" s="1">
        <v>77</v>
      </c>
      <c r="I740" s="1">
        <f t="shared" si="3"/>
        <v>0</v>
      </c>
    </row>
    <row r="741" spans="1:10" x14ac:dyDescent="0.25">
      <c r="C741" s="1">
        <v>23</v>
      </c>
      <c r="D741" s="1">
        <v>2</v>
      </c>
      <c r="E741" s="1">
        <v>1</v>
      </c>
      <c r="F741" s="1">
        <v>11</v>
      </c>
      <c r="G741" s="1">
        <v>77</v>
      </c>
      <c r="H741" s="1">
        <v>99</v>
      </c>
      <c r="I741" s="1">
        <f t="shared" si="3"/>
        <v>22</v>
      </c>
    </row>
    <row r="742" spans="1:10" x14ac:dyDescent="0.25">
      <c r="C742" s="1">
        <v>23</v>
      </c>
      <c r="D742" s="1">
        <v>2</v>
      </c>
      <c r="E742" s="1">
        <v>1</v>
      </c>
      <c r="F742" s="1">
        <v>12</v>
      </c>
      <c r="G742" s="1">
        <v>99</v>
      </c>
      <c r="H742" s="1">
        <v>103</v>
      </c>
      <c r="I742" s="1">
        <f t="shared" si="3"/>
        <v>4</v>
      </c>
    </row>
    <row r="743" spans="1:10" x14ac:dyDescent="0.25">
      <c r="C743" s="1">
        <v>23</v>
      </c>
      <c r="D743" s="1">
        <v>2</v>
      </c>
      <c r="E743" s="1">
        <v>1</v>
      </c>
      <c r="F743" s="1">
        <v>13</v>
      </c>
      <c r="G743" s="1">
        <v>103</v>
      </c>
      <c r="H743" s="1">
        <v>150</v>
      </c>
      <c r="I743" s="1">
        <f t="shared" si="3"/>
        <v>47</v>
      </c>
    </row>
    <row r="744" spans="1:10" x14ac:dyDescent="0.25">
      <c r="C744" s="1">
        <v>23</v>
      </c>
      <c r="D744" s="1">
        <v>2</v>
      </c>
      <c r="E744" s="1">
        <v>1</v>
      </c>
      <c r="F744" s="1">
        <v>14</v>
      </c>
      <c r="G744" s="1">
        <v>150</v>
      </c>
      <c r="H744" s="1">
        <v>190</v>
      </c>
      <c r="I744" s="1">
        <f t="shared" si="3"/>
        <v>40</v>
      </c>
    </row>
    <row r="745" spans="1:10" x14ac:dyDescent="0.25">
      <c r="C745" s="1">
        <v>23</v>
      </c>
      <c r="D745" s="1">
        <v>2</v>
      </c>
      <c r="E745" s="1">
        <v>1</v>
      </c>
      <c r="F745" s="1">
        <v>15</v>
      </c>
      <c r="G745" s="1">
        <v>192</v>
      </c>
      <c r="H745" s="1">
        <v>233</v>
      </c>
      <c r="I745" s="1">
        <f t="shared" si="3"/>
        <v>41</v>
      </c>
    </row>
    <row r="746" spans="1:10" x14ac:dyDescent="0.25">
      <c r="C746" s="1">
        <v>23</v>
      </c>
      <c r="D746" s="1">
        <v>2</v>
      </c>
      <c r="E746" s="1">
        <v>1</v>
      </c>
      <c r="F746" s="1">
        <v>16</v>
      </c>
      <c r="G746" s="1">
        <v>233</v>
      </c>
      <c r="H746" s="1">
        <v>258</v>
      </c>
      <c r="I746" s="1">
        <f t="shared" si="3"/>
        <v>25</v>
      </c>
    </row>
    <row r="747" spans="1:10" x14ac:dyDescent="0.25">
      <c r="C747" s="1">
        <v>23</v>
      </c>
      <c r="D747" s="1">
        <v>2</v>
      </c>
      <c r="E747" s="1">
        <v>1</v>
      </c>
      <c r="F747" s="1">
        <v>17</v>
      </c>
      <c r="G747" s="1">
        <v>258</v>
      </c>
      <c r="H747" s="1">
        <v>288</v>
      </c>
      <c r="I747" s="1">
        <f t="shared" si="3"/>
        <v>30</v>
      </c>
    </row>
    <row r="748" spans="1:10" x14ac:dyDescent="0.25">
      <c r="C748" s="1">
        <v>23</v>
      </c>
      <c r="D748" s="1">
        <v>2</v>
      </c>
      <c r="E748" s="1">
        <v>1</v>
      </c>
      <c r="F748" s="1">
        <v>18</v>
      </c>
      <c r="G748" s="1">
        <v>288</v>
      </c>
      <c r="H748" s="1">
        <v>314</v>
      </c>
      <c r="I748" s="1">
        <f t="shared" si="3"/>
        <v>26</v>
      </c>
    </row>
    <row r="749" spans="1:10" x14ac:dyDescent="0.25">
      <c r="C749" s="1">
        <v>23</v>
      </c>
      <c r="D749" s="1">
        <v>2</v>
      </c>
      <c r="E749" s="1">
        <v>1</v>
      </c>
      <c r="F749" s="1">
        <v>19</v>
      </c>
      <c r="G749" s="1">
        <v>314</v>
      </c>
      <c r="H749" s="1">
        <v>323</v>
      </c>
      <c r="I749" s="1">
        <f t="shared" si="3"/>
        <v>9</v>
      </c>
    </row>
    <row r="750" spans="1:10" x14ac:dyDescent="0.25">
      <c r="C750" s="1">
        <v>23</v>
      </c>
      <c r="D750" s="1">
        <v>2</v>
      </c>
      <c r="E750" s="1">
        <v>1</v>
      </c>
      <c r="F750" s="1">
        <v>20</v>
      </c>
      <c r="G750" s="1">
        <v>323</v>
      </c>
      <c r="H750" s="1">
        <v>349</v>
      </c>
      <c r="I750" s="1">
        <f t="shared" si="3"/>
        <v>26</v>
      </c>
    </row>
    <row r="751" spans="1:10" x14ac:dyDescent="0.25">
      <c r="A751" s="5">
        <v>2</v>
      </c>
      <c r="B751" s="2">
        <v>43966</v>
      </c>
      <c r="C751" s="1">
        <v>24</v>
      </c>
      <c r="D751" s="1">
        <v>1</v>
      </c>
      <c r="E751" s="1">
        <v>1</v>
      </c>
      <c r="F751" s="1">
        <v>1</v>
      </c>
      <c r="G751" s="1">
        <v>0</v>
      </c>
      <c r="H751" s="1">
        <v>59</v>
      </c>
      <c r="I751" s="1">
        <f t="shared" si="3"/>
        <v>59</v>
      </c>
      <c r="J751" s="8">
        <f>(I751+I752+I753+I775+I774+I773+I763+I762+I764)/9</f>
        <v>47.444444444444443</v>
      </c>
    </row>
    <row r="752" spans="1:10" x14ac:dyDescent="0.25">
      <c r="C752" s="1">
        <v>24</v>
      </c>
      <c r="D752" s="1">
        <v>1</v>
      </c>
      <c r="E752" s="1">
        <v>1</v>
      </c>
      <c r="F752" s="1">
        <v>2</v>
      </c>
      <c r="G752" s="1">
        <v>59</v>
      </c>
      <c r="H752" s="1">
        <v>115</v>
      </c>
      <c r="I752" s="1">
        <f t="shared" si="3"/>
        <v>56</v>
      </c>
    </row>
    <row r="753" spans="3:9" x14ac:dyDescent="0.25">
      <c r="C753" s="1">
        <v>24</v>
      </c>
      <c r="D753" s="1">
        <v>1</v>
      </c>
      <c r="E753" s="1">
        <v>1</v>
      </c>
      <c r="F753" s="1">
        <v>3</v>
      </c>
      <c r="G753" s="1">
        <v>115</v>
      </c>
      <c r="H753" s="1">
        <v>168</v>
      </c>
      <c r="I753" s="1">
        <f t="shared" si="3"/>
        <v>53</v>
      </c>
    </row>
    <row r="754" spans="3:9" x14ac:dyDescent="0.25">
      <c r="C754" s="1">
        <v>24</v>
      </c>
      <c r="D754" s="1">
        <v>1</v>
      </c>
      <c r="E754" s="1">
        <v>1</v>
      </c>
      <c r="F754" s="1">
        <v>4</v>
      </c>
      <c r="G754" s="1">
        <v>168</v>
      </c>
      <c r="H754" s="1">
        <v>208</v>
      </c>
      <c r="I754" s="1">
        <f t="shared" si="3"/>
        <v>40</v>
      </c>
    </row>
    <row r="755" spans="3:9" x14ac:dyDescent="0.25">
      <c r="C755" s="1">
        <v>24</v>
      </c>
      <c r="D755" s="1">
        <v>1</v>
      </c>
      <c r="E755" s="1">
        <v>1</v>
      </c>
      <c r="F755" s="1">
        <v>5</v>
      </c>
      <c r="G755" s="1">
        <v>208</v>
      </c>
      <c r="H755" s="1">
        <v>235</v>
      </c>
      <c r="I755" s="1">
        <f t="shared" si="3"/>
        <v>27</v>
      </c>
    </row>
    <row r="756" spans="3:9" x14ac:dyDescent="0.25">
      <c r="C756" s="1">
        <v>24</v>
      </c>
      <c r="D756" s="1">
        <v>1</v>
      </c>
      <c r="E756" s="1">
        <v>1</v>
      </c>
      <c r="F756" s="1">
        <v>6</v>
      </c>
      <c r="G756" s="1">
        <v>235</v>
      </c>
      <c r="H756" s="1">
        <v>274</v>
      </c>
      <c r="I756" s="1">
        <f t="shared" si="3"/>
        <v>39</v>
      </c>
    </row>
    <row r="757" spans="3:9" x14ac:dyDescent="0.25">
      <c r="C757" s="1">
        <v>24</v>
      </c>
      <c r="D757" s="1">
        <v>1</v>
      </c>
      <c r="E757" s="1">
        <v>1</v>
      </c>
      <c r="F757" s="1">
        <v>7</v>
      </c>
      <c r="G757" s="1">
        <v>283</v>
      </c>
      <c r="H757" s="1">
        <v>324</v>
      </c>
      <c r="I757" s="1">
        <f t="shared" si="3"/>
        <v>41</v>
      </c>
    </row>
    <row r="758" spans="3:9" x14ac:dyDescent="0.25">
      <c r="C758" s="1">
        <v>24</v>
      </c>
      <c r="D758" s="1">
        <v>1</v>
      </c>
      <c r="E758" s="1">
        <v>1</v>
      </c>
      <c r="F758" s="1">
        <v>8</v>
      </c>
      <c r="G758" s="1">
        <v>368</v>
      </c>
      <c r="H758" s="1">
        <v>401</v>
      </c>
      <c r="I758" s="1">
        <f t="shared" si="3"/>
        <v>33</v>
      </c>
    </row>
    <row r="759" spans="3:9" x14ac:dyDescent="0.25">
      <c r="C759" s="1">
        <v>24</v>
      </c>
      <c r="D759" s="1">
        <v>1</v>
      </c>
      <c r="E759" s="1">
        <v>1</v>
      </c>
      <c r="F759" s="1">
        <v>9</v>
      </c>
      <c r="G759" s="1">
        <v>424</v>
      </c>
      <c r="H759" s="1">
        <v>469</v>
      </c>
      <c r="I759" s="1">
        <f t="shared" si="3"/>
        <v>45</v>
      </c>
    </row>
    <row r="760" spans="3:9" x14ac:dyDescent="0.25">
      <c r="C760" s="1">
        <v>24</v>
      </c>
      <c r="D760" s="1">
        <v>1</v>
      </c>
      <c r="E760" s="1">
        <v>1</v>
      </c>
      <c r="F760" s="1">
        <v>10</v>
      </c>
      <c r="G760" s="1">
        <v>469</v>
      </c>
      <c r="H760" s="1">
        <v>509</v>
      </c>
      <c r="I760" s="1">
        <f t="shared" si="3"/>
        <v>40</v>
      </c>
    </row>
    <row r="761" spans="3:9" x14ac:dyDescent="0.25">
      <c r="C761" s="1">
        <v>24</v>
      </c>
      <c r="D761" s="1">
        <v>1</v>
      </c>
      <c r="E761" s="1">
        <v>1</v>
      </c>
      <c r="F761" s="1">
        <v>11</v>
      </c>
      <c r="G761" s="1">
        <v>509</v>
      </c>
      <c r="H761" s="1">
        <v>552</v>
      </c>
      <c r="I761" s="1">
        <f t="shared" si="3"/>
        <v>43</v>
      </c>
    </row>
    <row r="762" spans="3:9" x14ac:dyDescent="0.25">
      <c r="C762" s="1">
        <v>24</v>
      </c>
      <c r="D762" s="1">
        <v>1</v>
      </c>
      <c r="E762" s="1">
        <v>1</v>
      </c>
      <c r="F762" s="1">
        <v>12</v>
      </c>
      <c r="G762" s="1">
        <v>553</v>
      </c>
      <c r="H762" s="1">
        <v>587</v>
      </c>
      <c r="I762" s="1">
        <f t="shared" si="3"/>
        <v>34</v>
      </c>
    </row>
    <row r="763" spans="3:9" x14ac:dyDescent="0.25">
      <c r="C763" s="1">
        <v>24</v>
      </c>
      <c r="D763" s="1">
        <v>1</v>
      </c>
      <c r="E763" s="1">
        <v>1</v>
      </c>
      <c r="F763" s="1">
        <v>13</v>
      </c>
      <c r="G763" s="1">
        <v>587</v>
      </c>
      <c r="H763" s="1">
        <v>624</v>
      </c>
      <c r="I763" s="1">
        <f t="shared" si="3"/>
        <v>37</v>
      </c>
    </row>
    <row r="764" spans="3:9" x14ac:dyDescent="0.25">
      <c r="C764" s="1">
        <v>24</v>
      </c>
      <c r="D764" s="1">
        <v>1</v>
      </c>
      <c r="E764" s="1">
        <v>1</v>
      </c>
      <c r="F764" s="1">
        <v>14</v>
      </c>
      <c r="G764" s="1">
        <v>624</v>
      </c>
      <c r="H764" s="1">
        <v>671</v>
      </c>
      <c r="I764" s="1">
        <f t="shared" si="3"/>
        <v>47</v>
      </c>
    </row>
    <row r="765" spans="3:9" x14ac:dyDescent="0.25">
      <c r="C765" s="1">
        <v>24</v>
      </c>
      <c r="D765" s="1">
        <v>1</v>
      </c>
      <c r="E765" s="1">
        <v>1</v>
      </c>
      <c r="F765" s="1">
        <v>15</v>
      </c>
      <c r="G765" s="1">
        <v>671</v>
      </c>
      <c r="H765" s="1">
        <v>671</v>
      </c>
      <c r="I765" s="1">
        <f t="shared" si="3"/>
        <v>0</v>
      </c>
    </row>
    <row r="766" spans="3:9" x14ac:dyDescent="0.25">
      <c r="C766" s="1">
        <v>24</v>
      </c>
      <c r="D766" s="1">
        <v>1</v>
      </c>
      <c r="E766" s="1">
        <v>1</v>
      </c>
      <c r="F766" s="1">
        <v>16</v>
      </c>
      <c r="G766" s="1">
        <v>671</v>
      </c>
      <c r="H766" s="1">
        <v>721</v>
      </c>
      <c r="I766" s="1">
        <f t="shared" si="3"/>
        <v>50</v>
      </c>
    </row>
    <row r="767" spans="3:9" x14ac:dyDescent="0.25">
      <c r="C767" s="1">
        <v>24</v>
      </c>
      <c r="D767" s="1">
        <v>1</v>
      </c>
      <c r="E767" s="1">
        <v>1</v>
      </c>
      <c r="F767" s="1">
        <v>17</v>
      </c>
      <c r="G767" s="1">
        <v>721</v>
      </c>
      <c r="H767" s="1">
        <v>768</v>
      </c>
      <c r="I767" s="1">
        <f t="shared" si="3"/>
        <v>47</v>
      </c>
    </row>
    <row r="768" spans="3:9" x14ac:dyDescent="0.25">
      <c r="C768" s="1">
        <v>24</v>
      </c>
      <c r="D768" s="1">
        <v>1</v>
      </c>
      <c r="E768" s="1">
        <v>1</v>
      </c>
      <c r="F768" s="1">
        <v>18</v>
      </c>
      <c r="G768" s="1">
        <v>768</v>
      </c>
      <c r="H768" s="1">
        <v>781</v>
      </c>
      <c r="I768" s="1">
        <f t="shared" si="3"/>
        <v>13</v>
      </c>
    </row>
    <row r="769" spans="1:10" x14ac:dyDescent="0.25">
      <c r="C769" s="1">
        <v>24</v>
      </c>
      <c r="D769" s="1">
        <v>1</v>
      </c>
      <c r="E769" s="1">
        <v>1</v>
      </c>
      <c r="F769" s="1">
        <v>19</v>
      </c>
      <c r="G769" s="1">
        <v>783</v>
      </c>
      <c r="H769" s="1">
        <v>793</v>
      </c>
      <c r="I769" s="1">
        <f t="shared" si="3"/>
        <v>10</v>
      </c>
    </row>
    <row r="770" spans="1:10" x14ac:dyDescent="0.25">
      <c r="C770" s="1">
        <v>24</v>
      </c>
      <c r="D770" s="1">
        <v>1</v>
      </c>
      <c r="E770" s="1">
        <v>1</v>
      </c>
      <c r="F770" s="1">
        <v>20</v>
      </c>
      <c r="G770" s="1">
        <v>795</v>
      </c>
      <c r="H770" s="1">
        <v>836</v>
      </c>
      <c r="I770" s="1">
        <f t="shared" si="3"/>
        <v>41</v>
      </c>
    </row>
    <row r="771" spans="1:10" x14ac:dyDescent="0.25">
      <c r="C771" s="1">
        <v>24</v>
      </c>
      <c r="D771" s="1">
        <v>1</v>
      </c>
      <c r="E771" s="1">
        <v>1</v>
      </c>
      <c r="F771" s="1">
        <v>21</v>
      </c>
      <c r="G771" s="1">
        <v>836</v>
      </c>
      <c r="H771" s="1">
        <v>877</v>
      </c>
      <c r="I771" s="1">
        <f t="shared" si="3"/>
        <v>41</v>
      </c>
    </row>
    <row r="772" spans="1:10" x14ac:dyDescent="0.25">
      <c r="C772" s="1">
        <v>24</v>
      </c>
      <c r="D772" s="1">
        <v>1</v>
      </c>
      <c r="E772" s="1">
        <v>1</v>
      </c>
      <c r="F772" s="1">
        <v>22</v>
      </c>
      <c r="G772" s="1">
        <v>877</v>
      </c>
      <c r="H772" s="1">
        <v>926</v>
      </c>
      <c r="I772" s="1">
        <f t="shared" si="3"/>
        <v>49</v>
      </c>
    </row>
    <row r="773" spans="1:10" x14ac:dyDescent="0.25">
      <c r="C773" s="1">
        <v>24</v>
      </c>
      <c r="D773" s="1">
        <v>1</v>
      </c>
      <c r="E773" s="1">
        <v>1</v>
      </c>
      <c r="F773" s="1">
        <v>23</v>
      </c>
      <c r="G773" s="1">
        <v>938</v>
      </c>
      <c r="H773" s="1">
        <v>985</v>
      </c>
      <c r="I773" s="1">
        <f t="shared" si="3"/>
        <v>47</v>
      </c>
    </row>
    <row r="774" spans="1:10" x14ac:dyDescent="0.25">
      <c r="C774" s="1">
        <v>24</v>
      </c>
      <c r="D774" s="1">
        <v>1</v>
      </c>
      <c r="E774" s="1">
        <v>1</v>
      </c>
      <c r="F774" s="1">
        <v>24</v>
      </c>
      <c r="G774" s="1">
        <v>985</v>
      </c>
      <c r="H774" s="1">
        <v>1033</v>
      </c>
      <c r="I774" s="1">
        <f t="shared" si="3"/>
        <v>48</v>
      </c>
    </row>
    <row r="775" spans="1:10" x14ac:dyDescent="0.25">
      <c r="C775" s="1">
        <v>24</v>
      </c>
      <c r="D775" s="1">
        <v>1</v>
      </c>
      <c r="E775" s="1">
        <v>1</v>
      </c>
      <c r="F775" s="1">
        <v>25</v>
      </c>
      <c r="G775" s="1">
        <v>1041</v>
      </c>
      <c r="H775" s="1">
        <v>1087</v>
      </c>
      <c r="I775" s="1">
        <f t="shared" si="3"/>
        <v>46</v>
      </c>
    </row>
    <row r="776" spans="1:10" x14ac:dyDescent="0.25">
      <c r="A776" s="5">
        <v>2</v>
      </c>
      <c r="B776" s="2">
        <v>43968</v>
      </c>
      <c r="C776" s="1">
        <v>25</v>
      </c>
      <c r="D776" s="1">
        <v>1</v>
      </c>
      <c r="E776" s="1">
        <v>1</v>
      </c>
      <c r="F776" s="1">
        <v>1</v>
      </c>
      <c r="G776" s="1">
        <v>0</v>
      </c>
      <c r="H776" s="1">
        <v>35</v>
      </c>
      <c r="I776" s="1">
        <f t="shared" si="3"/>
        <v>35</v>
      </c>
      <c r="J776" s="8">
        <f>(I776+I777+I778+I800+I799+I798+I787+I788+I789)/9</f>
        <v>30.888888888888889</v>
      </c>
    </row>
    <row r="777" spans="1:10" x14ac:dyDescent="0.25">
      <c r="C777" s="1">
        <v>25</v>
      </c>
      <c r="D777" s="1">
        <v>1</v>
      </c>
      <c r="E777" s="1">
        <v>1</v>
      </c>
      <c r="F777" s="1">
        <v>2</v>
      </c>
      <c r="G777" s="1">
        <v>47</v>
      </c>
      <c r="H777" s="1">
        <v>102</v>
      </c>
      <c r="I777" s="1">
        <f t="shared" si="3"/>
        <v>55</v>
      </c>
    </row>
    <row r="778" spans="1:10" x14ac:dyDescent="0.25">
      <c r="C778" s="1">
        <v>25</v>
      </c>
      <c r="D778" s="1">
        <v>1</v>
      </c>
      <c r="E778" s="1">
        <v>1</v>
      </c>
      <c r="F778" s="1">
        <v>3</v>
      </c>
      <c r="G778" s="1">
        <v>104</v>
      </c>
      <c r="H778" s="1">
        <v>127</v>
      </c>
      <c r="I778" s="1">
        <f t="shared" si="3"/>
        <v>23</v>
      </c>
    </row>
    <row r="779" spans="1:10" x14ac:dyDescent="0.25">
      <c r="C779" s="1">
        <v>25</v>
      </c>
      <c r="D779" s="1">
        <v>1</v>
      </c>
      <c r="E779" s="1">
        <v>1</v>
      </c>
      <c r="F779" s="1">
        <v>4</v>
      </c>
      <c r="G779" s="1">
        <v>127</v>
      </c>
      <c r="H779" s="1">
        <v>165</v>
      </c>
      <c r="I779" s="1">
        <f t="shared" si="3"/>
        <v>38</v>
      </c>
    </row>
    <row r="780" spans="1:10" x14ac:dyDescent="0.25">
      <c r="C780" s="1">
        <v>25</v>
      </c>
      <c r="D780" s="1">
        <v>1</v>
      </c>
      <c r="E780" s="1">
        <v>1</v>
      </c>
      <c r="F780" s="1">
        <v>5</v>
      </c>
      <c r="G780" s="1">
        <v>165</v>
      </c>
      <c r="H780" s="1">
        <v>202</v>
      </c>
      <c r="I780" s="1">
        <f t="shared" si="3"/>
        <v>37</v>
      </c>
    </row>
    <row r="781" spans="1:10" x14ac:dyDescent="0.25">
      <c r="C781" s="1">
        <v>25</v>
      </c>
      <c r="D781" s="1">
        <v>1</v>
      </c>
      <c r="E781" s="1">
        <v>1</v>
      </c>
      <c r="F781" s="1">
        <v>6</v>
      </c>
      <c r="G781" s="1">
        <v>202</v>
      </c>
      <c r="H781" s="1">
        <v>233</v>
      </c>
      <c r="I781" s="1">
        <f t="shared" si="3"/>
        <v>31</v>
      </c>
    </row>
    <row r="782" spans="1:10" x14ac:dyDescent="0.25">
      <c r="C782" s="1">
        <v>25</v>
      </c>
      <c r="D782" s="1">
        <v>1</v>
      </c>
      <c r="E782" s="1">
        <v>1</v>
      </c>
      <c r="F782" s="1">
        <v>7</v>
      </c>
      <c r="G782" s="1">
        <v>233</v>
      </c>
      <c r="H782" s="1">
        <v>261</v>
      </c>
      <c r="I782" s="1">
        <f t="shared" si="3"/>
        <v>28</v>
      </c>
    </row>
    <row r="783" spans="1:10" x14ac:dyDescent="0.25">
      <c r="C783" s="1">
        <v>25</v>
      </c>
      <c r="D783" s="1">
        <v>1</v>
      </c>
      <c r="E783" s="1">
        <v>1</v>
      </c>
      <c r="F783" s="1">
        <v>8</v>
      </c>
      <c r="G783" s="1">
        <v>261</v>
      </c>
      <c r="H783" s="1">
        <v>289</v>
      </c>
      <c r="I783" s="1">
        <f t="shared" si="3"/>
        <v>28</v>
      </c>
    </row>
    <row r="784" spans="1:10" x14ac:dyDescent="0.25">
      <c r="C784" s="1">
        <v>25</v>
      </c>
      <c r="D784" s="1">
        <v>1</v>
      </c>
      <c r="E784" s="1">
        <v>1</v>
      </c>
      <c r="F784" s="1">
        <v>9</v>
      </c>
      <c r="G784" s="1">
        <v>290</v>
      </c>
      <c r="H784" s="1">
        <v>323</v>
      </c>
      <c r="I784" s="1">
        <f t="shared" si="3"/>
        <v>33</v>
      </c>
    </row>
    <row r="785" spans="3:9" x14ac:dyDescent="0.25">
      <c r="C785" s="1">
        <v>25</v>
      </c>
      <c r="D785" s="1">
        <v>1</v>
      </c>
      <c r="E785" s="1">
        <v>1</v>
      </c>
      <c r="F785" s="1">
        <v>10</v>
      </c>
      <c r="G785" s="1">
        <v>232</v>
      </c>
      <c r="H785" s="1">
        <v>347</v>
      </c>
      <c r="I785" s="1">
        <f t="shared" si="3"/>
        <v>115</v>
      </c>
    </row>
    <row r="786" spans="3:9" x14ac:dyDescent="0.25">
      <c r="C786" s="1">
        <v>25</v>
      </c>
      <c r="D786" s="1">
        <v>1</v>
      </c>
      <c r="E786" s="1">
        <v>1</v>
      </c>
      <c r="F786" s="1">
        <v>11</v>
      </c>
      <c r="G786" s="1">
        <v>347</v>
      </c>
      <c r="H786" s="1">
        <v>366</v>
      </c>
      <c r="I786" s="1">
        <f t="shared" si="3"/>
        <v>19</v>
      </c>
    </row>
    <row r="787" spans="3:9" x14ac:dyDescent="0.25">
      <c r="C787" s="1">
        <v>25</v>
      </c>
      <c r="D787" s="1">
        <v>1</v>
      </c>
      <c r="E787" s="1">
        <v>1</v>
      </c>
      <c r="F787" s="1">
        <v>12</v>
      </c>
      <c r="G787" s="1">
        <v>374</v>
      </c>
      <c r="H787" s="1">
        <v>408</v>
      </c>
      <c r="I787" s="1">
        <f t="shared" si="3"/>
        <v>34</v>
      </c>
    </row>
    <row r="788" spans="3:9" x14ac:dyDescent="0.25">
      <c r="C788" s="1">
        <v>25</v>
      </c>
      <c r="D788" s="1">
        <v>1</v>
      </c>
      <c r="E788" s="1">
        <v>1</v>
      </c>
      <c r="F788" s="1">
        <v>13</v>
      </c>
      <c r="G788" s="1">
        <v>408</v>
      </c>
      <c r="H788" s="1">
        <v>440</v>
      </c>
      <c r="I788" s="1">
        <f t="shared" si="3"/>
        <v>32</v>
      </c>
    </row>
    <row r="789" spans="3:9" x14ac:dyDescent="0.25">
      <c r="C789" s="1">
        <v>25</v>
      </c>
      <c r="D789" s="1">
        <v>1</v>
      </c>
      <c r="E789" s="1">
        <v>1</v>
      </c>
      <c r="F789" s="1">
        <v>14</v>
      </c>
      <c r="G789" s="1">
        <v>440</v>
      </c>
      <c r="H789" s="1">
        <v>440</v>
      </c>
      <c r="I789" s="1">
        <f t="shared" si="3"/>
        <v>0</v>
      </c>
    </row>
    <row r="790" spans="3:9" x14ac:dyDescent="0.25">
      <c r="C790" s="1">
        <v>25</v>
      </c>
      <c r="D790" s="1">
        <v>1</v>
      </c>
      <c r="E790" s="1">
        <v>1</v>
      </c>
      <c r="F790" s="1">
        <v>15</v>
      </c>
      <c r="G790" s="1">
        <v>440</v>
      </c>
      <c r="H790" s="1">
        <v>480</v>
      </c>
      <c r="I790" s="1">
        <f t="shared" si="3"/>
        <v>40</v>
      </c>
    </row>
    <row r="791" spans="3:9" x14ac:dyDescent="0.25">
      <c r="C791" s="1">
        <v>25</v>
      </c>
      <c r="D791" s="1">
        <v>1</v>
      </c>
      <c r="E791" s="1">
        <v>1</v>
      </c>
      <c r="F791" s="1">
        <v>16</v>
      </c>
      <c r="G791" s="1">
        <v>481</v>
      </c>
      <c r="H791" s="1">
        <v>503</v>
      </c>
      <c r="I791" s="1">
        <f t="shared" si="3"/>
        <v>22</v>
      </c>
    </row>
    <row r="792" spans="3:9" x14ac:dyDescent="0.25">
      <c r="C792" s="1">
        <v>25</v>
      </c>
      <c r="D792" s="1">
        <v>1</v>
      </c>
      <c r="E792" s="1">
        <v>1</v>
      </c>
      <c r="F792" s="1">
        <v>17</v>
      </c>
      <c r="G792" s="1">
        <v>503</v>
      </c>
      <c r="H792" s="1">
        <v>526</v>
      </c>
      <c r="I792" s="1">
        <f t="shared" si="3"/>
        <v>23</v>
      </c>
    </row>
    <row r="793" spans="3:9" x14ac:dyDescent="0.25">
      <c r="C793" s="1">
        <v>25</v>
      </c>
      <c r="D793" s="1">
        <v>1</v>
      </c>
      <c r="E793" s="1">
        <v>1</v>
      </c>
      <c r="F793" s="1">
        <v>18</v>
      </c>
      <c r="G793" s="1">
        <v>526</v>
      </c>
      <c r="H793" s="1">
        <v>548</v>
      </c>
      <c r="I793" s="1">
        <f t="shared" si="3"/>
        <v>22</v>
      </c>
    </row>
    <row r="794" spans="3:9" x14ac:dyDescent="0.25">
      <c r="C794" s="1">
        <v>25</v>
      </c>
      <c r="D794" s="1">
        <v>1</v>
      </c>
      <c r="E794" s="1">
        <v>1</v>
      </c>
      <c r="F794" s="1">
        <v>19</v>
      </c>
      <c r="G794" s="1">
        <v>552</v>
      </c>
      <c r="H794" s="1">
        <v>585</v>
      </c>
      <c r="I794" s="1">
        <f t="shared" si="3"/>
        <v>33</v>
      </c>
    </row>
    <row r="795" spans="3:9" x14ac:dyDescent="0.25">
      <c r="C795" s="1">
        <v>25</v>
      </c>
      <c r="D795" s="1">
        <v>1</v>
      </c>
      <c r="E795" s="1">
        <v>1</v>
      </c>
      <c r="F795" s="1">
        <v>20</v>
      </c>
      <c r="G795" s="1">
        <v>585</v>
      </c>
      <c r="H795" s="1">
        <v>604</v>
      </c>
      <c r="I795" s="1">
        <f t="shared" si="3"/>
        <v>19</v>
      </c>
    </row>
    <row r="796" spans="3:9" x14ac:dyDescent="0.25">
      <c r="C796" s="1">
        <v>25</v>
      </c>
      <c r="D796" s="1">
        <v>1</v>
      </c>
      <c r="E796" s="1">
        <v>1</v>
      </c>
      <c r="F796" s="1">
        <v>21</v>
      </c>
      <c r="G796" s="1">
        <v>607</v>
      </c>
      <c r="H796" s="1">
        <v>645</v>
      </c>
      <c r="I796" s="1">
        <f t="shared" si="3"/>
        <v>38</v>
      </c>
    </row>
    <row r="797" spans="3:9" x14ac:dyDescent="0.25">
      <c r="C797" s="1">
        <v>25</v>
      </c>
      <c r="D797" s="1">
        <v>1</v>
      </c>
      <c r="E797" s="1">
        <v>1</v>
      </c>
      <c r="F797" s="1">
        <v>22</v>
      </c>
      <c r="G797" s="1">
        <v>645</v>
      </c>
      <c r="H797" s="1">
        <v>679</v>
      </c>
      <c r="I797" s="1">
        <f t="shared" si="3"/>
        <v>34</v>
      </c>
    </row>
    <row r="798" spans="3:9" x14ac:dyDescent="0.25">
      <c r="C798" s="1">
        <v>25</v>
      </c>
      <c r="D798" s="1">
        <v>1</v>
      </c>
      <c r="E798" s="1">
        <v>1</v>
      </c>
      <c r="F798" s="1">
        <v>23</v>
      </c>
      <c r="G798" s="1">
        <v>679</v>
      </c>
      <c r="H798" s="1">
        <v>720</v>
      </c>
      <c r="I798" s="1">
        <f t="shared" si="3"/>
        <v>41</v>
      </c>
    </row>
    <row r="799" spans="3:9" x14ac:dyDescent="0.25">
      <c r="C799" s="1">
        <v>25</v>
      </c>
      <c r="D799" s="1">
        <v>1</v>
      </c>
      <c r="E799" s="1">
        <v>1</v>
      </c>
      <c r="F799" s="1">
        <v>24</v>
      </c>
      <c r="G799" s="1">
        <v>720</v>
      </c>
      <c r="H799" s="1">
        <v>750</v>
      </c>
      <c r="I799" s="1">
        <f t="shared" si="3"/>
        <v>30</v>
      </c>
    </row>
    <row r="800" spans="3:9" x14ac:dyDescent="0.25">
      <c r="C800" s="1">
        <v>25</v>
      </c>
      <c r="D800" s="1">
        <v>1</v>
      </c>
      <c r="E800" s="1">
        <v>1</v>
      </c>
      <c r="F800" s="1">
        <v>25</v>
      </c>
      <c r="G800" s="1">
        <v>752</v>
      </c>
      <c r="H800" s="1">
        <v>780</v>
      </c>
      <c r="I800" s="1">
        <f t="shared" si="3"/>
        <v>28</v>
      </c>
    </row>
    <row r="801" spans="1:10" x14ac:dyDescent="0.25">
      <c r="A801" s="5">
        <v>2</v>
      </c>
      <c r="B801" s="2">
        <v>43962</v>
      </c>
      <c r="C801" s="1">
        <v>26</v>
      </c>
      <c r="D801" s="1">
        <v>2</v>
      </c>
      <c r="E801" s="1">
        <v>1</v>
      </c>
      <c r="F801" s="1">
        <v>1</v>
      </c>
      <c r="G801" s="1">
        <v>0</v>
      </c>
      <c r="H801" s="1">
        <v>0</v>
      </c>
      <c r="I801" s="1">
        <f t="shared" si="3"/>
        <v>0</v>
      </c>
      <c r="J801" s="8">
        <f>(I801+I802+I803+I811+I810+I809+I806+I805+I807)/9</f>
        <v>5.1111111111111107</v>
      </c>
    </row>
    <row r="802" spans="1:10" x14ac:dyDescent="0.25">
      <c r="C802" s="1">
        <v>26</v>
      </c>
      <c r="D802" s="1">
        <v>2</v>
      </c>
      <c r="E802" s="1">
        <v>1</v>
      </c>
      <c r="F802" s="1">
        <v>2</v>
      </c>
      <c r="G802" s="1">
        <v>17</v>
      </c>
      <c r="H802" s="1">
        <v>23</v>
      </c>
      <c r="I802" s="1">
        <f t="shared" si="3"/>
        <v>6</v>
      </c>
    </row>
    <row r="803" spans="1:10" x14ac:dyDescent="0.25">
      <c r="C803" s="1">
        <v>26</v>
      </c>
      <c r="D803" s="1">
        <v>2</v>
      </c>
      <c r="E803" s="1">
        <v>1</v>
      </c>
      <c r="F803" s="1">
        <v>3</v>
      </c>
      <c r="G803" s="1">
        <v>23</v>
      </c>
      <c r="H803" s="1">
        <v>60</v>
      </c>
      <c r="I803" s="1">
        <f t="shared" si="3"/>
        <v>37</v>
      </c>
    </row>
    <row r="804" spans="1:10" x14ac:dyDescent="0.25">
      <c r="C804" s="1">
        <v>26</v>
      </c>
      <c r="D804" s="1">
        <v>2</v>
      </c>
      <c r="E804" s="1">
        <v>1</v>
      </c>
      <c r="F804" s="1">
        <v>4</v>
      </c>
      <c r="G804" s="1">
        <v>61</v>
      </c>
      <c r="H804" s="1">
        <v>77</v>
      </c>
      <c r="I804" s="1">
        <f t="shared" si="3"/>
        <v>16</v>
      </c>
    </row>
    <row r="805" spans="1:10" x14ac:dyDescent="0.25">
      <c r="C805" s="1">
        <v>26</v>
      </c>
      <c r="D805" s="1">
        <v>2</v>
      </c>
      <c r="E805" s="1">
        <v>1</v>
      </c>
      <c r="F805" s="1">
        <v>5</v>
      </c>
      <c r="G805" s="1">
        <v>77</v>
      </c>
      <c r="H805" s="1">
        <v>80</v>
      </c>
      <c r="I805" s="1">
        <f t="shared" si="3"/>
        <v>3</v>
      </c>
    </row>
    <row r="806" spans="1:10" x14ac:dyDescent="0.25">
      <c r="C806" s="1">
        <v>26</v>
      </c>
      <c r="D806" s="1">
        <v>2</v>
      </c>
      <c r="E806" s="1">
        <v>1</v>
      </c>
      <c r="F806" s="1">
        <v>6</v>
      </c>
      <c r="G806" s="1">
        <v>80</v>
      </c>
      <c r="H806" s="1">
        <v>80</v>
      </c>
      <c r="I806" s="1">
        <f t="shared" si="3"/>
        <v>0</v>
      </c>
    </row>
    <row r="807" spans="1:10" x14ac:dyDescent="0.25">
      <c r="C807" s="1">
        <v>26</v>
      </c>
      <c r="D807" s="1">
        <v>2</v>
      </c>
      <c r="E807" s="1">
        <v>1</v>
      </c>
      <c r="F807" s="1">
        <v>7</v>
      </c>
      <c r="G807" s="1">
        <v>80</v>
      </c>
      <c r="H807" s="1">
        <v>80</v>
      </c>
      <c r="I807" s="1">
        <f t="shared" si="3"/>
        <v>0</v>
      </c>
    </row>
    <row r="808" spans="1:10" x14ac:dyDescent="0.25">
      <c r="C808" s="1">
        <v>26</v>
      </c>
      <c r="D808" s="1">
        <v>2</v>
      </c>
      <c r="E808" s="1">
        <v>1</v>
      </c>
      <c r="F808" s="1">
        <v>8</v>
      </c>
      <c r="G808" s="1">
        <v>80</v>
      </c>
      <c r="H808" s="1">
        <v>80</v>
      </c>
      <c r="I808" s="1">
        <f t="shared" si="3"/>
        <v>0</v>
      </c>
    </row>
    <row r="809" spans="1:10" x14ac:dyDescent="0.25">
      <c r="C809" s="1">
        <v>26</v>
      </c>
      <c r="D809" s="1">
        <v>2</v>
      </c>
      <c r="E809" s="1">
        <v>1</v>
      </c>
      <c r="F809" s="1">
        <v>9</v>
      </c>
      <c r="G809" s="1">
        <v>80</v>
      </c>
      <c r="H809" s="1">
        <v>80</v>
      </c>
      <c r="I809" s="1">
        <f t="shared" si="3"/>
        <v>0</v>
      </c>
    </row>
    <row r="810" spans="1:10" x14ac:dyDescent="0.25">
      <c r="C810" s="1">
        <v>26</v>
      </c>
      <c r="D810" s="1">
        <v>2</v>
      </c>
      <c r="E810" s="1">
        <v>1</v>
      </c>
      <c r="F810" s="1">
        <v>10</v>
      </c>
      <c r="G810" s="1">
        <v>80</v>
      </c>
      <c r="H810" s="1">
        <v>80</v>
      </c>
      <c r="I810" s="1">
        <f t="shared" si="3"/>
        <v>0</v>
      </c>
    </row>
    <row r="811" spans="1:10" x14ac:dyDescent="0.25">
      <c r="C811" s="1">
        <v>26</v>
      </c>
      <c r="D811" s="1">
        <v>2</v>
      </c>
      <c r="E811" s="1">
        <v>1</v>
      </c>
      <c r="F811" s="1">
        <v>11</v>
      </c>
      <c r="G811" s="1">
        <v>80</v>
      </c>
      <c r="H811" s="1">
        <v>80</v>
      </c>
      <c r="I811" s="1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10"/>
  <sheetViews>
    <sheetView topLeftCell="B1" zoomScaleNormal="100" workbookViewId="0">
      <pane ySplit="1" topLeftCell="A737" activePane="bottomLeft" state="frozen"/>
      <selection pane="bottomLeft" activeCell="K747" sqref="K747"/>
    </sheetView>
  </sheetViews>
  <sheetFormatPr defaultRowHeight="15" x14ac:dyDescent="0.25"/>
  <cols>
    <col min="1" max="1" width="8.85546875" style="5"/>
    <col min="2" max="2" width="10.5703125" style="1" bestFit="1" customWidth="1"/>
    <col min="3" max="8" width="8.85546875" style="1"/>
    <col min="9" max="9" width="10.5703125" style="1" customWidth="1"/>
    <col min="10" max="10" width="8.85546875" style="8"/>
    <col min="11" max="11" width="10.7109375" style="8" customWidth="1"/>
  </cols>
  <sheetData>
    <row r="1" spans="1:1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</row>
    <row r="2" spans="1:11" x14ac:dyDescent="0.25">
      <c r="A2" s="5">
        <v>1</v>
      </c>
      <c r="B2" s="2">
        <v>43782</v>
      </c>
      <c r="C2" s="1">
        <v>1</v>
      </c>
      <c r="D2" s="1">
        <v>1</v>
      </c>
      <c r="E2" s="1">
        <v>10</v>
      </c>
      <c r="F2" s="1">
        <v>1</v>
      </c>
      <c r="G2" s="1">
        <v>1</v>
      </c>
      <c r="H2" s="1">
        <v>5</v>
      </c>
      <c r="I2" s="1">
        <f>H2-G2</f>
        <v>4</v>
      </c>
      <c r="J2" s="8">
        <f>(I2+I3+I4+I19+I18+I17+I10+I9+I11)/9</f>
        <v>30.444444444444443</v>
      </c>
      <c r="K2" s="8">
        <f>AVERAGE(I2:I19)</f>
        <v>29.333333333333332</v>
      </c>
    </row>
    <row r="3" spans="1:11" x14ac:dyDescent="0.25">
      <c r="C3" s="1">
        <v>1</v>
      </c>
      <c r="D3" s="1">
        <v>1</v>
      </c>
      <c r="E3" s="1">
        <v>10</v>
      </c>
      <c r="F3" s="1">
        <v>2</v>
      </c>
      <c r="G3" s="1">
        <v>5</v>
      </c>
      <c r="H3" s="1">
        <v>34</v>
      </c>
      <c r="I3" s="1">
        <f t="shared" ref="I3:I257" si="0">H3-G3</f>
        <v>29</v>
      </c>
    </row>
    <row r="4" spans="1:11" x14ac:dyDescent="0.25">
      <c r="C4" s="1">
        <v>1</v>
      </c>
      <c r="D4" s="1">
        <v>1</v>
      </c>
      <c r="E4" s="1">
        <v>10</v>
      </c>
      <c r="F4" s="1">
        <v>3</v>
      </c>
      <c r="G4" s="1">
        <v>34</v>
      </c>
      <c r="H4" s="1">
        <v>53</v>
      </c>
      <c r="I4" s="1">
        <f t="shared" si="0"/>
        <v>19</v>
      </c>
    </row>
    <row r="5" spans="1:11" x14ac:dyDescent="0.25">
      <c r="C5" s="1">
        <v>1</v>
      </c>
      <c r="D5" s="1">
        <v>1</v>
      </c>
      <c r="E5" s="1">
        <v>10</v>
      </c>
      <c r="F5" s="1">
        <v>4</v>
      </c>
      <c r="G5" s="1">
        <v>53</v>
      </c>
      <c r="H5" s="1">
        <v>72</v>
      </c>
      <c r="I5" s="1">
        <f t="shared" si="0"/>
        <v>19</v>
      </c>
    </row>
    <row r="6" spans="1:11" x14ac:dyDescent="0.25">
      <c r="C6" s="1">
        <v>1</v>
      </c>
      <c r="D6" s="1">
        <v>1</v>
      </c>
      <c r="E6" s="1">
        <v>10</v>
      </c>
      <c r="F6" s="1">
        <v>5</v>
      </c>
      <c r="G6" s="1">
        <v>74</v>
      </c>
      <c r="H6" s="1">
        <v>98</v>
      </c>
      <c r="I6" s="1">
        <f t="shared" si="0"/>
        <v>24</v>
      </c>
    </row>
    <row r="7" spans="1:11" x14ac:dyDescent="0.25">
      <c r="C7" s="1">
        <v>1</v>
      </c>
      <c r="D7" s="1">
        <v>1</v>
      </c>
      <c r="E7" s="1">
        <v>10</v>
      </c>
      <c r="F7" s="1">
        <v>6</v>
      </c>
      <c r="G7" s="1">
        <v>98</v>
      </c>
      <c r="H7" s="1">
        <v>111</v>
      </c>
      <c r="I7" s="1">
        <f t="shared" si="0"/>
        <v>13</v>
      </c>
    </row>
    <row r="8" spans="1:11" x14ac:dyDescent="0.25">
      <c r="C8" s="1">
        <v>1</v>
      </c>
      <c r="D8" s="1">
        <v>1</v>
      </c>
      <c r="E8" s="1">
        <v>10</v>
      </c>
      <c r="F8" s="1">
        <v>7</v>
      </c>
      <c r="G8" s="1">
        <v>115</v>
      </c>
      <c r="H8" s="1">
        <v>119</v>
      </c>
      <c r="I8" s="1">
        <f t="shared" si="0"/>
        <v>4</v>
      </c>
    </row>
    <row r="9" spans="1:11" x14ac:dyDescent="0.25">
      <c r="C9" s="1">
        <v>1</v>
      </c>
      <c r="D9" s="1">
        <v>1</v>
      </c>
      <c r="E9" s="1">
        <v>10</v>
      </c>
      <c r="F9" s="1">
        <v>8</v>
      </c>
      <c r="G9" s="1">
        <v>119</v>
      </c>
      <c r="H9" s="1">
        <v>139</v>
      </c>
      <c r="I9" s="1">
        <f t="shared" si="0"/>
        <v>20</v>
      </c>
    </row>
    <row r="10" spans="1:11" x14ac:dyDescent="0.25">
      <c r="C10" s="1">
        <v>1</v>
      </c>
      <c r="D10" s="1">
        <v>1</v>
      </c>
      <c r="E10" s="1">
        <v>10</v>
      </c>
      <c r="F10" s="1">
        <v>9</v>
      </c>
      <c r="G10" s="1">
        <v>139</v>
      </c>
      <c r="H10" s="1">
        <v>187</v>
      </c>
      <c r="I10" s="1">
        <f t="shared" si="0"/>
        <v>48</v>
      </c>
    </row>
    <row r="11" spans="1:11" x14ac:dyDescent="0.25">
      <c r="C11" s="1">
        <v>1</v>
      </c>
      <c r="D11" s="1">
        <v>1</v>
      </c>
      <c r="E11" s="1">
        <v>10</v>
      </c>
      <c r="F11" s="1">
        <v>10</v>
      </c>
      <c r="G11" s="1">
        <v>187</v>
      </c>
      <c r="H11" s="1">
        <v>225</v>
      </c>
      <c r="I11" s="1">
        <f t="shared" si="0"/>
        <v>38</v>
      </c>
    </row>
    <row r="12" spans="1:11" x14ac:dyDescent="0.25">
      <c r="C12" s="1">
        <v>1</v>
      </c>
      <c r="D12" s="1">
        <v>1</v>
      </c>
      <c r="E12" s="1">
        <v>10</v>
      </c>
      <c r="F12" s="1">
        <v>11</v>
      </c>
      <c r="G12" s="1">
        <v>227</v>
      </c>
      <c r="H12" s="1">
        <v>266</v>
      </c>
      <c r="I12" s="1">
        <f t="shared" si="0"/>
        <v>39</v>
      </c>
    </row>
    <row r="13" spans="1:11" x14ac:dyDescent="0.25">
      <c r="C13" s="1">
        <v>1</v>
      </c>
      <c r="D13" s="1">
        <v>1</v>
      </c>
      <c r="E13" s="1">
        <v>10</v>
      </c>
      <c r="F13" s="1">
        <v>12</v>
      </c>
      <c r="G13" s="1">
        <v>266</v>
      </c>
      <c r="H13" s="1">
        <v>304</v>
      </c>
      <c r="I13" s="1">
        <f t="shared" si="0"/>
        <v>38</v>
      </c>
    </row>
    <row r="14" spans="1:11" x14ac:dyDescent="0.25">
      <c r="C14" s="1">
        <v>1</v>
      </c>
      <c r="D14" s="1">
        <v>1</v>
      </c>
      <c r="E14" s="1">
        <v>10</v>
      </c>
      <c r="F14" s="1">
        <v>13</v>
      </c>
      <c r="G14" s="1">
        <v>304</v>
      </c>
      <c r="H14" s="1">
        <v>341</v>
      </c>
      <c r="I14" s="1">
        <f t="shared" si="0"/>
        <v>37</v>
      </c>
    </row>
    <row r="15" spans="1:11" x14ac:dyDescent="0.25">
      <c r="C15" s="1">
        <v>1</v>
      </c>
      <c r="D15" s="1">
        <v>1</v>
      </c>
      <c r="E15" s="1">
        <v>10</v>
      </c>
      <c r="F15" s="1">
        <v>14</v>
      </c>
      <c r="G15" s="1">
        <v>341</v>
      </c>
      <c r="H15" s="1">
        <v>386</v>
      </c>
      <c r="I15" s="1">
        <f t="shared" si="0"/>
        <v>45</v>
      </c>
    </row>
    <row r="16" spans="1:11" x14ac:dyDescent="0.25">
      <c r="C16" s="1">
        <v>1</v>
      </c>
      <c r="D16" s="1">
        <v>1</v>
      </c>
      <c r="E16" s="1">
        <v>10</v>
      </c>
      <c r="F16" s="1">
        <v>15</v>
      </c>
      <c r="G16" s="1">
        <v>386</v>
      </c>
      <c r="H16" s="1">
        <v>421</v>
      </c>
      <c r="I16" s="1">
        <f t="shared" si="0"/>
        <v>35</v>
      </c>
    </row>
    <row r="17" spans="1:11" x14ac:dyDescent="0.25">
      <c r="C17" s="1">
        <v>1</v>
      </c>
      <c r="D17" s="1">
        <v>1</v>
      </c>
      <c r="E17" s="1">
        <v>10</v>
      </c>
      <c r="F17" s="1">
        <v>16</v>
      </c>
      <c r="G17" s="1">
        <v>423</v>
      </c>
      <c r="H17" s="1">
        <v>461</v>
      </c>
      <c r="I17" s="1">
        <f t="shared" si="0"/>
        <v>38</v>
      </c>
    </row>
    <row r="18" spans="1:11" x14ac:dyDescent="0.25">
      <c r="C18" s="1">
        <v>1</v>
      </c>
      <c r="D18" s="1">
        <v>1</v>
      </c>
      <c r="E18" s="1">
        <v>10</v>
      </c>
      <c r="F18" s="1">
        <v>17</v>
      </c>
      <c r="G18" s="1">
        <v>470</v>
      </c>
      <c r="H18" s="1">
        <v>506</v>
      </c>
      <c r="I18" s="1">
        <f t="shared" si="0"/>
        <v>36</v>
      </c>
    </row>
    <row r="19" spans="1:11" x14ac:dyDescent="0.25">
      <c r="C19" s="1">
        <v>1</v>
      </c>
      <c r="D19" s="1">
        <v>1</v>
      </c>
      <c r="E19" s="1">
        <v>10</v>
      </c>
      <c r="F19" s="1">
        <v>18</v>
      </c>
      <c r="G19" s="1">
        <v>506</v>
      </c>
      <c r="H19" s="1">
        <v>548</v>
      </c>
      <c r="I19" s="1">
        <f t="shared" si="0"/>
        <v>42</v>
      </c>
    </row>
    <row r="20" spans="1:11" x14ac:dyDescent="0.25">
      <c r="A20" s="5">
        <v>1</v>
      </c>
      <c r="B20" s="2">
        <v>43780</v>
      </c>
      <c r="C20" s="1">
        <v>2</v>
      </c>
      <c r="D20" s="1">
        <v>2</v>
      </c>
      <c r="E20" s="1">
        <v>10</v>
      </c>
      <c r="F20" s="1">
        <v>1</v>
      </c>
      <c r="G20" s="1">
        <v>7</v>
      </c>
      <c r="H20" s="1">
        <v>30</v>
      </c>
      <c r="I20" s="1">
        <f t="shared" si="0"/>
        <v>23</v>
      </c>
      <c r="J20" s="8">
        <f>(I20+I21+I22+I35+I34+I33+I27+I28+I26)/9</f>
        <v>18.222222222222221</v>
      </c>
      <c r="K20" s="8">
        <f>AVERAGE(I20:I35)</f>
        <v>14.75</v>
      </c>
    </row>
    <row r="21" spans="1:11" x14ac:dyDescent="0.25">
      <c r="C21" s="1">
        <v>2</v>
      </c>
      <c r="D21" s="1">
        <v>2</v>
      </c>
      <c r="E21" s="1">
        <v>10</v>
      </c>
      <c r="F21" s="1">
        <v>2</v>
      </c>
      <c r="G21" s="1">
        <v>30</v>
      </c>
      <c r="H21" s="1">
        <v>52</v>
      </c>
      <c r="I21" s="1">
        <f t="shared" si="0"/>
        <v>22</v>
      </c>
    </row>
    <row r="22" spans="1:11" x14ac:dyDescent="0.25">
      <c r="C22" s="1">
        <v>2</v>
      </c>
      <c r="D22" s="1">
        <v>2</v>
      </c>
      <c r="E22" s="1">
        <v>10</v>
      </c>
      <c r="F22" s="1">
        <v>3</v>
      </c>
      <c r="G22" s="1">
        <v>52</v>
      </c>
      <c r="H22" s="1">
        <v>78</v>
      </c>
      <c r="I22" s="1">
        <f t="shared" si="0"/>
        <v>26</v>
      </c>
    </row>
    <row r="23" spans="1:11" x14ac:dyDescent="0.25">
      <c r="C23" s="1">
        <v>2</v>
      </c>
      <c r="D23" s="1">
        <v>2</v>
      </c>
      <c r="E23" s="1">
        <v>10</v>
      </c>
      <c r="F23" s="1">
        <v>4</v>
      </c>
      <c r="G23" s="1">
        <v>78</v>
      </c>
      <c r="H23" s="1">
        <v>104</v>
      </c>
      <c r="I23" s="1">
        <f t="shared" si="0"/>
        <v>26</v>
      </c>
    </row>
    <row r="24" spans="1:11" x14ac:dyDescent="0.25">
      <c r="C24" s="1">
        <v>2</v>
      </c>
      <c r="D24" s="1">
        <v>2</v>
      </c>
      <c r="E24" s="1">
        <v>10</v>
      </c>
      <c r="F24" s="1">
        <v>5</v>
      </c>
      <c r="G24" s="1">
        <v>104</v>
      </c>
      <c r="H24" s="1">
        <v>109</v>
      </c>
      <c r="I24" s="1">
        <f t="shared" si="0"/>
        <v>5</v>
      </c>
    </row>
    <row r="25" spans="1:11" x14ac:dyDescent="0.25">
      <c r="C25" s="1">
        <v>2</v>
      </c>
      <c r="D25" s="1">
        <v>2</v>
      </c>
      <c r="E25" s="1">
        <v>10</v>
      </c>
      <c r="F25" s="1">
        <v>6</v>
      </c>
      <c r="G25" s="1">
        <v>109</v>
      </c>
      <c r="H25" s="1">
        <v>129</v>
      </c>
      <c r="I25" s="1">
        <f t="shared" si="0"/>
        <v>20</v>
      </c>
    </row>
    <row r="26" spans="1:11" x14ac:dyDescent="0.25">
      <c r="C26" s="1">
        <v>2</v>
      </c>
      <c r="D26" s="1">
        <v>2</v>
      </c>
      <c r="E26" s="1">
        <v>10</v>
      </c>
      <c r="F26" s="1">
        <v>7</v>
      </c>
      <c r="G26" s="1">
        <v>129</v>
      </c>
      <c r="H26" s="1">
        <v>144</v>
      </c>
      <c r="I26" s="1">
        <f t="shared" si="0"/>
        <v>15</v>
      </c>
    </row>
    <row r="27" spans="1:11" x14ac:dyDescent="0.25">
      <c r="C27" s="1">
        <v>2</v>
      </c>
      <c r="D27" s="1">
        <v>2</v>
      </c>
      <c r="E27" s="1">
        <v>10</v>
      </c>
      <c r="F27" s="1">
        <v>8</v>
      </c>
      <c r="G27" s="1">
        <v>144</v>
      </c>
      <c r="H27" s="1">
        <v>162</v>
      </c>
      <c r="I27" s="1">
        <f t="shared" si="0"/>
        <v>18</v>
      </c>
    </row>
    <row r="28" spans="1:11" x14ac:dyDescent="0.25">
      <c r="C28" s="1">
        <v>2</v>
      </c>
      <c r="D28" s="1">
        <v>2</v>
      </c>
      <c r="E28" s="1">
        <v>10</v>
      </c>
      <c r="F28" s="1">
        <v>9</v>
      </c>
      <c r="G28" s="1">
        <v>162</v>
      </c>
      <c r="H28" s="1">
        <v>172</v>
      </c>
      <c r="I28" s="1">
        <f t="shared" si="0"/>
        <v>10</v>
      </c>
    </row>
    <row r="29" spans="1:11" x14ac:dyDescent="0.25">
      <c r="C29" s="1">
        <v>2</v>
      </c>
      <c r="D29" s="1">
        <v>2</v>
      </c>
      <c r="E29" s="1">
        <v>10</v>
      </c>
      <c r="F29" s="1">
        <v>10</v>
      </c>
      <c r="G29" s="1">
        <v>172</v>
      </c>
      <c r="H29" s="1">
        <v>173</v>
      </c>
      <c r="I29" s="1">
        <f t="shared" si="0"/>
        <v>1</v>
      </c>
    </row>
    <row r="30" spans="1:11" x14ac:dyDescent="0.25">
      <c r="C30" s="1">
        <v>2</v>
      </c>
      <c r="D30" s="1">
        <v>2</v>
      </c>
      <c r="E30" s="1">
        <v>10</v>
      </c>
      <c r="F30" s="1">
        <v>11</v>
      </c>
      <c r="G30" s="1">
        <v>173</v>
      </c>
      <c r="H30" s="1">
        <v>173</v>
      </c>
      <c r="I30" s="1">
        <f t="shared" si="0"/>
        <v>0</v>
      </c>
    </row>
    <row r="31" spans="1:11" x14ac:dyDescent="0.25">
      <c r="C31" s="1">
        <v>2</v>
      </c>
      <c r="D31" s="1">
        <v>2</v>
      </c>
      <c r="E31" s="1">
        <v>10</v>
      </c>
      <c r="F31" s="1">
        <v>12</v>
      </c>
      <c r="G31" s="1">
        <v>173</v>
      </c>
      <c r="H31" s="1">
        <v>173</v>
      </c>
      <c r="I31" s="1">
        <f t="shared" si="0"/>
        <v>0</v>
      </c>
    </row>
    <row r="32" spans="1:11" x14ac:dyDescent="0.25">
      <c r="C32" s="1">
        <v>2</v>
      </c>
      <c r="D32" s="1">
        <v>2</v>
      </c>
      <c r="E32" s="1">
        <v>10</v>
      </c>
      <c r="F32" s="1">
        <v>13</v>
      </c>
      <c r="G32" s="1">
        <v>173</v>
      </c>
      <c r="H32" s="1">
        <v>193</v>
      </c>
      <c r="I32" s="1">
        <f t="shared" si="0"/>
        <v>20</v>
      </c>
    </row>
    <row r="33" spans="1:11" x14ac:dyDescent="0.25">
      <c r="C33" s="1">
        <v>2</v>
      </c>
      <c r="D33" s="1">
        <v>2</v>
      </c>
      <c r="E33" s="1">
        <v>10</v>
      </c>
      <c r="F33" s="1">
        <v>14</v>
      </c>
      <c r="G33" s="1">
        <v>193</v>
      </c>
      <c r="H33" s="1">
        <v>229</v>
      </c>
      <c r="I33" s="1">
        <f t="shared" si="0"/>
        <v>36</v>
      </c>
    </row>
    <row r="34" spans="1:11" x14ac:dyDescent="0.25">
      <c r="C34" s="1">
        <v>2</v>
      </c>
      <c r="D34" s="1">
        <v>2</v>
      </c>
      <c r="E34" s="1">
        <v>10</v>
      </c>
      <c r="F34" s="1">
        <v>15</v>
      </c>
      <c r="G34" s="1">
        <v>229</v>
      </c>
      <c r="H34" s="1">
        <v>243</v>
      </c>
      <c r="I34" s="1">
        <f t="shared" si="0"/>
        <v>14</v>
      </c>
    </row>
    <row r="35" spans="1:11" x14ac:dyDescent="0.25">
      <c r="C35" s="1">
        <v>2</v>
      </c>
      <c r="D35" s="1">
        <v>2</v>
      </c>
      <c r="E35" s="1">
        <v>10</v>
      </c>
      <c r="F35" s="1">
        <v>16</v>
      </c>
      <c r="G35" s="1">
        <v>243</v>
      </c>
      <c r="H35" s="1">
        <v>243</v>
      </c>
      <c r="I35" s="1">
        <f t="shared" si="0"/>
        <v>0</v>
      </c>
    </row>
    <row r="36" spans="1:11" x14ac:dyDescent="0.25">
      <c r="A36" s="5">
        <v>1</v>
      </c>
      <c r="B36" s="2">
        <v>43784</v>
      </c>
      <c r="C36" s="1">
        <v>3</v>
      </c>
      <c r="D36" s="1">
        <v>1</v>
      </c>
      <c r="E36" s="1">
        <v>10</v>
      </c>
      <c r="F36" s="1">
        <v>1</v>
      </c>
      <c r="G36" s="1">
        <v>0</v>
      </c>
      <c r="H36" s="1">
        <v>46</v>
      </c>
      <c r="I36" s="1">
        <f t="shared" si="0"/>
        <v>46</v>
      </c>
      <c r="J36" s="8">
        <f>(I36+I37+I38+I53+I52+I51+I44+I45+I46)/9</f>
        <v>35.222222222222221</v>
      </c>
      <c r="K36" s="8">
        <f>AVERAGE(I36:I53)</f>
        <v>28.055555555555557</v>
      </c>
    </row>
    <row r="37" spans="1:11" x14ac:dyDescent="0.25">
      <c r="C37" s="1">
        <v>3</v>
      </c>
      <c r="D37" s="1">
        <v>1</v>
      </c>
      <c r="E37" s="1">
        <v>10</v>
      </c>
      <c r="F37" s="1">
        <v>2</v>
      </c>
      <c r="G37" s="1">
        <v>54</v>
      </c>
      <c r="H37" s="1">
        <v>100</v>
      </c>
      <c r="I37" s="1">
        <f t="shared" si="0"/>
        <v>46</v>
      </c>
    </row>
    <row r="38" spans="1:11" x14ac:dyDescent="0.25">
      <c r="C38" s="1">
        <v>3</v>
      </c>
      <c r="D38" s="1">
        <v>1</v>
      </c>
      <c r="E38" s="1">
        <v>10</v>
      </c>
      <c r="F38" s="1">
        <v>3</v>
      </c>
      <c r="G38" s="1">
        <v>100</v>
      </c>
      <c r="H38" s="1">
        <v>148</v>
      </c>
      <c r="I38" s="1">
        <f t="shared" si="0"/>
        <v>48</v>
      </c>
    </row>
    <row r="39" spans="1:11" x14ac:dyDescent="0.25">
      <c r="C39" s="1">
        <v>3</v>
      </c>
      <c r="D39" s="1">
        <v>1</v>
      </c>
      <c r="E39" s="1">
        <v>10</v>
      </c>
      <c r="F39" s="1">
        <v>4</v>
      </c>
      <c r="G39" s="1">
        <v>152</v>
      </c>
      <c r="H39" s="1">
        <v>195</v>
      </c>
      <c r="I39" s="1">
        <f t="shared" si="0"/>
        <v>43</v>
      </c>
    </row>
    <row r="40" spans="1:11" x14ac:dyDescent="0.25">
      <c r="C40" s="1">
        <v>3</v>
      </c>
      <c r="D40" s="1">
        <v>1</v>
      </c>
      <c r="E40" s="1">
        <v>10</v>
      </c>
      <c r="F40" s="1">
        <v>5</v>
      </c>
      <c r="G40" s="1">
        <v>203</v>
      </c>
      <c r="H40" s="1">
        <v>251</v>
      </c>
      <c r="I40" s="1">
        <f t="shared" si="0"/>
        <v>48</v>
      </c>
    </row>
    <row r="41" spans="1:11" x14ac:dyDescent="0.25">
      <c r="C41" s="1">
        <v>3</v>
      </c>
      <c r="D41" s="1">
        <v>1</v>
      </c>
      <c r="E41" s="1">
        <v>10</v>
      </c>
      <c r="F41" s="1">
        <v>6</v>
      </c>
      <c r="G41" s="1">
        <v>251</v>
      </c>
      <c r="H41" s="1">
        <v>277</v>
      </c>
      <c r="I41" s="1">
        <f t="shared" si="0"/>
        <v>26</v>
      </c>
    </row>
    <row r="42" spans="1:11" x14ac:dyDescent="0.25">
      <c r="C42" s="1">
        <v>3</v>
      </c>
      <c r="D42" s="1">
        <v>1</v>
      </c>
      <c r="E42" s="1">
        <v>10</v>
      </c>
      <c r="F42" s="1">
        <v>7</v>
      </c>
      <c r="G42" s="1">
        <v>277</v>
      </c>
      <c r="H42" s="1">
        <v>287</v>
      </c>
      <c r="I42" s="1">
        <f t="shared" si="0"/>
        <v>10</v>
      </c>
    </row>
    <row r="43" spans="1:11" x14ac:dyDescent="0.25">
      <c r="C43" s="1">
        <v>3</v>
      </c>
      <c r="D43" s="1">
        <v>1</v>
      </c>
      <c r="E43" s="1">
        <v>10</v>
      </c>
      <c r="F43" s="1">
        <v>8</v>
      </c>
      <c r="G43" s="1">
        <v>287</v>
      </c>
      <c r="H43" s="1">
        <v>300</v>
      </c>
      <c r="I43" s="1">
        <f t="shared" si="0"/>
        <v>13</v>
      </c>
    </row>
    <row r="44" spans="1:11" x14ac:dyDescent="0.25">
      <c r="C44" s="1">
        <v>3</v>
      </c>
      <c r="D44" s="1">
        <v>1</v>
      </c>
      <c r="E44" s="1">
        <v>10</v>
      </c>
      <c r="F44" s="1">
        <v>9</v>
      </c>
      <c r="G44" s="1">
        <v>300</v>
      </c>
      <c r="H44" s="1">
        <v>303</v>
      </c>
      <c r="I44" s="1">
        <f t="shared" si="0"/>
        <v>3</v>
      </c>
    </row>
    <row r="45" spans="1:11" x14ac:dyDescent="0.25">
      <c r="C45" s="1">
        <v>3</v>
      </c>
      <c r="D45" s="1">
        <v>1</v>
      </c>
      <c r="E45" s="1">
        <v>10</v>
      </c>
      <c r="F45" s="1">
        <v>10</v>
      </c>
      <c r="G45" s="1">
        <v>303</v>
      </c>
      <c r="H45" s="1">
        <v>311</v>
      </c>
      <c r="I45" s="1">
        <f t="shared" si="0"/>
        <v>8</v>
      </c>
    </row>
    <row r="46" spans="1:11" x14ac:dyDescent="0.25">
      <c r="C46" s="1">
        <v>3</v>
      </c>
      <c r="D46" s="1">
        <v>1</v>
      </c>
      <c r="E46" s="1">
        <v>10</v>
      </c>
      <c r="F46" s="1">
        <v>11</v>
      </c>
      <c r="G46" s="1">
        <v>311</v>
      </c>
      <c r="H46" s="1">
        <v>352</v>
      </c>
      <c r="I46" s="1">
        <f t="shared" si="0"/>
        <v>41</v>
      </c>
    </row>
    <row r="47" spans="1:11" x14ac:dyDescent="0.25">
      <c r="C47" s="1">
        <v>3</v>
      </c>
      <c r="D47" s="1">
        <v>1</v>
      </c>
      <c r="E47" s="1">
        <v>10</v>
      </c>
      <c r="F47" s="1">
        <v>12</v>
      </c>
      <c r="G47" s="1">
        <v>352</v>
      </c>
      <c r="H47" s="1">
        <v>355</v>
      </c>
      <c r="I47" s="1">
        <f t="shared" si="0"/>
        <v>3</v>
      </c>
    </row>
    <row r="48" spans="1:11" x14ac:dyDescent="0.25">
      <c r="C48" s="1">
        <v>3</v>
      </c>
      <c r="D48" s="1">
        <v>1</v>
      </c>
      <c r="E48" s="1">
        <v>10</v>
      </c>
      <c r="F48" s="1">
        <v>13</v>
      </c>
      <c r="G48" s="1">
        <v>355</v>
      </c>
      <c r="H48" s="1">
        <v>361</v>
      </c>
      <c r="I48" s="1">
        <f t="shared" si="0"/>
        <v>6</v>
      </c>
    </row>
    <row r="49" spans="1:11" x14ac:dyDescent="0.25">
      <c r="C49" s="1">
        <v>3</v>
      </c>
      <c r="D49" s="1">
        <v>1</v>
      </c>
      <c r="E49" s="1">
        <v>10</v>
      </c>
      <c r="F49" s="1">
        <v>14</v>
      </c>
      <c r="G49" s="1">
        <v>361</v>
      </c>
      <c r="H49" s="1">
        <v>361</v>
      </c>
      <c r="I49" s="1">
        <f t="shared" si="0"/>
        <v>0</v>
      </c>
    </row>
    <row r="50" spans="1:11" x14ac:dyDescent="0.25">
      <c r="C50" s="1">
        <v>3</v>
      </c>
      <c r="D50" s="1">
        <v>1</v>
      </c>
      <c r="E50" s="1">
        <v>10</v>
      </c>
      <c r="F50" s="1">
        <v>15</v>
      </c>
      <c r="G50" s="1">
        <v>361</v>
      </c>
      <c r="H50" s="1">
        <v>400</v>
      </c>
      <c r="I50" s="1">
        <f t="shared" si="0"/>
        <v>39</v>
      </c>
    </row>
    <row r="51" spans="1:11" x14ac:dyDescent="0.25">
      <c r="C51" s="1">
        <v>3</v>
      </c>
      <c r="D51" s="1">
        <v>1</v>
      </c>
      <c r="E51" s="1">
        <v>10</v>
      </c>
      <c r="F51" s="1">
        <v>16</v>
      </c>
      <c r="G51" s="1">
        <v>406</v>
      </c>
      <c r="H51" s="1">
        <v>455</v>
      </c>
      <c r="I51" s="1">
        <f t="shared" si="0"/>
        <v>49</v>
      </c>
    </row>
    <row r="52" spans="1:11" x14ac:dyDescent="0.25">
      <c r="C52" s="1">
        <v>3</v>
      </c>
      <c r="D52" s="1">
        <v>1</v>
      </c>
      <c r="E52" s="1">
        <v>10</v>
      </c>
      <c r="F52" s="1">
        <v>17</v>
      </c>
      <c r="G52" s="1">
        <v>469</v>
      </c>
      <c r="H52" s="1">
        <v>510</v>
      </c>
      <c r="I52" s="1">
        <f t="shared" si="0"/>
        <v>41</v>
      </c>
    </row>
    <row r="53" spans="1:11" x14ac:dyDescent="0.25">
      <c r="C53" s="1">
        <v>3</v>
      </c>
      <c r="D53" s="1">
        <v>1</v>
      </c>
      <c r="E53" s="1">
        <v>10</v>
      </c>
      <c r="F53" s="1">
        <v>18</v>
      </c>
      <c r="G53" s="1">
        <v>513</v>
      </c>
      <c r="H53" s="1">
        <v>548</v>
      </c>
      <c r="I53" s="1">
        <f t="shared" si="0"/>
        <v>35</v>
      </c>
    </row>
    <row r="54" spans="1:11" x14ac:dyDescent="0.25">
      <c r="A54" s="5">
        <v>1</v>
      </c>
      <c r="B54" s="2">
        <v>43782</v>
      </c>
      <c r="C54" s="1">
        <v>4</v>
      </c>
      <c r="D54" s="1">
        <v>2</v>
      </c>
      <c r="E54" s="1">
        <v>10</v>
      </c>
      <c r="F54" s="1">
        <v>1</v>
      </c>
      <c r="G54" s="1">
        <v>0</v>
      </c>
      <c r="H54" s="1">
        <v>2</v>
      </c>
      <c r="I54" s="1">
        <f t="shared" si="0"/>
        <v>2</v>
      </c>
      <c r="J54" s="8">
        <f>(I54+I55+I56+I71+I70+I69+I63+I62+I61)/9</f>
        <v>30.666666666666668</v>
      </c>
      <c r="K54" s="8">
        <f>AVERAGE(I54:I71)</f>
        <v>33.722222222222221</v>
      </c>
    </row>
    <row r="55" spans="1:11" x14ac:dyDescent="0.25">
      <c r="C55" s="1">
        <v>4</v>
      </c>
      <c r="D55" s="1">
        <v>2</v>
      </c>
      <c r="E55" s="1">
        <v>10</v>
      </c>
      <c r="F55" s="1">
        <v>2</v>
      </c>
      <c r="G55" s="1">
        <v>2</v>
      </c>
      <c r="H55" s="1">
        <v>3</v>
      </c>
      <c r="I55" s="1">
        <f t="shared" si="0"/>
        <v>1</v>
      </c>
    </row>
    <row r="56" spans="1:11" x14ac:dyDescent="0.25">
      <c r="C56" s="1">
        <v>4</v>
      </c>
      <c r="D56" s="1">
        <v>2</v>
      </c>
      <c r="E56" s="1">
        <v>10</v>
      </c>
      <c r="F56" s="1">
        <v>3</v>
      </c>
      <c r="G56" s="1">
        <v>3</v>
      </c>
      <c r="H56" s="1">
        <v>43</v>
      </c>
      <c r="I56" s="1">
        <f t="shared" si="0"/>
        <v>40</v>
      </c>
    </row>
    <row r="57" spans="1:11" x14ac:dyDescent="0.25">
      <c r="C57" s="1">
        <v>4</v>
      </c>
      <c r="D57" s="1">
        <v>2</v>
      </c>
      <c r="E57" s="1">
        <v>10</v>
      </c>
      <c r="F57" s="1">
        <v>4</v>
      </c>
      <c r="G57" s="1">
        <v>44</v>
      </c>
      <c r="H57" s="1">
        <v>84</v>
      </c>
      <c r="I57" s="1">
        <f>H57-G57</f>
        <v>40</v>
      </c>
    </row>
    <row r="58" spans="1:11" x14ac:dyDescent="0.25">
      <c r="C58" s="1">
        <v>4</v>
      </c>
      <c r="D58" s="1">
        <v>2</v>
      </c>
      <c r="E58" s="1">
        <v>10</v>
      </c>
      <c r="F58" s="1">
        <v>5</v>
      </c>
      <c r="G58" s="1">
        <v>88</v>
      </c>
      <c r="H58" s="1">
        <v>128</v>
      </c>
      <c r="I58" s="1">
        <f t="shared" si="0"/>
        <v>40</v>
      </c>
    </row>
    <row r="59" spans="1:11" x14ac:dyDescent="0.25">
      <c r="C59" s="1">
        <v>4</v>
      </c>
      <c r="D59" s="1">
        <v>2</v>
      </c>
      <c r="E59" s="1">
        <v>10</v>
      </c>
      <c r="F59" s="1">
        <v>6</v>
      </c>
      <c r="G59" s="1">
        <v>128</v>
      </c>
      <c r="H59" s="1">
        <v>172</v>
      </c>
      <c r="I59" s="1">
        <f t="shared" si="0"/>
        <v>44</v>
      </c>
    </row>
    <row r="60" spans="1:11" x14ac:dyDescent="0.25">
      <c r="C60" s="1">
        <v>4</v>
      </c>
      <c r="D60" s="1">
        <v>2</v>
      </c>
      <c r="E60" s="1">
        <v>10</v>
      </c>
      <c r="F60" s="1">
        <v>7</v>
      </c>
      <c r="G60" s="1">
        <v>175</v>
      </c>
      <c r="H60" s="1">
        <v>213</v>
      </c>
      <c r="I60" s="1">
        <f t="shared" si="0"/>
        <v>38</v>
      </c>
    </row>
    <row r="61" spans="1:11" x14ac:dyDescent="0.25">
      <c r="C61" s="1">
        <v>4</v>
      </c>
      <c r="D61" s="1">
        <v>2</v>
      </c>
      <c r="E61" s="1">
        <v>10</v>
      </c>
      <c r="F61" s="1">
        <v>8</v>
      </c>
      <c r="G61" s="1">
        <v>213</v>
      </c>
      <c r="H61" s="1">
        <v>256</v>
      </c>
      <c r="I61" s="1">
        <f t="shared" si="0"/>
        <v>43</v>
      </c>
    </row>
    <row r="62" spans="1:11" x14ac:dyDescent="0.25">
      <c r="C62" s="1">
        <v>4</v>
      </c>
      <c r="D62" s="1">
        <v>2</v>
      </c>
      <c r="E62" s="1">
        <v>10</v>
      </c>
      <c r="F62" s="1">
        <v>9</v>
      </c>
      <c r="G62" s="1">
        <v>258</v>
      </c>
      <c r="H62" s="1">
        <v>302</v>
      </c>
      <c r="I62" s="1">
        <f t="shared" si="0"/>
        <v>44</v>
      </c>
    </row>
    <row r="63" spans="1:11" x14ac:dyDescent="0.25">
      <c r="C63" s="1">
        <v>4</v>
      </c>
      <c r="D63" s="1">
        <v>2</v>
      </c>
      <c r="E63" s="1">
        <v>10</v>
      </c>
      <c r="F63" s="1">
        <v>10</v>
      </c>
      <c r="G63" s="1">
        <v>303</v>
      </c>
      <c r="H63" s="1">
        <v>334</v>
      </c>
      <c r="I63" s="1">
        <f t="shared" si="0"/>
        <v>31</v>
      </c>
    </row>
    <row r="64" spans="1:11" x14ac:dyDescent="0.25">
      <c r="C64" s="1">
        <v>4</v>
      </c>
      <c r="D64" s="1">
        <v>2</v>
      </c>
      <c r="E64" s="1">
        <v>10</v>
      </c>
      <c r="F64" s="1">
        <v>11</v>
      </c>
      <c r="G64" s="1">
        <v>334</v>
      </c>
      <c r="H64" s="1">
        <v>373</v>
      </c>
      <c r="I64" s="1">
        <f t="shared" si="0"/>
        <v>39</v>
      </c>
    </row>
    <row r="65" spans="1:11" x14ac:dyDescent="0.25">
      <c r="C65" s="1">
        <v>4</v>
      </c>
      <c r="D65" s="1">
        <v>2</v>
      </c>
      <c r="E65" s="1">
        <v>10</v>
      </c>
      <c r="F65" s="1">
        <v>12</v>
      </c>
      <c r="G65" s="1">
        <v>375</v>
      </c>
      <c r="H65" s="1">
        <v>408</v>
      </c>
      <c r="I65" s="1">
        <f t="shared" si="0"/>
        <v>33</v>
      </c>
    </row>
    <row r="66" spans="1:11" x14ac:dyDescent="0.25">
      <c r="C66" s="1">
        <v>4</v>
      </c>
      <c r="D66" s="1">
        <v>2</v>
      </c>
      <c r="E66" s="1">
        <v>10</v>
      </c>
      <c r="F66" s="1">
        <v>13</v>
      </c>
      <c r="G66" s="1">
        <v>410</v>
      </c>
      <c r="H66" s="1">
        <v>440</v>
      </c>
      <c r="I66" s="1">
        <f t="shared" si="0"/>
        <v>30</v>
      </c>
    </row>
    <row r="67" spans="1:11" x14ac:dyDescent="0.25">
      <c r="C67" s="1">
        <v>4</v>
      </c>
      <c r="D67" s="1">
        <v>2</v>
      </c>
      <c r="E67" s="1">
        <v>10</v>
      </c>
      <c r="F67" s="1">
        <v>14</v>
      </c>
      <c r="G67" s="1">
        <v>443</v>
      </c>
      <c r="H67" s="1">
        <v>476</v>
      </c>
      <c r="I67" s="1">
        <f t="shared" si="0"/>
        <v>33</v>
      </c>
    </row>
    <row r="68" spans="1:11" x14ac:dyDescent="0.25">
      <c r="C68" s="1">
        <v>4</v>
      </c>
      <c r="D68" s="1">
        <v>2</v>
      </c>
      <c r="E68" s="1">
        <v>10</v>
      </c>
      <c r="F68" s="1">
        <v>15</v>
      </c>
      <c r="G68" s="1">
        <v>478</v>
      </c>
      <c r="H68" s="1">
        <v>512</v>
      </c>
      <c r="I68" s="1">
        <f t="shared" si="0"/>
        <v>34</v>
      </c>
    </row>
    <row r="69" spans="1:11" x14ac:dyDescent="0.25">
      <c r="C69" s="1">
        <v>4</v>
      </c>
      <c r="D69" s="1">
        <v>2</v>
      </c>
      <c r="E69" s="1">
        <v>10</v>
      </c>
      <c r="F69" s="1">
        <v>16</v>
      </c>
      <c r="G69" s="1">
        <v>515</v>
      </c>
      <c r="H69" s="1">
        <v>555</v>
      </c>
      <c r="I69" s="1">
        <f t="shared" si="0"/>
        <v>40</v>
      </c>
    </row>
    <row r="70" spans="1:11" x14ac:dyDescent="0.25">
      <c r="C70" s="1">
        <v>4</v>
      </c>
      <c r="D70" s="1">
        <v>2</v>
      </c>
      <c r="E70" s="1">
        <v>10</v>
      </c>
      <c r="F70" s="1">
        <v>17</v>
      </c>
      <c r="G70" s="1">
        <v>555</v>
      </c>
      <c r="H70" s="1">
        <v>584</v>
      </c>
      <c r="I70" s="1">
        <f t="shared" si="0"/>
        <v>29</v>
      </c>
    </row>
    <row r="71" spans="1:11" x14ac:dyDescent="0.25">
      <c r="C71" s="1">
        <v>4</v>
      </c>
      <c r="D71" s="1">
        <v>2</v>
      </c>
      <c r="E71" s="1">
        <v>10</v>
      </c>
      <c r="F71" s="1">
        <v>18</v>
      </c>
      <c r="G71" s="1">
        <v>584</v>
      </c>
      <c r="H71" s="1">
        <v>630</v>
      </c>
      <c r="I71" s="1">
        <f t="shared" si="0"/>
        <v>46</v>
      </c>
    </row>
    <row r="72" spans="1:11" x14ac:dyDescent="0.25">
      <c r="A72" s="5">
        <v>1</v>
      </c>
      <c r="B72" s="2">
        <v>43780</v>
      </c>
      <c r="C72" s="1">
        <v>6</v>
      </c>
      <c r="D72" s="1">
        <v>1</v>
      </c>
      <c r="E72" s="1">
        <v>10</v>
      </c>
      <c r="F72" s="1">
        <v>1</v>
      </c>
      <c r="G72" s="1">
        <v>0</v>
      </c>
      <c r="H72" s="1">
        <v>59</v>
      </c>
      <c r="I72" s="1">
        <f t="shared" si="0"/>
        <v>59</v>
      </c>
      <c r="J72" s="8">
        <f>(I72+I73+I74+I87+I86+I85+I79+I80+I78)/9</f>
        <v>31</v>
      </c>
      <c r="K72" s="8">
        <f>AVERAGE(I72:I87)</f>
        <v>28.4375</v>
      </c>
    </row>
    <row r="73" spans="1:11" x14ac:dyDescent="0.25">
      <c r="C73" s="1">
        <v>6</v>
      </c>
      <c r="D73" s="1">
        <v>1</v>
      </c>
      <c r="E73" s="1">
        <v>10</v>
      </c>
      <c r="F73" s="1">
        <v>2</v>
      </c>
      <c r="G73" s="1">
        <v>59</v>
      </c>
      <c r="H73" s="1">
        <v>115</v>
      </c>
      <c r="I73" s="1">
        <f t="shared" si="0"/>
        <v>56</v>
      </c>
    </row>
    <row r="74" spans="1:11" x14ac:dyDescent="0.25">
      <c r="C74" s="1">
        <v>6</v>
      </c>
      <c r="D74" s="1">
        <v>1</v>
      </c>
      <c r="E74" s="1">
        <v>10</v>
      </c>
      <c r="F74" s="1">
        <v>3</v>
      </c>
      <c r="G74" s="1">
        <v>116</v>
      </c>
      <c r="H74" s="1">
        <v>160</v>
      </c>
      <c r="I74" s="1">
        <f t="shared" si="0"/>
        <v>44</v>
      </c>
    </row>
    <row r="75" spans="1:11" x14ac:dyDescent="0.25">
      <c r="C75" s="1">
        <v>6</v>
      </c>
      <c r="D75" s="1">
        <v>1</v>
      </c>
      <c r="E75" s="1">
        <v>10</v>
      </c>
      <c r="F75" s="1">
        <v>4</v>
      </c>
      <c r="G75" s="1">
        <v>161</v>
      </c>
      <c r="H75" s="1">
        <v>215</v>
      </c>
      <c r="I75" s="1">
        <f t="shared" si="0"/>
        <v>54</v>
      </c>
    </row>
    <row r="76" spans="1:11" x14ac:dyDescent="0.25">
      <c r="C76" s="1">
        <v>6</v>
      </c>
      <c r="D76" s="1">
        <v>1</v>
      </c>
      <c r="E76" s="1">
        <v>10</v>
      </c>
      <c r="F76" s="1">
        <v>5</v>
      </c>
      <c r="G76" s="1">
        <v>215</v>
      </c>
      <c r="H76" s="1">
        <v>257</v>
      </c>
      <c r="I76" s="1">
        <f t="shared" si="0"/>
        <v>42</v>
      </c>
    </row>
    <row r="77" spans="1:11" x14ac:dyDescent="0.25">
      <c r="C77" s="1">
        <v>6</v>
      </c>
      <c r="D77" s="1">
        <v>1</v>
      </c>
      <c r="E77" s="1">
        <v>10</v>
      </c>
      <c r="F77" s="1">
        <v>6</v>
      </c>
      <c r="G77" s="1">
        <v>257</v>
      </c>
      <c r="H77" s="1">
        <v>297</v>
      </c>
      <c r="I77" s="1">
        <f t="shared" si="0"/>
        <v>40</v>
      </c>
    </row>
    <row r="78" spans="1:11" x14ac:dyDescent="0.25">
      <c r="C78" s="1">
        <v>6</v>
      </c>
      <c r="D78" s="1">
        <v>1</v>
      </c>
      <c r="E78" s="1">
        <v>10</v>
      </c>
      <c r="F78" s="1">
        <v>7</v>
      </c>
      <c r="G78" s="1">
        <v>297</v>
      </c>
      <c r="H78" s="1">
        <v>340</v>
      </c>
      <c r="I78" s="1">
        <f t="shared" si="0"/>
        <v>43</v>
      </c>
    </row>
    <row r="79" spans="1:11" x14ac:dyDescent="0.25">
      <c r="C79" s="1">
        <v>6</v>
      </c>
      <c r="D79" s="1">
        <v>1</v>
      </c>
      <c r="E79" s="1">
        <v>10</v>
      </c>
      <c r="F79" s="1">
        <v>8</v>
      </c>
      <c r="G79" s="1">
        <v>340</v>
      </c>
      <c r="H79" s="1">
        <v>367</v>
      </c>
      <c r="I79" s="1">
        <f t="shared" si="0"/>
        <v>27</v>
      </c>
    </row>
    <row r="80" spans="1:11" x14ac:dyDescent="0.25">
      <c r="C80" s="1">
        <v>6</v>
      </c>
      <c r="D80" s="1">
        <v>1</v>
      </c>
      <c r="E80" s="1">
        <v>10</v>
      </c>
      <c r="F80" s="1">
        <v>9</v>
      </c>
      <c r="G80" s="1">
        <v>369</v>
      </c>
      <c r="H80" s="1">
        <v>391</v>
      </c>
      <c r="I80" s="1">
        <f t="shared" si="0"/>
        <v>22</v>
      </c>
    </row>
    <row r="81" spans="1:11" x14ac:dyDescent="0.25">
      <c r="C81" s="1">
        <v>6</v>
      </c>
      <c r="D81" s="1">
        <v>1</v>
      </c>
      <c r="E81" s="1">
        <v>10</v>
      </c>
      <c r="F81" s="1">
        <v>10</v>
      </c>
      <c r="G81" s="1">
        <v>394</v>
      </c>
      <c r="H81" s="1">
        <v>418</v>
      </c>
      <c r="I81" s="1">
        <f t="shared" si="0"/>
        <v>24</v>
      </c>
    </row>
    <row r="82" spans="1:11" x14ac:dyDescent="0.25">
      <c r="C82" s="1">
        <v>6</v>
      </c>
      <c r="D82" s="1">
        <v>1</v>
      </c>
      <c r="E82" s="1">
        <v>10</v>
      </c>
      <c r="F82" s="1">
        <v>11</v>
      </c>
      <c r="G82" s="1">
        <v>418</v>
      </c>
      <c r="H82" s="1">
        <v>421</v>
      </c>
      <c r="I82" s="1">
        <f t="shared" si="0"/>
        <v>3</v>
      </c>
    </row>
    <row r="83" spans="1:11" x14ac:dyDescent="0.25">
      <c r="C83" s="1">
        <v>6</v>
      </c>
      <c r="D83" s="1">
        <v>1</v>
      </c>
      <c r="E83" s="1">
        <v>10</v>
      </c>
      <c r="F83" s="1">
        <v>12</v>
      </c>
      <c r="G83" s="1">
        <v>421</v>
      </c>
      <c r="H83" s="1">
        <v>434</v>
      </c>
      <c r="I83" s="1">
        <f t="shared" si="0"/>
        <v>13</v>
      </c>
    </row>
    <row r="84" spans="1:11" x14ac:dyDescent="0.25">
      <c r="C84" s="1">
        <v>6</v>
      </c>
      <c r="D84" s="1">
        <v>1</v>
      </c>
      <c r="E84" s="1">
        <v>10</v>
      </c>
      <c r="F84" s="1">
        <v>13</v>
      </c>
      <c r="G84" s="1">
        <v>436</v>
      </c>
      <c r="H84" s="1">
        <v>436</v>
      </c>
      <c r="I84" s="1">
        <f t="shared" si="0"/>
        <v>0</v>
      </c>
    </row>
    <row r="85" spans="1:11" x14ac:dyDescent="0.25">
      <c r="C85" s="1">
        <v>6</v>
      </c>
      <c r="D85" s="1">
        <v>1</v>
      </c>
      <c r="E85" s="1">
        <v>10</v>
      </c>
      <c r="F85" s="1">
        <v>14</v>
      </c>
      <c r="G85" s="1">
        <v>436</v>
      </c>
      <c r="H85" s="1">
        <v>436</v>
      </c>
      <c r="I85" s="1">
        <f t="shared" si="0"/>
        <v>0</v>
      </c>
    </row>
    <row r="86" spans="1:11" x14ac:dyDescent="0.25">
      <c r="C86" s="1">
        <v>6</v>
      </c>
      <c r="D86" s="1">
        <v>1</v>
      </c>
      <c r="E86" s="1">
        <v>10</v>
      </c>
      <c r="F86" s="1">
        <v>15</v>
      </c>
      <c r="G86" s="1">
        <v>436</v>
      </c>
      <c r="H86" s="1">
        <v>436</v>
      </c>
      <c r="I86" s="1">
        <f t="shared" si="0"/>
        <v>0</v>
      </c>
    </row>
    <row r="87" spans="1:11" x14ac:dyDescent="0.25">
      <c r="C87" s="1">
        <v>6</v>
      </c>
      <c r="D87" s="1">
        <v>1</v>
      </c>
      <c r="E87" s="1">
        <v>10</v>
      </c>
      <c r="F87" s="1">
        <v>16</v>
      </c>
      <c r="G87" s="1">
        <v>436</v>
      </c>
      <c r="H87" s="1">
        <v>464</v>
      </c>
      <c r="I87" s="1">
        <f t="shared" si="0"/>
        <v>28</v>
      </c>
    </row>
    <row r="88" spans="1:11" x14ac:dyDescent="0.25">
      <c r="A88" s="5">
        <v>1</v>
      </c>
      <c r="B88" s="2">
        <v>43784</v>
      </c>
      <c r="C88" s="1">
        <v>7</v>
      </c>
      <c r="D88" s="1">
        <v>1</v>
      </c>
      <c r="E88" s="1">
        <v>10</v>
      </c>
      <c r="F88" s="1">
        <v>1</v>
      </c>
      <c r="G88" s="1">
        <v>10</v>
      </c>
      <c r="H88" s="1">
        <v>59</v>
      </c>
      <c r="I88" s="1">
        <f t="shared" si="0"/>
        <v>49</v>
      </c>
      <c r="J88" s="8">
        <f>(I88+I89+I90+I105+I104+I103+I97+I96+I95)/9</f>
        <v>48</v>
      </c>
      <c r="K88" s="8">
        <f>AVERAGE(I88:I105)</f>
        <v>45.166666666666664</v>
      </c>
    </row>
    <row r="89" spans="1:11" x14ac:dyDescent="0.25">
      <c r="C89" s="1">
        <v>7</v>
      </c>
      <c r="D89" s="1">
        <v>1</v>
      </c>
      <c r="E89" s="1">
        <v>10</v>
      </c>
      <c r="F89" s="1">
        <v>2</v>
      </c>
      <c r="G89" s="1">
        <v>59</v>
      </c>
      <c r="H89" s="1">
        <v>67</v>
      </c>
      <c r="I89" s="1">
        <f t="shared" si="0"/>
        <v>8</v>
      </c>
    </row>
    <row r="90" spans="1:11" x14ac:dyDescent="0.25">
      <c r="C90" s="1">
        <v>7</v>
      </c>
      <c r="D90" s="1">
        <v>1</v>
      </c>
      <c r="E90" s="1">
        <v>10</v>
      </c>
      <c r="F90" s="1">
        <v>3</v>
      </c>
      <c r="G90" s="1">
        <v>67</v>
      </c>
      <c r="H90" s="1">
        <v>160</v>
      </c>
      <c r="I90" s="1">
        <f t="shared" si="0"/>
        <v>93</v>
      </c>
    </row>
    <row r="91" spans="1:11" x14ac:dyDescent="0.25">
      <c r="C91" s="1">
        <v>7</v>
      </c>
      <c r="D91" s="1">
        <v>1</v>
      </c>
      <c r="E91" s="1">
        <v>10</v>
      </c>
      <c r="F91" s="1">
        <v>4</v>
      </c>
      <c r="G91" s="1">
        <v>160</v>
      </c>
      <c r="H91" s="1">
        <v>166</v>
      </c>
      <c r="I91" s="1">
        <f t="shared" si="0"/>
        <v>6</v>
      </c>
    </row>
    <row r="92" spans="1:11" x14ac:dyDescent="0.25">
      <c r="C92" s="1">
        <v>7</v>
      </c>
      <c r="D92" s="1">
        <v>1</v>
      </c>
      <c r="E92" s="1">
        <v>10</v>
      </c>
      <c r="F92" s="1">
        <v>5</v>
      </c>
      <c r="G92" s="1">
        <v>166</v>
      </c>
      <c r="H92" s="1">
        <v>213</v>
      </c>
      <c r="I92" s="1">
        <f t="shared" si="0"/>
        <v>47</v>
      </c>
    </row>
    <row r="93" spans="1:11" x14ac:dyDescent="0.25">
      <c r="C93" s="1">
        <v>7</v>
      </c>
      <c r="D93" s="1">
        <v>1</v>
      </c>
      <c r="E93" s="1">
        <v>10</v>
      </c>
      <c r="F93" s="1">
        <v>6</v>
      </c>
      <c r="G93" s="1">
        <v>213</v>
      </c>
      <c r="H93" s="1">
        <v>250</v>
      </c>
      <c r="I93" s="1">
        <f t="shared" si="0"/>
        <v>37</v>
      </c>
    </row>
    <row r="94" spans="1:11" x14ac:dyDescent="0.25">
      <c r="C94" s="1">
        <v>7</v>
      </c>
      <c r="D94" s="1">
        <v>1</v>
      </c>
      <c r="E94" s="1">
        <v>10</v>
      </c>
      <c r="F94" s="1">
        <v>7</v>
      </c>
      <c r="G94" s="1">
        <v>251</v>
      </c>
      <c r="H94" s="1">
        <v>304</v>
      </c>
      <c r="I94" s="1">
        <f t="shared" si="0"/>
        <v>53</v>
      </c>
    </row>
    <row r="95" spans="1:11" x14ac:dyDescent="0.25">
      <c r="C95" s="1">
        <v>7</v>
      </c>
      <c r="D95" s="1">
        <v>1</v>
      </c>
      <c r="E95" s="1">
        <v>10</v>
      </c>
      <c r="F95" s="1">
        <v>8</v>
      </c>
      <c r="G95" s="1">
        <v>304</v>
      </c>
      <c r="H95" s="1">
        <v>352</v>
      </c>
      <c r="I95" s="1">
        <f t="shared" si="0"/>
        <v>48</v>
      </c>
    </row>
    <row r="96" spans="1:11" x14ac:dyDescent="0.25">
      <c r="C96" s="1">
        <v>7</v>
      </c>
      <c r="D96" s="1">
        <v>1</v>
      </c>
      <c r="E96" s="1">
        <v>10</v>
      </c>
      <c r="F96" s="1">
        <v>9</v>
      </c>
      <c r="G96" s="1">
        <v>355</v>
      </c>
      <c r="H96" s="1">
        <v>399</v>
      </c>
      <c r="I96" s="1">
        <f t="shared" si="0"/>
        <v>44</v>
      </c>
    </row>
    <row r="97" spans="1:11" x14ac:dyDescent="0.25">
      <c r="C97" s="1">
        <v>7</v>
      </c>
      <c r="D97" s="1">
        <v>1</v>
      </c>
      <c r="E97" s="1">
        <v>10</v>
      </c>
      <c r="F97" s="1">
        <v>10</v>
      </c>
      <c r="G97" s="1">
        <v>399</v>
      </c>
      <c r="H97" s="1">
        <v>446</v>
      </c>
      <c r="I97" s="1">
        <f t="shared" si="0"/>
        <v>47</v>
      </c>
    </row>
    <row r="98" spans="1:11" x14ac:dyDescent="0.25">
      <c r="C98" s="1">
        <v>7</v>
      </c>
      <c r="D98" s="1">
        <v>1</v>
      </c>
      <c r="E98" s="1">
        <v>10</v>
      </c>
      <c r="F98" s="1">
        <v>11</v>
      </c>
      <c r="G98" s="1">
        <v>446</v>
      </c>
      <c r="H98" s="1">
        <v>501</v>
      </c>
      <c r="I98" s="1">
        <f t="shared" si="0"/>
        <v>55</v>
      </c>
    </row>
    <row r="99" spans="1:11" x14ac:dyDescent="0.25">
      <c r="C99" s="1">
        <v>7</v>
      </c>
      <c r="D99" s="1">
        <v>1</v>
      </c>
      <c r="E99" s="1">
        <v>10</v>
      </c>
      <c r="F99" s="1">
        <v>12</v>
      </c>
      <c r="G99" s="1">
        <v>501</v>
      </c>
      <c r="H99" s="1">
        <v>552</v>
      </c>
      <c r="I99" s="1">
        <f t="shared" si="0"/>
        <v>51</v>
      </c>
    </row>
    <row r="100" spans="1:11" x14ac:dyDescent="0.25">
      <c r="C100" s="1">
        <v>7</v>
      </c>
      <c r="D100" s="1">
        <v>1</v>
      </c>
      <c r="E100" s="1">
        <v>10</v>
      </c>
      <c r="F100" s="1">
        <v>13</v>
      </c>
      <c r="G100" s="1">
        <v>552</v>
      </c>
      <c r="H100" s="1">
        <v>596</v>
      </c>
      <c r="I100" s="1">
        <f t="shared" si="0"/>
        <v>44</v>
      </c>
    </row>
    <row r="101" spans="1:11" x14ac:dyDescent="0.25">
      <c r="C101" s="1">
        <v>7</v>
      </c>
      <c r="D101" s="1">
        <v>1</v>
      </c>
      <c r="E101" s="1">
        <v>10</v>
      </c>
      <c r="F101" s="1">
        <v>14</v>
      </c>
      <c r="G101" s="1">
        <v>601</v>
      </c>
      <c r="H101" s="1">
        <v>642</v>
      </c>
      <c r="I101" s="1">
        <f t="shared" si="0"/>
        <v>41</v>
      </c>
    </row>
    <row r="102" spans="1:11" x14ac:dyDescent="0.25">
      <c r="C102" s="1">
        <v>7</v>
      </c>
      <c r="D102" s="1">
        <v>1</v>
      </c>
      <c r="E102" s="1">
        <v>10</v>
      </c>
      <c r="F102" s="1">
        <v>15</v>
      </c>
      <c r="G102" s="1">
        <v>643</v>
      </c>
      <c r="H102" s="1">
        <v>690</v>
      </c>
      <c r="I102" s="1">
        <f t="shared" si="0"/>
        <v>47</v>
      </c>
    </row>
    <row r="103" spans="1:11" x14ac:dyDescent="0.25">
      <c r="C103" s="1">
        <v>7</v>
      </c>
      <c r="D103" s="1">
        <v>1</v>
      </c>
      <c r="E103" s="1">
        <v>10</v>
      </c>
      <c r="F103" s="1">
        <v>16</v>
      </c>
      <c r="G103" s="1">
        <v>691</v>
      </c>
      <c r="H103" s="1">
        <v>737</v>
      </c>
      <c r="I103" s="1">
        <f t="shared" si="0"/>
        <v>46</v>
      </c>
    </row>
    <row r="104" spans="1:11" x14ac:dyDescent="0.25">
      <c r="C104" s="1">
        <v>7</v>
      </c>
      <c r="D104" s="1">
        <v>1</v>
      </c>
      <c r="E104" s="1">
        <v>10</v>
      </c>
      <c r="F104" s="1">
        <v>17</v>
      </c>
      <c r="G104" s="1">
        <v>740</v>
      </c>
      <c r="H104" s="1">
        <v>795</v>
      </c>
      <c r="I104" s="1">
        <f t="shared" si="0"/>
        <v>55</v>
      </c>
    </row>
    <row r="105" spans="1:11" x14ac:dyDescent="0.25">
      <c r="C105" s="1">
        <v>7</v>
      </c>
      <c r="D105" s="1">
        <v>1</v>
      </c>
      <c r="E105" s="1">
        <v>10</v>
      </c>
      <c r="F105" s="1">
        <v>18</v>
      </c>
      <c r="G105" s="1">
        <v>800</v>
      </c>
      <c r="H105" s="1">
        <v>842</v>
      </c>
      <c r="I105" s="1">
        <f t="shared" si="0"/>
        <v>42</v>
      </c>
    </row>
    <row r="106" spans="1:11" x14ac:dyDescent="0.25">
      <c r="A106" s="5">
        <v>2</v>
      </c>
      <c r="B106" s="2">
        <v>43789</v>
      </c>
      <c r="C106" s="1">
        <v>1</v>
      </c>
      <c r="D106" s="1">
        <v>1</v>
      </c>
      <c r="E106" s="1">
        <v>10</v>
      </c>
      <c r="F106" s="1">
        <v>1</v>
      </c>
      <c r="G106" s="1">
        <v>0</v>
      </c>
      <c r="H106" s="1">
        <v>49</v>
      </c>
      <c r="I106" s="1">
        <f t="shared" si="0"/>
        <v>49</v>
      </c>
      <c r="J106" s="8">
        <f>(I106+I107+I108+I123+I122+I121+I114+I115+I113)/9</f>
        <v>33</v>
      </c>
      <c r="K106" s="8">
        <f>AVERAGE(I106:I123)</f>
        <v>36.444444444444443</v>
      </c>
    </row>
    <row r="107" spans="1:11" x14ac:dyDescent="0.25">
      <c r="C107" s="1">
        <v>1</v>
      </c>
      <c r="D107" s="1">
        <v>1</v>
      </c>
      <c r="E107" s="1">
        <v>10</v>
      </c>
      <c r="F107" s="1">
        <v>2</v>
      </c>
      <c r="G107" s="1">
        <v>49</v>
      </c>
      <c r="H107" s="1">
        <v>96</v>
      </c>
      <c r="I107" s="1">
        <f t="shared" si="0"/>
        <v>47</v>
      </c>
    </row>
    <row r="108" spans="1:11" x14ac:dyDescent="0.25">
      <c r="C108" s="1">
        <v>1</v>
      </c>
      <c r="D108" s="1">
        <v>1</v>
      </c>
      <c r="E108" s="1">
        <v>10</v>
      </c>
      <c r="F108" s="1">
        <v>3</v>
      </c>
      <c r="G108" s="1">
        <v>96</v>
      </c>
      <c r="H108" s="1">
        <v>134</v>
      </c>
      <c r="I108" s="1">
        <f t="shared" si="0"/>
        <v>38</v>
      </c>
    </row>
    <row r="109" spans="1:11" x14ac:dyDescent="0.25">
      <c r="C109" s="1">
        <v>1</v>
      </c>
      <c r="D109" s="1">
        <v>1</v>
      </c>
      <c r="E109" s="1">
        <v>10</v>
      </c>
      <c r="F109" s="1">
        <v>4</v>
      </c>
      <c r="G109" s="1">
        <v>134</v>
      </c>
      <c r="H109" s="1">
        <v>177</v>
      </c>
      <c r="I109" s="1">
        <f t="shared" si="0"/>
        <v>43</v>
      </c>
    </row>
    <row r="110" spans="1:11" x14ac:dyDescent="0.25">
      <c r="C110" s="1">
        <v>1</v>
      </c>
      <c r="D110" s="1">
        <v>1</v>
      </c>
      <c r="E110" s="1">
        <v>10</v>
      </c>
      <c r="F110" s="1">
        <v>5</v>
      </c>
      <c r="G110" s="1">
        <v>184</v>
      </c>
      <c r="H110" s="1">
        <v>231</v>
      </c>
      <c r="I110" s="1">
        <f t="shared" si="0"/>
        <v>47</v>
      </c>
    </row>
    <row r="111" spans="1:11" x14ac:dyDescent="0.25">
      <c r="C111" s="1">
        <v>1</v>
      </c>
      <c r="D111" s="1">
        <v>1</v>
      </c>
      <c r="E111" s="1">
        <v>10</v>
      </c>
      <c r="F111" s="1">
        <v>6</v>
      </c>
      <c r="G111" s="1">
        <v>231</v>
      </c>
      <c r="H111" s="1">
        <v>267</v>
      </c>
      <c r="I111" s="1">
        <f t="shared" si="0"/>
        <v>36</v>
      </c>
    </row>
    <row r="112" spans="1:11" x14ac:dyDescent="0.25">
      <c r="C112" s="1">
        <v>1</v>
      </c>
      <c r="D112" s="1">
        <v>1</v>
      </c>
      <c r="E112" s="1">
        <v>10</v>
      </c>
      <c r="F112" s="1">
        <v>7</v>
      </c>
      <c r="G112" s="1">
        <v>267</v>
      </c>
      <c r="H112" s="1">
        <v>313</v>
      </c>
      <c r="I112" s="1">
        <f t="shared" si="0"/>
        <v>46</v>
      </c>
    </row>
    <row r="113" spans="1:11" x14ac:dyDescent="0.25">
      <c r="C113" s="1">
        <v>1</v>
      </c>
      <c r="D113" s="1">
        <v>1</v>
      </c>
      <c r="E113" s="1">
        <v>10</v>
      </c>
      <c r="F113" s="1">
        <v>8</v>
      </c>
      <c r="G113" s="1">
        <v>313</v>
      </c>
      <c r="H113" s="1">
        <v>361</v>
      </c>
      <c r="I113" s="1">
        <f t="shared" si="0"/>
        <v>48</v>
      </c>
    </row>
    <row r="114" spans="1:11" x14ac:dyDescent="0.25">
      <c r="C114" s="1">
        <v>1</v>
      </c>
      <c r="D114" s="1">
        <v>1</v>
      </c>
      <c r="E114" s="1">
        <v>10</v>
      </c>
      <c r="F114" s="1">
        <v>9</v>
      </c>
      <c r="G114" s="1">
        <v>362</v>
      </c>
      <c r="H114" s="1">
        <v>376</v>
      </c>
      <c r="I114" s="1">
        <f t="shared" si="0"/>
        <v>14</v>
      </c>
    </row>
    <row r="115" spans="1:11" x14ac:dyDescent="0.25">
      <c r="C115" s="1">
        <v>1</v>
      </c>
      <c r="D115" s="1">
        <v>1</v>
      </c>
      <c r="E115" s="1">
        <v>10</v>
      </c>
      <c r="F115" s="1">
        <v>10</v>
      </c>
      <c r="G115" s="1">
        <v>404</v>
      </c>
      <c r="H115" s="1">
        <v>447</v>
      </c>
      <c r="I115" s="1">
        <f t="shared" si="0"/>
        <v>43</v>
      </c>
    </row>
    <row r="116" spans="1:11" x14ac:dyDescent="0.25">
      <c r="C116" s="1">
        <v>1</v>
      </c>
      <c r="D116" s="1">
        <v>1</v>
      </c>
      <c r="E116" s="1">
        <v>10</v>
      </c>
      <c r="F116" s="1">
        <v>11</v>
      </c>
      <c r="G116" s="1">
        <v>454</v>
      </c>
      <c r="H116" s="1">
        <v>497</v>
      </c>
      <c r="I116" s="1">
        <f t="shared" si="0"/>
        <v>43</v>
      </c>
    </row>
    <row r="117" spans="1:11" x14ac:dyDescent="0.25">
      <c r="C117" s="1">
        <v>1</v>
      </c>
      <c r="D117" s="1">
        <v>1</v>
      </c>
      <c r="E117" s="1">
        <v>10</v>
      </c>
      <c r="F117" s="1">
        <v>12</v>
      </c>
      <c r="G117" s="1">
        <v>499</v>
      </c>
      <c r="H117" s="1">
        <v>543</v>
      </c>
      <c r="I117" s="1">
        <f t="shared" si="0"/>
        <v>44</v>
      </c>
    </row>
    <row r="118" spans="1:11" x14ac:dyDescent="0.25">
      <c r="C118" s="1">
        <v>1</v>
      </c>
      <c r="D118" s="1">
        <v>1</v>
      </c>
      <c r="E118" s="1">
        <v>10</v>
      </c>
      <c r="F118" s="1">
        <v>13</v>
      </c>
      <c r="G118" s="1">
        <v>543</v>
      </c>
      <c r="H118" s="1">
        <v>584</v>
      </c>
      <c r="I118" s="1">
        <f t="shared" si="0"/>
        <v>41</v>
      </c>
    </row>
    <row r="119" spans="1:11" x14ac:dyDescent="0.25">
      <c r="C119" s="1">
        <v>1</v>
      </c>
      <c r="D119" s="1">
        <v>1</v>
      </c>
      <c r="E119" s="1">
        <v>10</v>
      </c>
      <c r="F119" s="1">
        <v>14</v>
      </c>
      <c r="G119" s="1">
        <v>584</v>
      </c>
      <c r="H119" s="1">
        <v>612</v>
      </c>
      <c r="I119" s="1">
        <f t="shared" si="0"/>
        <v>28</v>
      </c>
    </row>
    <row r="120" spans="1:11" x14ac:dyDescent="0.25">
      <c r="C120" s="1">
        <v>1</v>
      </c>
      <c r="D120" s="1">
        <v>1</v>
      </c>
      <c r="E120" s="1">
        <v>10</v>
      </c>
      <c r="F120" s="1">
        <v>15</v>
      </c>
      <c r="G120" s="1">
        <v>612</v>
      </c>
      <c r="H120" s="1">
        <v>643</v>
      </c>
      <c r="I120" s="1">
        <f t="shared" si="0"/>
        <v>31</v>
      </c>
    </row>
    <row r="121" spans="1:11" x14ac:dyDescent="0.25">
      <c r="C121" s="1">
        <v>1</v>
      </c>
      <c r="D121" s="1">
        <v>1</v>
      </c>
      <c r="E121" s="1">
        <v>10</v>
      </c>
      <c r="F121" s="1">
        <v>16</v>
      </c>
      <c r="G121" s="1">
        <v>645</v>
      </c>
      <c r="H121" s="1">
        <v>672</v>
      </c>
      <c r="I121" s="1">
        <f t="shared" si="0"/>
        <v>27</v>
      </c>
    </row>
    <row r="122" spans="1:11" x14ac:dyDescent="0.25">
      <c r="C122" s="1">
        <v>1</v>
      </c>
      <c r="D122" s="1">
        <v>1</v>
      </c>
      <c r="E122" s="1">
        <v>10</v>
      </c>
      <c r="F122" s="1">
        <v>17</v>
      </c>
      <c r="G122" s="1">
        <v>672</v>
      </c>
      <c r="H122" s="1">
        <v>674</v>
      </c>
      <c r="I122" s="1">
        <f t="shared" si="0"/>
        <v>2</v>
      </c>
    </row>
    <row r="123" spans="1:11" x14ac:dyDescent="0.25">
      <c r="C123" s="1">
        <v>1</v>
      </c>
      <c r="D123" s="1">
        <v>1</v>
      </c>
      <c r="E123" s="1">
        <v>10</v>
      </c>
      <c r="F123" s="1">
        <v>18</v>
      </c>
      <c r="G123" s="1">
        <v>674</v>
      </c>
      <c r="H123" s="1">
        <v>703</v>
      </c>
      <c r="I123" s="1">
        <f t="shared" si="0"/>
        <v>29</v>
      </c>
    </row>
    <row r="124" spans="1:11" x14ac:dyDescent="0.25">
      <c r="A124" s="5">
        <v>2</v>
      </c>
      <c r="B124" s="2">
        <v>43787</v>
      </c>
      <c r="C124" s="1">
        <v>2</v>
      </c>
      <c r="D124" s="1">
        <v>2</v>
      </c>
      <c r="E124" s="1">
        <v>10</v>
      </c>
      <c r="F124" s="1">
        <v>1</v>
      </c>
      <c r="G124" s="1">
        <v>0</v>
      </c>
      <c r="H124" s="1">
        <v>34</v>
      </c>
      <c r="I124" s="1">
        <f t="shared" si="0"/>
        <v>34</v>
      </c>
      <c r="J124" s="8">
        <f>(I124+I125+I126+I141+I140+I139+I132+I133+I134)/9</f>
        <v>28.444444444444443</v>
      </c>
      <c r="K124" s="8">
        <f>AVERAGE(I124:I141)</f>
        <v>31.777777777777779</v>
      </c>
    </row>
    <row r="125" spans="1:11" x14ac:dyDescent="0.25">
      <c r="C125" s="1">
        <v>2</v>
      </c>
      <c r="D125" s="1">
        <v>2</v>
      </c>
      <c r="E125" s="1">
        <v>10</v>
      </c>
      <c r="F125" s="1">
        <v>2</v>
      </c>
      <c r="G125" s="1">
        <v>34</v>
      </c>
      <c r="H125" s="1">
        <v>59</v>
      </c>
      <c r="I125" s="1">
        <f t="shared" si="0"/>
        <v>25</v>
      </c>
    </row>
    <row r="126" spans="1:11" x14ac:dyDescent="0.25">
      <c r="C126" s="1">
        <v>2</v>
      </c>
      <c r="D126" s="1">
        <v>2</v>
      </c>
      <c r="E126" s="1">
        <v>10</v>
      </c>
      <c r="F126" s="1">
        <v>3</v>
      </c>
      <c r="G126" s="1">
        <v>59</v>
      </c>
      <c r="H126" s="1">
        <v>85</v>
      </c>
      <c r="I126" s="1">
        <f t="shared" si="0"/>
        <v>26</v>
      </c>
    </row>
    <row r="127" spans="1:11" x14ac:dyDescent="0.25">
      <c r="C127" s="1">
        <v>2</v>
      </c>
      <c r="D127" s="1">
        <v>2</v>
      </c>
      <c r="E127" s="1">
        <v>10</v>
      </c>
      <c r="F127" s="1">
        <v>4</v>
      </c>
      <c r="G127" s="1">
        <v>85</v>
      </c>
      <c r="H127" s="1">
        <v>126</v>
      </c>
      <c r="I127" s="1">
        <f t="shared" si="0"/>
        <v>41</v>
      </c>
    </row>
    <row r="128" spans="1:11" x14ac:dyDescent="0.25">
      <c r="C128" s="1">
        <v>2</v>
      </c>
      <c r="D128" s="1">
        <v>2</v>
      </c>
      <c r="E128" s="1">
        <v>10</v>
      </c>
      <c r="F128" s="1">
        <v>5</v>
      </c>
      <c r="G128" s="1">
        <v>126</v>
      </c>
      <c r="H128" s="1">
        <v>161</v>
      </c>
      <c r="I128" s="1">
        <f t="shared" si="0"/>
        <v>35</v>
      </c>
    </row>
    <row r="129" spans="1:11" x14ac:dyDescent="0.25">
      <c r="C129" s="1">
        <v>2</v>
      </c>
      <c r="D129" s="1">
        <v>2</v>
      </c>
      <c r="E129" s="1">
        <v>10</v>
      </c>
      <c r="F129" s="1">
        <v>6</v>
      </c>
      <c r="G129" s="1">
        <v>161</v>
      </c>
      <c r="H129" s="1">
        <v>195</v>
      </c>
      <c r="I129" s="1">
        <f t="shared" si="0"/>
        <v>34</v>
      </c>
    </row>
    <row r="130" spans="1:11" x14ac:dyDescent="0.25">
      <c r="C130" s="1">
        <v>2</v>
      </c>
      <c r="D130" s="1">
        <v>2</v>
      </c>
      <c r="E130" s="1">
        <v>10</v>
      </c>
      <c r="F130" s="1">
        <v>7</v>
      </c>
      <c r="G130" s="1">
        <v>198</v>
      </c>
      <c r="H130" s="1">
        <v>231</v>
      </c>
      <c r="I130" s="1">
        <f t="shared" si="0"/>
        <v>33</v>
      </c>
    </row>
    <row r="131" spans="1:11" x14ac:dyDescent="0.25">
      <c r="C131" s="1">
        <v>2</v>
      </c>
      <c r="D131" s="1">
        <v>2</v>
      </c>
      <c r="E131" s="1">
        <v>10</v>
      </c>
      <c r="F131" s="1">
        <v>8</v>
      </c>
      <c r="G131" s="1">
        <v>231</v>
      </c>
      <c r="H131" s="1">
        <v>262</v>
      </c>
      <c r="I131" s="1">
        <f t="shared" si="0"/>
        <v>31</v>
      </c>
    </row>
    <row r="132" spans="1:11" x14ac:dyDescent="0.25">
      <c r="C132" s="1">
        <v>2</v>
      </c>
      <c r="D132" s="1">
        <v>2</v>
      </c>
      <c r="E132" s="1">
        <v>10</v>
      </c>
      <c r="F132" s="1">
        <v>9</v>
      </c>
      <c r="G132" s="1">
        <v>264</v>
      </c>
      <c r="H132" s="1">
        <v>300</v>
      </c>
      <c r="I132" s="1">
        <f t="shared" si="0"/>
        <v>36</v>
      </c>
    </row>
    <row r="133" spans="1:11" x14ac:dyDescent="0.25">
      <c r="C133" s="1">
        <v>2</v>
      </c>
      <c r="D133" s="1">
        <v>2</v>
      </c>
      <c r="E133" s="1">
        <v>10</v>
      </c>
      <c r="F133" s="1">
        <v>10</v>
      </c>
      <c r="G133" s="1">
        <v>301</v>
      </c>
      <c r="H133" s="1">
        <v>332</v>
      </c>
      <c r="I133" s="1">
        <f t="shared" si="0"/>
        <v>31</v>
      </c>
    </row>
    <row r="134" spans="1:11" x14ac:dyDescent="0.25">
      <c r="C134" s="1">
        <v>2</v>
      </c>
      <c r="D134" s="1">
        <v>2</v>
      </c>
      <c r="E134" s="1">
        <v>10</v>
      </c>
      <c r="F134" s="1">
        <v>11</v>
      </c>
      <c r="G134" s="1">
        <v>334</v>
      </c>
      <c r="H134" s="1">
        <v>361</v>
      </c>
      <c r="I134" s="1">
        <f t="shared" si="0"/>
        <v>27</v>
      </c>
    </row>
    <row r="135" spans="1:11" x14ac:dyDescent="0.25">
      <c r="C135" s="1">
        <v>2</v>
      </c>
      <c r="D135" s="1">
        <v>2</v>
      </c>
      <c r="E135" s="1">
        <v>10</v>
      </c>
      <c r="F135" s="1">
        <v>12</v>
      </c>
      <c r="G135" s="1">
        <v>363</v>
      </c>
      <c r="H135" s="1">
        <v>404</v>
      </c>
      <c r="I135" s="1">
        <f t="shared" si="0"/>
        <v>41</v>
      </c>
    </row>
    <row r="136" spans="1:11" x14ac:dyDescent="0.25">
      <c r="C136" s="1">
        <v>2</v>
      </c>
      <c r="D136" s="1">
        <v>2</v>
      </c>
      <c r="E136" s="1">
        <v>10</v>
      </c>
      <c r="F136" s="1">
        <v>13</v>
      </c>
      <c r="G136" s="1">
        <v>404</v>
      </c>
      <c r="H136" s="1">
        <v>444</v>
      </c>
      <c r="I136" s="1">
        <f t="shared" si="0"/>
        <v>40</v>
      </c>
    </row>
    <row r="137" spans="1:11" x14ac:dyDescent="0.25">
      <c r="C137" s="1">
        <v>2</v>
      </c>
      <c r="D137" s="1">
        <v>2</v>
      </c>
      <c r="E137" s="1">
        <v>10</v>
      </c>
      <c r="F137" s="1">
        <v>14</v>
      </c>
      <c r="G137" s="1">
        <v>444</v>
      </c>
      <c r="H137" s="1">
        <v>475</v>
      </c>
      <c r="I137" s="1">
        <f t="shared" si="0"/>
        <v>31</v>
      </c>
    </row>
    <row r="138" spans="1:11" x14ac:dyDescent="0.25">
      <c r="C138" s="1">
        <v>2</v>
      </c>
      <c r="D138" s="1">
        <v>2</v>
      </c>
      <c r="E138" s="1">
        <v>10</v>
      </c>
      <c r="F138" s="1">
        <v>15</v>
      </c>
      <c r="G138" s="1">
        <v>477</v>
      </c>
      <c r="H138" s="1">
        <v>507</v>
      </c>
      <c r="I138" s="1">
        <f t="shared" si="0"/>
        <v>30</v>
      </c>
    </row>
    <row r="139" spans="1:11" x14ac:dyDescent="0.25">
      <c r="C139" s="1">
        <v>2</v>
      </c>
      <c r="D139" s="1">
        <v>2</v>
      </c>
      <c r="E139" s="1">
        <v>10</v>
      </c>
      <c r="F139" s="1">
        <v>16</v>
      </c>
      <c r="G139" s="1">
        <v>507</v>
      </c>
      <c r="H139" s="1">
        <v>541</v>
      </c>
      <c r="I139" s="1">
        <f t="shared" si="0"/>
        <v>34</v>
      </c>
    </row>
    <row r="140" spans="1:11" x14ac:dyDescent="0.25">
      <c r="C140" s="1">
        <v>2</v>
      </c>
      <c r="D140" s="1">
        <v>2</v>
      </c>
      <c r="E140" s="1">
        <v>10</v>
      </c>
      <c r="F140" s="1">
        <v>17</v>
      </c>
      <c r="G140" s="1">
        <v>541</v>
      </c>
      <c r="H140" s="1">
        <v>569</v>
      </c>
      <c r="I140" s="1">
        <f t="shared" si="0"/>
        <v>28</v>
      </c>
    </row>
    <row r="141" spans="1:11" x14ac:dyDescent="0.25">
      <c r="C141" s="1">
        <v>2</v>
      </c>
      <c r="D141" s="1">
        <v>2</v>
      </c>
      <c r="E141" s="1">
        <v>10</v>
      </c>
      <c r="F141" s="1">
        <v>18</v>
      </c>
      <c r="G141" s="1">
        <v>572</v>
      </c>
      <c r="H141" s="1">
        <v>587</v>
      </c>
      <c r="I141" s="1">
        <f t="shared" si="0"/>
        <v>15</v>
      </c>
    </row>
    <row r="142" spans="1:11" x14ac:dyDescent="0.25">
      <c r="A142" s="5">
        <v>2</v>
      </c>
      <c r="B142" s="2">
        <v>43791</v>
      </c>
      <c r="C142" s="1">
        <v>3</v>
      </c>
      <c r="D142" s="1">
        <v>1</v>
      </c>
      <c r="E142" s="1">
        <v>10</v>
      </c>
      <c r="F142" s="1">
        <v>1</v>
      </c>
      <c r="G142" s="1">
        <v>5</v>
      </c>
      <c r="H142" s="1">
        <v>53</v>
      </c>
      <c r="I142" s="1">
        <f t="shared" si="0"/>
        <v>48</v>
      </c>
      <c r="J142" s="8">
        <f>(I142+I143+I144+I160+I159+I158+I151+I150+I152)/9</f>
        <v>43.444444444444443</v>
      </c>
      <c r="K142" s="8">
        <f>AVERAGE(I142:I160)</f>
        <v>42.473684210526315</v>
      </c>
    </row>
    <row r="143" spans="1:11" x14ac:dyDescent="0.25">
      <c r="C143" s="1">
        <v>3</v>
      </c>
      <c r="D143" s="1">
        <v>1</v>
      </c>
      <c r="E143" s="1">
        <v>10</v>
      </c>
      <c r="F143" s="1">
        <v>2</v>
      </c>
      <c r="G143" s="1">
        <v>56</v>
      </c>
      <c r="H143" s="1">
        <v>107</v>
      </c>
      <c r="I143" s="1">
        <f t="shared" si="0"/>
        <v>51</v>
      </c>
    </row>
    <row r="144" spans="1:11" x14ac:dyDescent="0.25">
      <c r="C144" s="1">
        <v>3</v>
      </c>
      <c r="D144" s="1">
        <v>1</v>
      </c>
      <c r="E144" s="1">
        <v>10</v>
      </c>
      <c r="F144" s="1">
        <v>3</v>
      </c>
      <c r="G144" s="1">
        <v>110</v>
      </c>
      <c r="H144" s="1">
        <v>158</v>
      </c>
      <c r="I144" s="1">
        <f t="shared" si="0"/>
        <v>48</v>
      </c>
    </row>
    <row r="145" spans="3:9" x14ac:dyDescent="0.25">
      <c r="C145" s="1">
        <v>3</v>
      </c>
      <c r="D145" s="1">
        <v>1</v>
      </c>
      <c r="E145" s="1">
        <v>10</v>
      </c>
      <c r="F145" s="1">
        <v>4</v>
      </c>
      <c r="G145" s="1">
        <v>158</v>
      </c>
      <c r="H145" s="1">
        <v>197</v>
      </c>
      <c r="I145" s="1">
        <f t="shared" si="0"/>
        <v>39</v>
      </c>
    </row>
    <row r="146" spans="3:9" x14ac:dyDescent="0.25">
      <c r="C146" s="1">
        <v>3</v>
      </c>
      <c r="D146" s="1">
        <v>1</v>
      </c>
      <c r="E146" s="1">
        <v>10</v>
      </c>
      <c r="F146" s="1">
        <v>5</v>
      </c>
      <c r="G146" s="1">
        <v>197</v>
      </c>
      <c r="H146" s="1">
        <v>233</v>
      </c>
      <c r="I146" s="1">
        <f t="shared" si="0"/>
        <v>36</v>
      </c>
    </row>
    <row r="147" spans="3:9" x14ac:dyDescent="0.25">
      <c r="C147" s="1">
        <v>3</v>
      </c>
      <c r="D147" s="1">
        <v>1</v>
      </c>
      <c r="E147" s="1">
        <v>10</v>
      </c>
      <c r="F147" s="1">
        <v>6</v>
      </c>
      <c r="G147" s="1">
        <v>233</v>
      </c>
      <c r="H147" s="1">
        <v>286</v>
      </c>
      <c r="I147" s="1">
        <f>H147-G147</f>
        <v>53</v>
      </c>
    </row>
    <row r="148" spans="3:9" x14ac:dyDescent="0.25">
      <c r="C148" s="1">
        <v>3</v>
      </c>
      <c r="D148" s="1">
        <v>1</v>
      </c>
      <c r="E148" s="1">
        <v>10</v>
      </c>
      <c r="F148" s="1">
        <v>7</v>
      </c>
      <c r="G148" s="1">
        <v>286</v>
      </c>
      <c r="H148" s="1">
        <v>327</v>
      </c>
      <c r="I148" s="1">
        <f t="shared" si="0"/>
        <v>41</v>
      </c>
    </row>
    <row r="149" spans="3:9" x14ac:dyDescent="0.25">
      <c r="C149" s="1">
        <v>3</v>
      </c>
      <c r="D149" s="1">
        <v>1</v>
      </c>
      <c r="E149" s="1">
        <v>10</v>
      </c>
      <c r="F149" s="1">
        <v>8</v>
      </c>
      <c r="G149" s="1">
        <v>328</v>
      </c>
      <c r="H149" s="1">
        <v>370</v>
      </c>
      <c r="I149" s="1">
        <f t="shared" si="0"/>
        <v>42</v>
      </c>
    </row>
    <row r="150" spans="3:9" x14ac:dyDescent="0.25">
      <c r="C150" s="1">
        <v>3</v>
      </c>
      <c r="D150" s="1">
        <v>1</v>
      </c>
      <c r="E150" s="1">
        <v>10</v>
      </c>
      <c r="F150" s="1">
        <v>9</v>
      </c>
      <c r="G150" s="1">
        <v>370</v>
      </c>
      <c r="H150" s="1">
        <v>407</v>
      </c>
      <c r="I150" s="1">
        <f t="shared" si="0"/>
        <v>37</v>
      </c>
    </row>
    <row r="151" spans="3:9" x14ac:dyDescent="0.25">
      <c r="C151" s="1">
        <v>3</v>
      </c>
      <c r="D151" s="1">
        <v>1</v>
      </c>
      <c r="E151" s="1">
        <v>10</v>
      </c>
      <c r="F151" s="1">
        <v>10</v>
      </c>
      <c r="G151" s="1">
        <v>407</v>
      </c>
      <c r="H151" s="1">
        <v>441</v>
      </c>
      <c r="I151" s="1">
        <f t="shared" si="0"/>
        <v>34</v>
      </c>
    </row>
    <row r="152" spans="3:9" x14ac:dyDescent="0.25">
      <c r="C152" s="1">
        <v>3</v>
      </c>
      <c r="D152" s="1">
        <v>1</v>
      </c>
      <c r="E152" s="1">
        <v>10</v>
      </c>
      <c r="F152" s="1">
        <v>11</v>
      </c>
      <c r="G152" s="1">
        <v>441</v>
      </c>
      <c r="H152" s="1">
        <v>465</v>
      </c>
      <c r="I152" s="1">
        <f t="shared" si="0"/>
        <v>24</v>
      </c>
    </row>
    <row r="153" spans="3:9" x14ac:dyDescent="0.25">
      <c r="C153" s="1">
        <v>3</v>
      </c>
      <c r="D153" s="1">
        <v>1</v>
      </c>
      <c r="E153" s="1">
        <v>10</v>
      </c>
      <c r="F153" s="1">
        <v>12</v>
      </c>
      <c r="G153" s="1">
        <v>465</v>
      </c>
      <c r="H153" s="1">
        <v>516</v>
      </c>
      <c r="I153" s="1">
        <f t="shared" si="0"/>
        <v>51</v>
      </c>
    </row>
    <row r="154" spans="3:9" x14ac:dyDescent="0.25">
      <c r="C154" s="1">
        <v>3</v>
      </c>
      <c r="D154" s="1">
        <v>1</v>
      </c>
      <c r="E154" s="1">
        <v>10</v>
      </c>
      <c r="F154" s="1">
        <v>13</v>
      </c>
      <c r="G154" s="1">
        <v>516</v>
      </c>
      <c r="H154" s="1">
        <v>555</v>
      </c>
      <c r="I154" s="1">
        <f t="shared" si="0"/>
        <v>39</v>
      </c>
    </row>
    <row r="155" spans="3:9" x14ac:dyDescent="0.25">
      <c r="C155" s="1">
        <v>3</v>
      </c>
      <c r="D155" s="1">
        <v>1</v>
      </c>
      <c r="E155" s="1">
        <v>10</v>
      </c>
      <c r="F155" s="1">
        <v>14</v>
      </c>
      <c r="G155" s="1">
        <v>555</v>
      </c>
      <c r="H155" s="1">
        <v>578</v>
      </c>
      <c r="I155" s="1">
        <f t="shared" si="0"/>
        <v>23</v>
      </c>
    </row>
    <row r="156" spans="3:9" x14ac:dyDescent="0.25">
      <c r="C156" s="1">
        <v>3</v>
      </c>
      <c r="D156" s="1">
        <v>1</v>
      </c>
      <c r="E156" s="1">
        <v>10</v>
      </c>
      <c r="F156" s="1">
        <v>15</v>
      </c>
      <c r="G156" s="1">
        <v>578</v>
      </c>
      <c r="H156" s="1">
        <v>627</v>
      </c>
      <c r="I156" s="1">
        <f t="shared" si="0"/>
        <v>49</v>
      </c>
    </row>
    <row r="157" spans="3:9" x14ac:dyDescent="0.25">
      <c r="C157" s="1">
        <v>3</v>
      </c>
      <c r="D157" s="1">
        <v>1</v>
      </c>
      <c r="E157" s="1">
        <v>10</v>
      </c>
      <c r="F157" s="1">
        <v>16</v>
      </c>
      <c r="G157" s="1">
        <v>631</v>
      </c>
      <c r="H157" s="1">
        <v>674</v>
      </c>
      <c r="I157" s="1">
        <f t="shared" si="0"/>
        <v>43</v>
      </c>
    </row>
    <row r="158" spans="3:9" x14ac:dyDescent="0.25">
      <c r="C158" s="1">
        <v>3</v>
      </c>
      <c r="D158" s="1">
        <v>1</v>
      </c>
      <c r="E158" s="1">
        <v>10</v>
      </c>
      <c r="F158" s="1">
        <v>17</v>
      </c>
      <c r="G158" s="1">
        <v>678</v>
      </c>
      <c r="H158" s="1">
        <v>726</v>
      </c>
      <c r="I158" s="1">
        <f t="shared" si="0"/>
        <v>48</v>
      </c>
    </row>
    <row r="159" spans="3:9" x14ac:dyDescent="0.25">
      <c r="C159" s="1">
        <v>3</v>
      </c>
      <c r="D159" s="1">
        <v>1</v>
      </c>
      <c r="E159" s="1">
        <v>10</v>
      </c>
      <c r="F159" s="1">
        <v>18</v>
      </c>
      <c r="G159" s="1">
        <v>726</v>
      </c>
      <c r="H159" s="1">
        <v>770</v>
      </c>
      <c r="I159" s="1">
        <f t="shared" si="0"/>
        <v>44</v>
      </c>
    </row>
    <row r="160" spans="3:9" x14ac:dyDescent="0.25">
      <c r="C160" s="1">
        <v>3</v>
      </c>
      <c r="D160" s="1">
        <v>1</v>
      </c>
      <c r="E160" s="1">
        <v>10</v>
      </c>
      <c r="F160" s="1">
        <v>19</v>
      </c>
      <c r="G160" s="1">
        <v>770</v>
      </c>
      <c r="H160" s="1">
        <v>827</v>
      </c>
      <c r="I160" s="1">
        <f t="shared" si="0"/>
        <v>57</v>
      </c>
    </row>
    <row r="161" spans="1:11" x14ac:dyDescent="0.25">
      <c r="A161" s="5">
        <v>2</v>
      </c>
      <c r="B161" s="2">
        <v>43789</v>
      </c>
      <c r="C161" s="1">
        <v>4</v>
      </c>
      <c r="D161" s="1">
        <v>2</v>
      </c>
      <c r="E161" s="1">
        <v>10</v>
      </c>
      <c r="F161" s="1">
        <v>1</v>
      </c>
      <c r="G161" s="1">
        <v>0</v>
      </c>
      <c r="H161" s="1">
        <v>37</v>
      </c>
      <c r="I161" s="1">
        <f t="shared" si="0"/>
        <v>37</v>
      </c>
      <c r="J161" s="8">
        <f>(I161+I162+I163+I178+I177+I176+I169+I170+I168)/9</f>
        <v>33.333333333333336</v>
      </c>
      <c r="K161" s="8">
        <f>AVERAGE(I161:I178)</f>
        <v>36.277777777777779</v>
      </c>
    </row>
    <row r="162" spans="1:11" x14ac:dyDescent="0.25">
      <c r="C162" s="1">
        <v>4</v>
      </c>
      <c r="D162" s="1">
        <v>2</v>
      </c>
      <c r="E162" s="1">
        <v>10</v>
      </c>
      <c r="F162" s="1">
        <v>2</v>
      </c>
      <c r="G162" s="1">
        <v>37</v>
      </c>
      <c r="H162" s="1">
        <v>74</v>
      </c>
      <c r="I162" s="1">
        <f t="shared" si="0"/>
        <v>37</v>
      </c>
    </row>
    <row r="163" spans="1:11" x14ac:dyDescent="0.25">
      <c r="C163" s="1">
        <v>4</v>
      </c>
      <c r="D163" s="1">
        <v>2</v>
      </c>
      <c r="E163" s="1">
        <v>10</v>
      </c>
      <c r="F163" s="1">
        <v>3</v>
      </c>
      <c r="G163" s="1">
        <v>75</v>
      </c>
      <c r="H163" s="1">
        <v>115</v>
      </c>
      <c r="I163" s="1">
        <f t="shared" si="0"/>
        <v>40</v>
      </c>
    </row>
    <row r="164" spans="1:11" x14ac:dyDescent="0.25">
      <c r="C164" s="1">
        <v>4</v>
      </c>
      <c r="D164" s="1">
        <v>2</v>
      </c>
      <c r="E164" s="1">
        <v>10</v>
      </c>
      <c r="F164" s="1">
        <v>4</v>
      </c>
      <c r="G164" s="1">
        <v>115</v>
      </c>
      <c r="H164" s="1">
        <v>159</v>
      </c>
      <c r="I164" s="1">
        <f t="shared" si="0"/>
        <v>44</v>
      </c>
    </row>
    <row r="165" spans="1:11" x14ac:dyDescent="0.25">
      <c r="C165" s="1">
        <v>4</v>
      </c>
      <c r="D165" s="1">
        <v>2</v>
      </c>
      <c r="E165" s="1">
        <v>10</v>
      </c>
      <c r="F165" s="1">
        <v>5</v>
      </c>
      <c r="G165" s="1">
        <v>159</v>
      </c>
      <c r="H165" s="1">
        <v>204</v>
      </c>
      <c r="I165" s="1">
        <f>H165-G165</f>
        <v>45</v>
      </c>
    </row>
    <row r="166" spans="1:11" x14ac:dyDescent="0.25">
      <c r="C166" s="1">
        <v>4</v>
      </c>
      <c r="D166" s="1">
        <v>2</v>
      </c>
      <c r="E166" s="1">
        <v>10</v>
      </c>
      <c r="F166" s="1">
        <v>6</v>
      </c>
      <c r="G166" s="1">
        <v>204</v>
      </c>
      <c r="H166" s="1">
        <v>248</v>
      </c>
      <c r="I166" s="1">
        <f t="shared" si="0"/>
        <v>44</v>
      </c>
    </row>
    <row r="167" spans="1:11" x14ac:dyDescent="0.25">
      <c r="C167" s="1">
        <v>4</v>
      </c>
      <c r="D167" s="1">
        <v>2</v>
      </c>
      <c r="E167" s="1">
        <v>10</v>
      </c>
      <c r="F167" s="1">
        <v>7</v>
      </c>
      <c r="G167" s="1">
        <v>248</v>
      </c>
      <c r="H167" s="1">
        <v>273</v>
      </c>
      <c r="I167" s="1">
        <f t="shared" si="0"/>
        <v>25</v>
      </c>
    </row>
    <row r="168" spans="1:11" x14ac:dyDescent="0.25">
      <c r="C168" s="1">
        <v>4</v>
      </c>
      <c r="D168" s="1">
        <v>2</v>
      </c>
      <c r="E168" s="1">
        <v>10</v>
      </c>
      <c r="F168" s="1">
        <v>8</v>
      </c>
      <c r="G168" s="1">
        <v>273</v>
      </c>
      <c r="H168" s="1">
        <v>301</v>
      </c>
      <c r="I168" s="1">
        <f t="shared" si="0"/>
        <v>28</v>
      </c>
    </row>
    <row r="169" spans="1:11" x14ac:dyDescent="0.25">
      <c r="C169" s="1">
        <v>4</v>
      </c>
      <c r="D169" s="1">
        <v>2</v>
      </c>
      <c r="E169" s="1">
        <v>10</v>
      </c>
      <c r="F169" s="1">
        <v>9</v>
      </c>
      <c r="G169" s="1">
        <v>301</v>
      </c>
      <c r="H169" s="1">
        <v>340</v>
      </c>
      <c r="I169" s="1">
        <f t="shared" si="0"/>
        <v>39</v>
      </c>
    </row>
    <row r="170" spans="1:11" x14ac:dyDescent="0.25">
      <c r="C170" s="1">
        <v>4</v>
      </c>
      <c r="D170" s="1">
        <v>2</v>
      </c>
      <c r="E170" s="1">
        <v>10</v>
      </c>
      <c r="F170" s="1">
        <v>10</v>
      </c>
      <c r="G170" s="1">
        <v>340</v>
      </c>
      <c r="H170" s="1">
        <v>364</v>
      </c>
      <c r="I170" s="1">
        <f t="shared" si="0"/>
        <v>24</v>
      </c>
    </row>
    <row r="171" spans="1:11" x14ac:dyDescent="0.25">
      <c r="C171" s="1">
        <v>4</v>
      </c>
      <c r="D171" s="1">
        <v>2</v>
      </c>
      <c r="E171" s="1">
        <v>10</v>
      </c>
      <c r="F171" s="1">
        <v>11</v>
      </c>
      <c r="G171" s="1">
        <v>367</v>
      </c>
      <c r="H171" s="1">
        <v>415</v>
      </c>
      <c r="I171" s="1">
        <f t="shared" si="0"/>
        <v>48</v>
      </c>
    </row>
    <row r="172" spans="1:11" x14ac:dyDescent="0.25">
      <c r="C172" s="1">
        <v>4</v>
      </c>
      <c r="D172" s="1">
        <v>2</v>
      </c>
      <c r="E172" s="1">
        <v>10</v>
      </c>
      <c r="F172" s="1">
        <v>12</v>
      </c>
      <c r="G172" s="1">
        <v>415</v>
      </c>
      <c r="H172" s="1">
        <v>456</v>
      </c>
      <c r="I172" s="1">
        <f t="shared" si="0"/>
        <v>41</v>
      </c>
    </row>
    <row r="173" spans="1:11" x14ac:dyDescent="0.25">
      <c r="C173" s="1">
        <v>4</v>
      </c>
      <c r="D173" s="1">
        <v>2</v>
      </c>
      <c r="E173" s="1">
        <v>10</v>
      </c>
      <c r="F173" s="1">
        <v>13</v>
      </c>
      <c r="G173" s="1">
        <v>456</v>
      </c>
      <c r="H173" s="1">
        <v>495</v>
      </c>
      <c r="I173" s="1">
        <f t="shared" si="0"/>
        <v>39</v>
      </c>
    </row>
    <row r="174" spans="1:11" x14ac:dyDescent="0.25">
      <c r="C174" s="1">
        <v>4</v>
      </c>
      <c r="D174" s="1">
        <v>2</v>
      </c>
      <c r="E174" s="1">
        <v>10</v>
      </c>
      <c r="F174" s="1">
        <v>14</v>
      </c>
      <c r="G174" s="1">
        <v>495</v>
      </c>
      <c r="H174" s="1">
        <v>528</v>
      </c>
      <c r="I174" s="1">
        <f t="shared" si="0"/>
        <v>33</v>
      </c>
    </row>
    <row r="175" spans="1:11" x14ac:dyDescent="0.25">
      <c r="C175" s="1">
        <v>4</v>
      </c>
      <c r="D175" s="1">
        <v>2</v>
      </c>
      <c r="E175" s="1">
        <v>10</v>
      </c>
      <c r="F175" s="1">
        <v>15</v>
      </c>
      <c r="G175" s="1">
        <v>531</v>
      </c>
      <c r="H175" s="1">
        <v>565</v>
      </c>
      <c r="I175" s="1">
        <f t="shared" si="0"/>
        <v>34</v>
      </c>
    </row>
    <row r="176" spans="1:11" x14ac:dyDescent="0.25">
      <c r="C176" s="1">
        <v>4</v>
      </c>
      <c r="D176" s="1">
        <v>2</v>
      </c>
      <c r="E176" s="1">
        <v>10</v>
      </c>
      <c r="F176" s="1">
        <v>16</v>
      </c>
      <c r="G176" s="1">
        <v>565</v>
      </c>
      <c r="H176" s="1">
        <v>597</v>
      </c>
      <c r="I176" s="1">
        <f t="shared" si="0"/>
        <v>32</v>
      </c>
    </row>
    <row r="177" spans="1:11" x14ac:dyDescent="0.25">
      <c r="C177" s="1">
        <v>4</v>
      </c>
      <c r="D177" s="1">
        <v>2</v>
      </c>
      <c r="E177" s="1">
        <v>10</v>
      </c>
      <c r="F177" s="1">
        <v>17</v>
      </c>
      <c r="G177" s="1">
        <v>597</v>
      </c>
      <c r="H177" s="1">
        <v>629</v>
      </c>
      <c r="I177" s="1">
        <f t="shared" si="0"/>
        <v>32</v>
      </c>
    </row>
    <row r="178" spans="1:11" x14ac:dyDescent="0.25">
      <c r="C178" s="1">
        <v>4</v>
      </c>
      <c r="D178" s="1">
        <v>2</v>
      </c>
      <c r="E178" s="1">
        <v>10</v>
      </c>
      <c r="F178" s="1">
        <v>18</v>
      </c>
      <c r="G178" s="1">
        <v>629</v>
      </c>
      <c r="H178" s="1">
        <v>660</v>
      </c>
      <c r="I178" s="1">
        <f t="shared" si="0"/>
        <v>31</v>
      </c>
    </row>
    <row r="179" spans="1:11" x14ac:dyDescent="0.25">
      <c r="A179" s="5">
        <v>2</v>
      </c>
      <c r="B179" s="2">
        <v>43787</v>
      </c>
      <c r="C179" s="1">
        <v>6</v>
      </c>
      <c r="D179" s="1">
        <v>1</v>
      </c>
      <c r="E179" s="1">
        <v>10</v>
      </c>
      <c r="F179" s="1">
        <v>1</v>
      </c>
      <c r="G179" s="1">
        <v>0</v>
      </c>
      <c r="H179" s="1">
        <v>50</v>
      </c>
      <c r="I179" s="1">
        <f t="shared" si="0"/>
        <v>50</v>
      </c>
      <c r="J179" s="8">
        <f>(I179+I180+I181+I196+I195+I194+I187+I188+I189)/9</f>
        <v>40.555555555555557</v>
      </c>
      <c r="K179" s="8">
        <f>AVERAGE(I179:I196)</f>
        <v>38.333333333333336</v>
      </c>
    </row>
    <row r="180" spans="1:11" x14ac:dyDescent="0.25">
      <c r="C180" s="1">
        <v>6</v>
      </c>
      <c r="D180" s="1">
        <v>1</v>
      </c>
      <c r="E180" s="1">
        <v>10</v>
      </c>
      <c r="F180" s="1">
        <v>2</v>
      </c>
      <c r="G180" s="1">
        <v>50</v>
      </c>
      <c r="H180" s="1">
        <v>95</v>
      </c>
      <c r="I180" s="1">
        <f t="shared" si="0"/>
        <v>45</v>
      </c>
    </row>
    <row r="181" spans="1:11" x14ac:dyDescent="0.25">
      <c r="C181" s="1">
        <v>6</v>
      </c>
      <c r="D181" s="1">
        <v>1</v>
      </c>
      <c r="E181" s="1">
        <v>10</v>
      </c>
      <c r="F181" s="1">
        <v>3</v>
      </c>
      <c r="G181" s="1">
        <v>95</v>
      </c>
      <c r="H181" s="1">
        <v>138</v>
      </c>
      <c r="I181" s="1">
        <f t="shared" si="0"/>
        <v>43</v>
      </c>
    </row>
    <row r="182" spans="1:11" x14ac:dyDescent="0.25">
      <c r="C182" s="1">
        <v>6</v>
      </c>
      <c r="D182" s="1">
        <v>1</v>
      </c>
      <c r="E182" s="1">
        <v>10</v>
      </c>
      <c r="F182" s="1">
        <v>4</v>
      </c>
      <c r="G182" s="1">
        <v>141</v>
      </c>
      <c r="H182" s="1">
        <v>149</v>
      </c>
      <c r="I182" s="1">
        <f t="shared" si="0"/>
        <v>8</v>
      </c>
    </row>
    <row r="183" spans="1:11" x14ac:dyDescent="0.25">
      <c r="C183" s="1">
        <v>6</v>
      </c>
      <c r="D183" s="1">
        <v>1</v>
      </c>
      <c r="E183" s="1">
        <v>10</v>
      </c>
      <c r="F183" s="1">
        <v>5</v>
      </c>
      <c r="G183" s="1">
        <v>157</v>
      </c>
      <c r="H183" s="1">
        <v>203</v>
      </c>
      <c r="I183" s="1">
        <f t="shared" si="0"/>
        <v>46</v>
      </c>
    </row>
    <row r="184" spans="1:11" x14ac:dyDescent="0.25">
      <c r="C184" s="1">
        <v>6</v>
      </c>
      <c r="D184" s="1">
        <v>1</v>
      </c>
      <c r="E184" s="1">
        <v>10</v>
      </c>
      <c r="F184" s="1">
        <v>6</v>
      </c>
      <c r="G184" s="1">
        <v>203</v>
      </c>
      <c r="H184" s="1">
        <v>241</v>
      </c>
      <c r="I184" s="1">
        <f t="shared" si="0"/>
        <v>38</v>
      </c>
    </row>
    <row r="185" spans="1:11" x14ac:dyDescent="0.25">
      <c r="C185" s="1">
        <v>6</v>
      </c>
      <c r="D185" s="1">
        <v>1</v>
      </c>
      <c r="E185" s="1">
        <v>10</v>
      </c>
      <c r="F185" s="1">
        <v>7</v>
      </c>
      <c r="G185" s="1">
        <v>248</v>
      </c>
      <c r="H185" s="1">
        <v>293</v>
      </c>
      <c r="I185" s="1">
        <f t="shared" si="0"/>
        <v>45</v>
      </c>
    </row>
    <row r="186" spans="1:11" x14ac:dyDescent="0.25">
      <c r="C186" s="1">
        <v>6</v>
      </c>
      <c r="D186" s="1">
        <v>1</v>
      </c>
      <c r="E186" s="1">
        <v>10</v>
      </c>
      <c r="F186" s="1">
        <v>8</v>
      </c>
      <c r="G186" s="1">
        <v>293</v>
      </c>
      <c r="H186" s="1">
        <v>338</v>
      </c>
      <c r="I186" s="1">
        <f t="shared" si="0"/>
        <v>45</v>
      </c>
    </row>
    <row r="187" spans="1:11" x14ac:dyDescent="0.25">
      <c r="C187" s="1">
        <v>6</v>
      </c>
      <c r="D187" s="1">
        <v>1</v>
      </c>
      <c r="E187" s="1">
        <v>10</v>
      </c>
      <c r="F187" s="1">
        <v>9</v>
      </c>
      <c r="G187" s="1">
        <v>338</v>
      </c>
      <c r="H187" s="1">
        <v>376</v>
      </c>
      <c r="I187" s="1">
        <f t="shared" si="0"/>
        <v>38</v>
      </c>
    </row>
    <row r="188" spans="1:11" x14ac:dyDescent="0.25">
      <c r="C188" s="1">
        <v>6</v>
      </c>
      <c r="D188" s="1">
        <v>1</v>
      </c>
      <c r="E188" s="1">
        <v>10</v>
      </c>
      <c r="F188" s="1">
        <v>10</v>
      </c>
      <c r="G188" s="1">
        <v>378</v>
      </c>
      <c r="H188" s="1">
        <v>417</v>
      </c>
      <c r="I188" s="1">
        <f t="shared" si="0"/>
        <v>39</v>
      </c>
    </row>
    <row r="189" spans="1:11" x14ac:dyDescent="0.25">
      <c r="C189" s="1">
        <v>6</v>
      </c>
      <c r="D189" s="1">
        <v>1</v>
      </c>
      <c r="E189" s="1">
        <v>10</v>
      </c>
      <c r="F189" s="1">
        <v>11</v>
      </c>
      <c r="G189" s="1">
        <v>417</v>
      </c>
      <c r="H189" s="1">
        <v>456</v>
      </c>
      <c r="I189" s="1">
        <f t="shared" si="0"/>
        <v>39</v>
      </c>
    </row>
    <row r="190" spans="1:11" x14ac:dyDescent="0.25">
      <c r="C190" s="1">
        <v>6</v>
      </c>
      <c r="D190" s="1">
        <v>1</v>
      </c>
      <c r="E190" s="1">
        <v>10</v>
      </c>
      <c r="F190" s="1">
        <v>12</v>
      </c>
      <c r="G190" s="1">
        <v>456</v>
      </c>
      <c r="H190" s="1">
        <v>495</v>
      </c>
      <c r="I190" s="1">
        <f t="shared" si="0"/>
        <v>39</v>
      </c>
    </row>
    <row r="191" spans="1:11" x14ac:dyDescent="0.25">
      <c r="C191" s="1">
        <v>6</v>
      </c>
      <c r="D191" s="1">
        <v>1</v>
      </c>
      <c r="E191" s="1">
        <v>10</v>
      </c>
      <c r="F191" s="1">
        <v>13</v>
      </c>
      <c r="G191" s="1">
        <v>495</v>
      </c>
      <c r="H191" s="1">
        <v>536</v>
      </c>
      <c r="I191" s="1">
        <f t="shared" si="0"/>
        <v>41</v>
      </c>
    </row>
    <row r="192" spans="1:11" x14ac:dyDescent="0.25">
      <c r="C192" s="1">
        <v>6</v>
      </c>
      <c r="D192" s="1">
        <v>1</v>
      </c>
      <c r="E192" s="1">
        <v>10</v>
      </c>
      <c r="F192" s="1">
        <v>14</v>
      </c>
      <c r="G192" s="1">
        <v>537</v>
      </c>
      <c r="H192" s="1">
        <v>559</v>
      </c>
      <c r="I192" s="1">
        <f t="shared" si="0"/>
        <v>22</v>
      </c>
    </row>
    <row r="193" spans="1:11" x14ac:dyDescent="0.25">
      <c r="C193" s="1">
        <v>6</v>
      </c>
      <c r="D193" s="1">
        <v>1</v>
      </c>
      <c r="E193" s="1">
        <v>10</v>
      </c>
      <c r="F193" s="1">
        <v>15</v>
      </c>
      <c r="G193" s="1">
        <v>559</v>
      </c>
      <c r="H193" s="1">
        <v>600</v>
      </c>
      <c r="I193" s="1">
        <f t="shared" si="0"/>
        <v>41</v>
      </c>
    </row>
    <row r="194" spans="1:11" x14ac:dyDescent="0.25">
      <c r="C194" s="1">
        <v>6</v>
      </c>
      <c r="D194" s="1">
        <v>1</v>
      </c>
      <c r="E194" s="1">
        <v>10</v>
      </c>
      <c r="F194" s="1">
        <v>16</v>
      </c>
      <c r="G194" s="1">
        <v>604</v>
      </c>
      <c r="H194" s="1">
        <v>626</v>
      </c>
      <c r="I194" s="1">
        <f t="shared" si="0"/>
        <v>22</v>
      </c>
    </row>
    <row r="195" spans="1:11" x14ac:dyDescent="0.25">
      <c r="C195" s="1">
        <v>6</v>
      </c>
      <c r="D195" s="1">
        <v>1</v>
      </c>
      <c r="E195" s="1">
        <v>10</v>
      </c>
      <c r="F195" s="1">
        <v>17</v>
      </c>
      <c r="G195" s="1">
        <v>626</v>
      </c>
      <c r="H195" s="1">
        <v>671</v>
      </c>
      <c r="I195" s="1">
        <f t="shared" si="0"/>
        <v>45</v>
      </c>
    </row>
    <row r="196" spans="1:11" x14ac:dyDescent="0.25">
      <c r="C196" s="1">
        <v>6</v>
      </c>
      <c r="D196" s="1">
        <v>1</v>
      </c>
      <c r="E196" s="1">
        <v>10</v>
      </c>
      <c r="F196" s="1">
        <v>18</v>
      </c>
      <c r="G196" s="1">
        <v>672</v>
      </c>
      <c r="H196" s="1">
        <v>716</v>
      </c>
      <c r="I196" s="1">
        <f t="shared" si="0"/>
        <v>44</v>
      </c>
    </row>
    <row r="197" spans="1:11" x14ac:dyDescent="0.25">
      <c r="A197" s="5">
        <v>2</v>
      </c>
      <c r="B197" s="2">
        <v>43791</v>
      </c>
      <c r="C197" s="1">
        <v>7</v>
      </c>
      <c r="D197" s="1">
        <v>1</v>
      </c>
      <c r="E197" s="1">
        <v>10</v>
      </c>
      <c r="F197" s="1">
        <v>1</v>
      </c>
      <c r="G197" s="1">
        <v>0</v>
      </c>
      <c r="H197" s="1">
        <v>72</v>
      </c>
      <c r="I197" s="1">
        <f t="shared" si="0"/>
        <v>72</v>
      </c>
      <c r="J197" s="8">
        <f>(I197+I198+I199+I215+I214+I213+I206+I205+I207)/9</f>
        <v>53.333333333333336</v>
      </c>
      <c r="K197" s="8">
        <f>AVERAGE(I197:I215)</f>
        <v>44.421052631578945</v>
      </c>
    </row>
    <row r="198" spans="1:11" x14ac:dyDescent="0.25">
      <c r="C198" s="1">
        <v>7</v>
      </c>
      <c r="D198" s="1">
        <v>1</v>
      </c>
      <c r="E198" s="1">
        <v>10</v>
      </c>
      <c r="F198" s="1">
        <v>2</v>
      </c>
      <c r="G198" s="1">
        <v>72</v>
      </c>
      <c r="H198" s="1">
        <v>137</v>
      </c>
      <c r="I198" s="1">
        <f t="shared" si="0"/>
        <v>65</v>
      </c>
    </row>
    <row r="199" spans="1:11" x14ac:dyDescent="0.25">
      <c r="C199" s="1">
        <v>7</v>
      </c>
      <c r="D199" s="1">
        <v>1</v>
      </c>
      <c r="E199" s="1">
        <v>10</v>
      </c>
      <c r="F199" s="1">
        <v>3</v>
      </c>
      <c r="G199" s="1">
        <v>137</v>
      </c>
      <c r="H199" s="1">
        <v>161</v>
      </c>
      <c r="I199" s="1">
        <f t="shared" si="0"/>
        <v>24</v>
      </c>
    </row>
    <row r="200" spans="1:11" x14ac:dyDescent="0.25">
      <c r="C200" s="1">
        <v>7</v>
      </c>
      <c r="D200" s="1">
        <v>1</v>
      </c>
      <c r="E200" s="1">
        <v>10</v>
      </c>
      <c r="F200" s="1">
        <v>4</v>
      </c>
      <c r="G200" s="1">
        <v>164</v>
      </c>
      <c r="H200" s="1">
        <v>198</v>
      </c>
      <c r="I200" s="1">
        <f t="shared" si="0"/>
        <v>34</v>
      </c>
    </row>
    <row r="201" spans="1:11" x14ac:dyDescent="0.25">
      <c r="C201" s="1">
        <v>7</v>
      </c>
      <c r="D201" s="1">
        <v>1</v>
      </c>
      <c r="E201" s="1">
        <v>10</v>
      </c>
      <c r="F201" s="1">
        <v>5</v>
      </c>
      <c r="G201" s="1">
        <v>200</v>
      </c>
      <c r="H201" s="1">
        <v>212</v>
      </c>
      <c r="I201" s="1">
        <f t="shared" si="0"/>
        <v>12</v>
      </c>
    </row>
    <row r="202" spans="1:11" x14ac:dyDescent="0.25">
      <c r="C202" s="1">
        <v>7</v>
      </c>
      <c r="D202" s="1">
        <v>1</v>
      </c>
      <c r="E202" s="1">
        <v>10</v>
      </c>
      <c r="F202" s="1">
        <v>6</v>
      </c>
      <c r="G202" s="1">
        <v>212</v>
      </c>
      <c r="H202" s="1">
        <v>245</v>
      </c>
      <c r="I202" s="1">
        <f t="shared" si="0"/>
        <v>33</v>
      </c>
    </row>
    <row r="203" spans="1:11" x14ac:dyDescent="0.25">
      <c r="C203" s="1">
        <v>7</v>
      </c>
      <c r="D203" s="1">
        <v>1</v>
      </c>
      <c r="E203" s="1">
        <v>10</v>
      </c>
      <c r="F203" s="1">
        <v>7</v>
      </c>
      <c r="G203" s="1">
        <v>248</v>
      </c>
      <c r="H203" s="1">
        <v>276</v>
      </c>
      <c r="I203" s="1">
        <f t="shared" si="0"/>
        <v>28</v>
      </c>
    </row>
    <row r="204" spans="1:11" x14ac:dyDescent="0.25">
      <c r="C204" s="1">
        <v>7</v>
      </c>
      <c r="D204" s="1">
        <v>1</v>
      </c>
      <c r="E204" s="1">
        <v>10</v>
      </c>
      <c r="F204" s="1">
        <v>8</v>
      </c>
      <c r="G204" s="1">
        <v>278</v>
      </c>
      <c r="H204" s="1">
        <v>315</v>
      </c>
      <c r="I204" s="1">
        <f t="shared" si="0"/>
        <v>37</v>
      </c>
    </row>
    <row r="205" spans="1:11" x14ac:dyDescent="0.25">
      <c r="C205" s="1">
        <v>7</v>
      </c>
      <c r="D205" s="1">
        <v>1</v>
      </c>
      <c r="E205" s="1">
        <v>10</v>
      </c>
      <c r="F205" s="1">
        <v>9</v>
      </c>
      <c r="G205" s="1">
        <v>315</v>
      </c>
      <c r="H205" s="1">
        <v>334</v>
      </c>
      <c r="I205" s="1">
        <f t="shared" si="0"/>
        <v>19</v>
      </c>
    </row>
    <row r="206" spans="1:11" x14ac:dyDescent="0.25">
      <c r="C206" s="1">
        <v>7</v>
      </c>
      <c r="D206" s="1">
        <v>1</v>
      </c>
      <c r="E206" s="1">
        <v>10</v>
      </c>
      <c r="F206" s="1">
        <v>10</v>
      </c>
      <c r="G206" s="1">
        <v>334</v>
      </c>
      <c r="H206" s="1">
        <v>385</v>
      </c>
      <c r="I206" s="1">
        <f t="shared" si="0"/>
        <v>51</v>
      </c>
    </row>
    <row r="207" spans="1:11" x14ac:dyDescent="0.25">
      <c r="C207" s="1">
        <v>7</v>
      </c>
      <c r="D207" s="1">
        <v>1</v>
      </c>
      <c r="E207" s="1">
        <v>10</v>
      </c>
      <c r="F207" s="1">
        <v>11</v>
      </c>
      <c r="G207" s="1">
        <v>358</v>
      </c>
      <c r="H207" s="1">
        <v>415</v>
      </c>
      <c r="I207" s="1">
        <f t="shared" si="0"/>
        <v>57</v>
      </c>
    </row>
    <row r="208" spans="1:11" x14ac:dyDescent="0.25">
      <c r="C208" s="1">
        <v>7</v>
      </c>
      <c r="D208" s="1">
        <v>1</v>
      </c>
      <c r="E208" s="1">
        <v>10</v>
      </c>
      <c r="F208" s="1">
        <v>12</v>
      </c>
      <c r="G208" s="1">
        <v>415</v>
      </c>
      <c r="H208" s="1">
        <v>436</v>
      </c>
      <c r="I208" s="1">
        <f t="shared" si="0"/>
        <v>21</v>
      </c>
    </row>
    <row r="209" spans="1:11" x14ac:dyDescent="0.25">
      <c r="C209" s="1">
        <v>7</v>
      </c>
      <c r="D209" s="1">
        <v>1</v>
      </c>
      <c r="E209" s="1">
        <v>10</v>
      </c>
      <c r="F209" s="1">
        <v>13</v>
      </c>
      <c r="G209" s="1">
        <v>436</v>
      </c>
      <c r="H209" s="1">
        <v>453</v>
      </c>
      <c r="I209" s="1">
        <f t="shared" si="0"/>
        <v>17</v>
      </c>
    </row>
    <row r="210" spans="1:11" x14ac:dyDescent="0.25">
      <c r="C210" s="1">
        <v>7</v>
      </c>
      <c r="D210" s="1">
        <v>1</v>
      </c>
      <c r="E210" s="1">
        <v>10</v>
      </c>
      <c r="F210" s="1">
        <v>14</v>
      </c>
      <c r="G210" s="1">
        <v>453</v>
      </c>
      <c r="H210" s="1">
        <v>502</v>
      </c>
      <c r="I210" s="1">
        <f t="shared" si="0"/>
        <v>49</v>
      </c>
    </row>
    <row r="211" spans="1:11" x14ac:dyDescent="0.25">
      <c r="C211" s="1">
        <v>7</v>
      </c>
      <c r="D211" s="1">
        <v>1</v>
      </c>
      <c r="E211" s="1">
        <v>10</v>
      </c>
      <c r="F211" s="1">
        <v>15</v>
      </c>
      <c r="G211" s="1">
        <v>502</v>
      </c>
      <c r="H211" s="1">
        <v>567</v>
      </c>
      <c r="I211" s="1">
        <f t="shared" si="0"/>
        <v>65</v>
      </c>
    </row>
    <row r="212" spans="1:11" x14ac:dyDescent="0.25">
      <c r="C212" s="1">
        <v>7</v>
      </c>
      <c r="D212" s="1">
        <v>1</v>
      </c>
      <c r="E212" s="1">
        <v>10</v>
      </c>
      <c r="F212" s="1">
        <v>16</v>
      </c>
      <c r="G212" s="1">
        <v>573</v>
      </c>
      <c r="H212" s="1">
        <v>641</v>
      </c>
      <c r="I212" s="1">
        <f t="shared" si="0"/>
        <v>68</v>
      </c>
    </row>
    <row r="213" spans="1:11" x14ac:dyDescent="0.25">
      <c r="C213" s="1">
        <v>7</v>
      </c>
      <c r="D213" s="1">
        <v>1</v>
      </c>
      <c r="E213" s="1">
        <v>10</v>
      </c>
      <c r="F213" s="1">
        <v>17</v>
      </c>
      <c r="G213" s="1">
        <v>641</v>
      </c>
      <c r="H213" s="1">
        <v>697</v>
      </c>
      <c r="I213" s="1">
        <f t="shared" si="0"/>
        <v>56</v>
      </c>
    </row>
    <row r="214" spans="1:11" x14ac:dyDescent="0.25">
      <c r="C214" s="1">
        <v>7</v>
      </c>
      <c r="D214" s="1">
        <v>1</v>
      </c>
      <c r="E214" s="1">
        <v>10</v>
      </c>
      <c r="F214" s="1">
        <v>18</v>
      </c>
      <c r="G214" s="1">
        <v>697</v>
      </c>
      <c r="H214" s="1">
        <v>770</v>
      </c>
      <c r="I214" s="1">
        <f t="shared" si="0"/>
        <v>73</v>
      </c>
    </row>
    <row r="215" spans="1:11" x14ac:dyDescent="0.25">
      <c r="C215" s="1">
        <v>7</v>
      </c>
      <c r="D215" s="1">
        <v>1</v>
      </c>
      <c r="E215" s="1">
        <v>10</v>
      </c>
      <c r="F215" s="1">
        <v>19</v>
      </c>
      <c r="G215" s="1">
        <v>770</v>
      </c>
      <c r="H215" s="1">
        <v>833</v>
      </c>
      <c r="I215" s="1">
        <f t="shared" si="0"/>
        <v>63</v>
      </c>
    </row>
    <row r="216" spans="1:11" x14ac:dyDescent="0.25">
      <c r="A216" s="5">
        <v>1</v>
      </c>
      <c r="B216" s="2">
        <v>43810</v>
      </c>
      <c r="C216" s="1">
        <v>9</v>
      </c>
      <c r="D216" s="1">
        <v>1</v>
      </c>
      <c r="E216" s="1">
        <v>10</v>
      </c>
      <c r="F216" s="1">
        <v>1</v>
      </c>
      <c r="G216" s="1">
        <v>0</v>
      </c>
      <c r="H216" s="1">
        <v>27</v>
      </c>
      <c r="I216" s="1">
        <f t="shared" si="0"/>
        <v>27</v>
      </c>
      <c r="J216" s="8">
        <f>(I216+I217+I218+I233+I232+I231+I225+I224+I223)/9</f>
        <v>27.333333333333332</v>
      </c>
      <c r="K216" s="8">
        <f>AVERAGE(I216:I233)</f>
        <v>31.111111111111111</v>
      </c>
    </row>
    <row r="217" spans="1:11" x14ac:dyDescent="0.25">
      <c r="C217" s="1">
        <v>9</v>
      </c>
      <c r="D217" s="1">
        <v>1</v>
      </c>
      <c r="E217" s="1">
        <v>10</v>
      </c>
      <c r="F217" s="1">
        <v>2</v>
      </c>
      <c r="G217" s="1">
        <v>27</v>
      </c>
      <c r="H217" s="1">
        <v>54</v>
      </c>
      <c r="I217" s="1">
        <f t="shared" si="0"/>
        <v>27</v>
      </c>
    </row>
    <row r="218" spans="1:11" x14ac:dyDescent="0.25">
      <c r="C218" s="1">
        <v>9</v>
      </c>
      <c r="D218" s="1">
        <v>1</v>
      </c>
      <c r="E218" s="1">
        <v>10</v>
      </c>
      <c r="F218" s="1">
        <v>3</v>
      </c>
      <c r="G218" s="1">
        <v>54</v>
      </c>
      <c r="H218" s="1">
        <v>99</v>
      </c>
      <c r="I218" s="1">
        <f t="shared" si="0"/>
        <v>45</v>
      </c>
    </row>
    <row r="219" spans="1:11" x14ac:dyDescent="0.25">
      <c r="C219" s="1">
        <v>9</v>
      </c>
      <c r="D219" s="1">
        <v>1</v>
      </c>
      <c r="E219" s="1">
        <v>10</v>
      </c>
      <c r="F219" s="1">
        <v>4</v>
      </c>
      <c r="G219" s="1">
        <v>99</v>
      </c>
      <c r="H219" s="1">
        <v>137</v>
      </c>
      <c r="I219" s="1">
        <f t="shared" si="0"/>
        <v>38</v>
      </c>
    </row>
    <row r="220" spans="1:11" x14ac:dyDescent="0.25">
      <c r="C220" s="1">
        <v>9</v>
      </c>
      <c r="D220" s="1">
        <v>1</v>
      </c>
      <c r="E220" s="1">
        <v>10</v>
      </c>
      <c r="F220" s="1">
        <v>5</v>
      </c>
      <c r="G220" s="1">
        <v>137</v>
      </c>
      <c r="H220" s="1">
        <v>181</v>
      </c>
      <c r="I220" s="1">
        <f t="shared" si="0"/>
        <v>44</v>
      </c>
    </row>
    <row r="221" spans="1:11" x14ac:dyDescent="0.25">
      <c r="C221" s="1">
        <v>9</v>
      </c>
      <c r="D221" s="1">
        <v>1</v>
      </c>
      <c r="E221" s="1">
        <v>10</v>
      </c>
      <c r="F221" s="1">
        <v>6</v>
      </c>
      <c r="G221" s="1">
        <v>181</v>
      </c>
      <c r="H221" s="1">
        <v>192</v>
      </c>
      <c r="I221" s="1">
        <f t="shared" si="0"/>
        <v>11</v>
      </c>
    </row>
    <row r="222" spans="1:11" x14ac:dyDescent="0.25">
      <c r="C222" s="1">
        <v>9</v>
      </c>
      <c r="D222" s="1">
        <v>1</v>
      </c>
      <c r="E222" s="1">
        <v>10</v>
      </c>
      <c r="F222" s="1">
        <v>7</v>
      </c>
      <c r="G222" s="1">
        <v>192</v>
      </c>
      <c r="H222" s="1">
        <v>224</v>
      </c>
      <c r="I222" s="1">
        <f t="shared" si="0"/>
        <v>32</v>
      </c>
    </row>
    <row r="223" spans="1:11" x14ac:dyDescent="0.25">
      <c r="C223" s="1">
        <v>9</v>
      </c>
      <c r="D223" s="1">
        <v>1</v>
      </c>
      <c r="E223" s="1">
        <v>10</v>
      </c>
      <c r="F223" s="1">
        <v>8</v>
      </c>
      <c r="G223" s="1">
        <v>224</v>
      </c>
      <c r="H223" s="1">
        <v>272</v>
      </c>
      <c r="I223" s="1">
        <f t="shared" si="0"/>
        <v>48</v>
      </c>
    </row>
    <row r="224" spans="1:11" x14ac:dyDescent="0.25">
      <c r="C224" s="1">
        <v>9</v>
      </c>
      <c r="D224" s="1">
        <v>1</v>
      </c>
      <c r="E224" s="1">
        <v>10</v>
      </c>
      <c r="F224" s="1">
        <v>9</v>
      </c>
      <c r="G224" s="1">
        <v>272</v>
      </c>
      <c r="H224" s="1">
        <v>286</v>
      </c>
      <c r="I224" s="1">
        <f t="shared" si="0"/>
        <v>14</v>
      </c>
    </row>
    <row r="225" spans="1:11" x14ac:dyDescent="0.25">
      <c r="C225" s="1">
        <v>9</v>
      </c>
      <c r="D225" s="1">
        <v>1</v>
      </c>
      <c r="E225" s="1">
        <v>10</v>
      </c>
      <c r="F225" s="1">
        <v>10</v>
      </c>
      <c r="G225" s="1">
        <v>286</v>
      </c>
      <c r="H225" s="1">
        <v>287</v>
      </c>
      <c r="I225" s="1">
        <f t="shared" si="0"/>
        <v>1</v>
      </c>
    </row>
    <row r="226" spans="1:11" x14ac:dyDescent="0.25">
      <c r="C226" s="1">
        <v>9</v>
      </c>
      <c r="D226" s="1">
        <v>1</v>
      </c>
      <c r="E226" s="1">
        <v>10</v>
      </c>
      <c r="F226" s="1">
        <v>11</v>
      </c>
      <c r="G226" s="1">
        <v>287</v>
      </c>
      <c r="H226" s="1">
        <v>332</v>
      </c>
      <c r="I226" s="1">
        <f t="shared" si="0"/>
        <v>45</v>
      </c>
    </row>
    <row r="227" spans="1:11" x14ac:dyDescent="0.25">
      <c r="C227" s="1">
        <v>9</v>
      </c>
      <c r="D227" s="1">
        <v>1</v>
      </c>
      <c r="E227" s="1">
        <v>10</v>
      </c>
      <c r="F227" s="1">
        <v>12</v>
      </c>
      <c r="G227" s="1">
        <v>332</v>
      </c>
      <c r="H227" s="1">
        <v>379</v>
      </c>
      <c r="I227" s="1">
        <f t="shared" si="0"/>
        <v>47</v>
      </c>
    </row>
    <row r="228" spans="1:11" x14ac:dyDescent="0.25">
      <c r="C228" s="1">
        <v>9</v>
      </c>
      <c r="D228" s="1">
        <v>1</v>
      </c>
      <c r="E228" s="1">
        <v>10</v>
      </c>
      <c r="F228" s="1">
        <v>13</v>
      </c>
      <c r="G228" s="1">
        <v>381</v>
      </c>
      <c r="H228" s="1">
        <v>423</v>
      </c>
      <c r="I228" s="1">
        <f t="shared" si="0"/>
        <v>42</v>
      </c>
    </row>
    <row r="229" spans="1:11" x14ac:dyDescent="0.25">
      <c r="C229" s="1">
        <v>9</v>
      </c>
      <c r="D229" s="1">
        <v>1</v>
      </c>
      <c r="E229" s="1">
        <v>10</v>
      </c>
      <c r="F229" s="1">
        <v>14</v>
      </c>
      <c r="G229" s="1">
        <v>425</v>
      </c>
      <c r="H229" s="1">
        <v>460</v>
      </c>
      <c r="I229" s="1">
        <f t="shared" si="0"/>
        <v>35</v>
      </c>
    </row>
    <row r="230" spans="1:11" x14ac:dyDescent="0.25">
      <c r="C230" s="1">
        <v>9</v>
      </c>
      <c r="D230" s="1">
        <v>1</v>
      </c>
      <c r="E230" s="1">
        <v>10</v>
      </c>
      <c r="F230" s="1">
        <v>15</v>
      </c>
      <c r="G230" s="1">
        <v>460</v>
      </c>
      <c r="H230" s="1">
        <v>480</v>
      </c>
      <c r="I230" s="1">
        <f t="shared" si="0"/>
        <v>20</v>
      </c>
    </row>
    <row r="231" spans="1:11" x14ac:dyDescent="0.25">
      <c r="C231" s="1">
        <v>9</v>
      </c>
      <c r="D231" s="1">
        <v>1</v>
      </c>
      <c r="E231" s="1">
        <v>10</v>
      </c>
      <c r="F231" s="1">
        <v>16</v>
      </c>
      <c r="G231" s="1">
        <v>480</v>
      </c>
      <c r="H231" s="1">
        <v>503</v>
      </c>
      <c r="I231" s="1">
        <f t="shared" si="0"/>
        <v>23</v>
      </c>
    </row>
    <row r="232" spans="1:11" x14ac:dyDescent="0.25">
      <c r="C232" s="1">
        <v>9</v>
      </c>
      <c r="D232" s="1">
        <v>1</v>
      </c>
      <c r="E232" s="1">
        <v>10</v>
      </c>
      <c r="F232" s="1">
        <v>17</v>
      </c>
      <c r="G232" s="1">
        <v>507</v>
      </c>
      <c r="H232" s="1">
        <v>531</v>
      </c>
      <c r="I232" s="1">
        <f t="shared" si="0"/>
        <v>24</v>
      </c>
    </row>
    <row r="233" spans="1:11" x14ac:dyDescent="0.25">
      <c r="C233" s="1">
        <v>9</v>
      </c>
      <c r="D233" s="1">
        <v>1</v>
      </c>
      <c r="E233" s="1">
        <v>10</v>
      </c>
      <c r="F233" s="1">
        <v>18</v>
      </c>
      <c r="G233" s="1">
        <v>531</v>
      </c>
      <c r="H233" s="1">
        <v>568</v>
      </c>
      <c r="I233" s="1">
        <f t="shared" si="0"/>
        <v>37</v>
      </c>
    </row>
    <row r="234" spans="1:11" x14ac:dyDescent="0.25">
      <c r="A234" s="5">
        <v>1</v>
      </c>
      <c r="B234" s="2">
        <v>43808</v>
      </c>
      <c r="C234" s="1">
        <v>10</v>
      </c>
      <c r="D234" s="1">
        <v>2</v>
      </c>
      <c r="E234" s="1">
        <v>10</v>
      </c>
      <c r="F234" s="1">
        <v>1</v>
      </c>
      <c r="G234" s="1">
        <v>0</v>
      </c>
      <c r="H234" s="1">
        <v>43</v>
      </c>
      <c r="I234" s="1">
        <f t="shared" si="0"/>
        <v>43</v>
      </c>
      <c r="J234" s="8">
        <f>(I234+I235+I236+I251+I250+I249+I242+I243+I244)/9</f>
        <v>28.777777777777779</v>
      </c>
      <c r="K234" s="8">
        <f>AVERAGE(I234:I251)</f>
        <v>29.055555555555557</v>
      </c>
    </row>
    <row r="235" spans="1:11" x14ac:dyDescent="0.25">
      <c r="C235" s="1">
        <v>10</v>
      </c>
      <c r="D235" s="1">
        <v>2</v>
      </c>
      <c r="E235" s="1">
        <v>10</v>
      </c>
      <c r="F235" s="1">
        <v>2</v>
      </c>
      <c r="G235" s="1">
        <v>43</v>
      </c>
      <c r="H235" s="1">
        <v>72</v>
      </c>
      <c r="I235" s="1">
        <f t="shared" si="0"/>
        <v>29</v>
      </c>
    </row>
    <row r="236" spans="1:11" x14ac:dyDescent="0.25">
      <c r="C236" s="1">
        <v>10</v>
      </c>
      <c r="D236" s="1">
        <v>2</v>
      </c>
      <c r="E236" s="1">
        <v>10</v>
      </c>
      <c r="F236" s="1">
        <v>3</v>
      </c>
      <c r="G236" s="1">
        <v>74</v>
      </c>
      <c r="H236" s="1">
        <v>109</v>
      </c>
      <c r="I236" s="1">
        <f t="shared" si="0"/>
        <v>35</v>
      </c>
    </row>
    <row r="237" spans="1:11" x14ac:dyDescent="0.25">
      <c r="C237" s="1">
        <v>10</v>
      </c>
      <c r="D237" s="1">
        <v>2</v>
      </c>
      <c r="E237" s="1">
        <v>10</v>
      </c>
      <c r="F237" s="1">
        <v>4</v>
      </c>
      <c r="G237" s="1">
        <v>109</v>
      </c>
      <c r="H237" s="1">
        <v>152</v>
      </c>
      <c r="I237" s="1">
        <f t="shared" si="0"/>
        <v>43</v>
      </c>
    </row>
    <row r="238" spans="1:11" x14ac:dyDescent="0.25">
      <c r="C238" s="1">
        <v>10</v>
      </c>
      <c r="D238" s="1">
        <v>2</v>
      </c>
      <c r="E238" s="1">
        <v>10</v>
      </c>
      <c r="F238" s="1">
        <v>5</v>
      </c>
      <c r="G238" s="1">
        <v>152</v>
      </c>
      <c r="H238" s="1">
        <v>194</v>
      </c>
      <c r="I238" s="1">
        <f t="shared" si="0"/>
        <v>42</v>
      </c>
    </row>
    <row r="239" spans="1:11" x14ac:dyDescent="0.25">
      <c r="C239" s="1">
        <v>10</v>
      </c>
      <c r="D239" s="1">
        <v>2</v>
      </c>
      <c r="E239" s="1">
        <v>10</v>
      </c>
      <c r="F239" s="1">
        <v>6</v>
      </c>
      <c r="G239" s="1">
        <v>194</v>
      </c>
      <c r="H239" s="1">
        <v>210</v>
      </c>
      <c r="I239" s="1">
        <f t="shared" si="0"/>
        <v>16</v>
      </c>
    </row>
    <row r="240" spans="1:11" x14ac:dyDescent="0.25">
      <c r="C240" s="1">
        <v>10</v>
      </c>
      <c r="D240" s="1">
        <v>2</v>
      </c>
      <c r="E240" s="1">
        <v>10</v>
      </c>
      <c r="F240" s="1">
        <v>7</v>
      </c>
      <c r="G240" s="1">
        <v>213</v>
      </c>
      <c r="H240" s="1">
        <v>214</v>
      </c>
      <c r="I240" s="1">
        <f t="shared" si="0"/>
        <v>1</v>
      </c>
    </row>
    <row r="241" spans="1:11" x14ac:dyDescent="0.25">
      <c r="C241" s="1">
        <v>10</v>
      </c>
      <c r="D241" s="1">
        <v>2</v>
      </c>
      <c r="E241" s="1">
        <v>10</v>
      </c>
      <c r="F241" s="1">
        <v>8</v>
      </c>
      <c r="G241" s="1">
        <v>214</v>
      </c>
      <c r="H241" s="1">
        <v>216</v>
      </c>
      <c r="I241" s="1">
        <f t="shared" si="0"/>
        <v>2</v>
      </c>
    </row>
    <row r="242" spans="1:11" x14ac:dyDescent="0.25">
      <c r="C242" s="1">
        <v>10</v>
      </c>
      <c r="D242" s="1">
        <v>2</v>
      </c>
      <c r="E242" s="1">
        <v>10</v>
      </c>
      <c r="F242" s="1">
        <v>9</v>
      </c>
      <c r="G242" s="1">
        <v>216</v>
      </c>
      <c r="H242" s="1">
        <v>237</v>
      </c>
      <c r="I242" s="1">
        <f t="shared" si="0"/>
        <v>21</v>
      </c>
    </row>
    <row r="243" spans="1:11" x14ac:dyDescent="0.25">
      <c r="C243" s="1">
        <v>10</v>
      </c>
      <c r="D243" s="1">
        <v>2</v>
      </c>
      <c r="E243" s="1">
        <v>10</v>
      </c>
      <c r="F243" s="1">
        <v>10</v>
      </c>
      <c r="G243" s="1">
        <v>237</v>
      </c>
      <c r="H243" s="1">
        <v>273</v>
      </c>
      <c r="I243" s="1">
        <f t="shared" si="0"/>
        <v>36</v>
      </c>
    </row>
    <row r="244" spans="1:11" x14ac:dyDescent="0.25">
      <c r="C244" s="1">
        <v>10</v>
      </c>
      <c r="D244" s="1">
        <v>2</v>
      </c>
      <c r="E244" s="1">
        <v>10</v>
      </c>
      <c r="F244" s="1">
        <v>11</v>
      </c>
      <c r="G244" s="1">
        <v>273</v>
      </c>
      <c r="H244" s="1">
        <v>308</v>
      </c>
      <c r="I244" s="1">
        <f t="shared" si="0"/>
        <v>35</v>
      </c>
    </row>
    <row r="245" spans="1:11" x14ac:dyDescent="0.25">
      <c r="C245" s="1">
        <v>10</v>
      </c>
      <c r="D245" s="1">
        <v>2</v>
      </c>
      <c r="E245" s="1">
        <v>10</v>
      </c>
      <c r="F245" s="1">
        <v>12</v>
      </c>
      <c r="G245" s="1">
        <v>308</v>
      </c>
      <c r="H245" s="1">
        <v>354</v>
      </c>
      <c r="I245" s="1">
        <f t="shared" si="0"/>
        <v>46</v>
      </c>
    </row>
    <row r="246" spans="1:11" x14ac:dyDescent="0.25">
      <c r="C246" s="1">
        <v>10</v>
      </c>
      <c r="D246" s="1">
        <v>2</v>
      </c>
      <c r="E246" s="1">
        <v>10</v>
      </c>
      <c r="F246" s="1">
        <v>13</v>
      </c>
      <c r="G246" s="1">
        <v>354</v>
      </c>
      <c r="H246" s="1">
        <v>392</v>
      </c>
      <c r="I246" s="1">
        <f t="shared" si="0"/>
        <v>38</v>
      </c>
    </row>
    <row r="247" spans="1:11" x14ac:dyDescent="0.25">
      <c r="C247" s="1">
        <v>10</v>
      </c>
      <c r="D247" s="1">
        <v>2</v>
      </c>
      <c r="E247" s="1">
        <v>10</v>
      </c>
      <c r="F247" s="1">
        <v>14</v>
      </c>
      <c r="G247" s="1">
        <v>392</v>
      </c>
      <c r="H247" s="1">
        <v>425</v>
      </c>
      <c r="I247" s="1">
        <f t="shared" si="0"/>
        <v>33</v>
      </c>
    </row>
    <row r="248" spans="1:11" x14ac:dyDescent="0.25">
      <c r="C248" s="1">
        <v>10</v>
      </c>
      <c r="D248" s="1">
        <v>2</v>
      </c>
      <c r="E248" s="1">
        <v>10</v>
      </c>
      <c r="F248" s="1">
        <v>15</v>
      </c>
      <c r="G248" s="1">
        <v>425</v>
      </c>
      <c r="H248" s="1">
        <v>468</v>
      </c>
      <c r="I248" s="1">
        <f t="shared" si="0"/>
        <v>43</v>
      </c>
    </row>
    <row r="249" spans="1:11" x14ac:dyDescent="0.25">
      <c r="C249" s="1">
        <v>10</v>
      </c>
      <c r="D249" s="1">
        <v>2</v>
      </c>
      <c r="E249" s="1">
        <v>10</v>
      </c>
      <c r="F249" s="1">
        <v>16</v>
      </c>
      <c r="G249" s="1">
        <v>468</v>
      </c>
      <c r="H249" s="1">
        <v>492</v>
      </c>
      <c r="I249" s="1">
        <f t="shared" si="0"/>
        <v>24</v>
      </c>
    </row>
    <row r="250" spans="1:11" x14ac:dyDescent="0.25">
      <c r="C250" s="1">
        <v>10</v>
      </c>
      <c r="D250" s="1">
        <v>2</v>
      </c>
      <c r="E250" s="1">
        <v>10</v>
      </c>
      <c r="F250" s="1">
        <v>17</v>
      </c>
      <c r="G250" s="1">
        <v>492</v>
      </c>
      <c r="H250" s="1">
        <v>517</v>
      </c>
      <c r="I250" s="1">
        <f t="shared" si="0"/>
        <v>25</v>
      </c>
    </row>
    <row r="251" spans="1:11" x14ac:dyDescent="0.25">
      <c r="C251" s="1">
        <v>10</v>
      </c>
      <c r="D251" s="1">
        <v>2</v>
      </c>
      <c r="E251" s="1">
        <v>10</v>
      </c>
      <c r="F251" s="1">
        <v>18</v>
      </c>
      <c r="G251" s="1">
        <v>519</v>
      </c>
      <c r="H251" s="1">
        <v>530</v>
      </c>
      <c r="I251" s="1">
        <f t="shared" si="0"/>
        <v>11</v>
      </c>
    </row>
    <row r="252" spans="1:11" x14ac:dyDescent="0.25">
      <c r="A252" s="5">
        <v>1</v>
      </c>
      <c r="B252" s="2">
        <v>43812</v>
      </c>
      <c r="C252" s="1">
        <v>11</v>
      </c>
      <c r="D252" s="1">
        <v>1</v>
      </c>
      <c r="E252" s="1">
        <v>10</v>
      </c>
      <c r="F252" s="1">
        <v>1</v>
      </c>
      <c r="G252" s="1">
        <v>7</v>
      </c>
      <c r="H252" s="1">
        <v>7</v>
      </c>
      <c r="I252" s="1">
        <f t="shared" si="0"/>
        <v>0</v>
      </c>
      <c r="J252" s="8">
        <f>(I252+I253+I254+I269+I268+I267+I260+I259+I261)/9</f>
        <v>29</v>
      </c>
      <c r="K252" s="8">
        <f>AVERAGE(I252:I269)</f>
        <v>35.277777777777779</v>
      </c>
    </row>
    <row r="253" spans="1:11" x14ac:dyDescent="0.25">
      <c r="C253" s="1">
        <v>11</v>
      </c>
      <c r="D253" s="1">
        <v>1</v>
      </c>
      <c r="E253" s="1">
        <v>10</v>
      </c>
      <c r="F253" s="1">
        <v>2</v>
      </c>
      <c r="G253" s="1">
        <v>7</v>
      </c>
      <c r="H253" s="1">
        <v>55</v>
      </c>
      <c r="I253" s="1">
        <f t="shared" si="0"/>
        <v>48</v>
      </c>
    </row>
    <row r="254" spans="1:11" x14ac:dyDescent="0.25">
      <c r="C254" s="1">
        <v>11</v>
      </c>
      <c r="D254" s="1">
        <v>1</v>
      </c>
      <c r="E254" s="1">
        <v>10</v>
      </c>
      <c r="F254" s="1">
        <v>3</v>
      </c>
      <c r="G254" s="1">
        <v>58</v>
      </c>
      <c r="H254" s="1">
        <v>89</v>
      </c>
      <c r="I254" s="1">
        <f t="shared" si="0"/>
        <v>31</v>
      </c>
    </row>
    <row r="255" spans="1:11" x14ac:dyDescent="0.25">
      <c r="C255" s="1">
        <v>11</v>
      </c>
      <c r="D255" s="1">
        <v>1</v>
      </c>
      <c r="E255" s="1">
        <v>10</v>
      </c>
      <c r="F255" s="1">
        <v>4</v>
      </c>
      <c r="G255" s="1">
        <v>89</v>
      </c>
      <c r="H255" s="1">
        <v>130</v>
      </c>
      <c r="I255" s="1">
        <f t="shared" si="0"/>
        <v>41</v>
      </c>
    </row>
    <row r="256" spans="1:11" x14ac:dyDescent="0.25">
      <c r="C256" s="1">
        <v>11</v>
      </c>
      <c r="D256" s="1">
        <v>1</v>
      </c>
      <c r="E256" s="1">
        <v>10</v>
      </c>
      <c r="F256" s="1">
        <v>5</v>
      </c>
      <c r="G256" s="1">
        <v>130</v>
      </c>
      <c r="H256" s="1">
        <v>182</v>
      </c>
      <c r="I256" s="1">
        <f t="shared" si="0"/>
        <v>52</v>
      </c>
    </row>
    <row r="257" spans="1:9" x14ac:dyDescent="0.25">
      <c r="C257" s="1">
        <v>11</v>
      </c>
      <c r="D257" s="1">
        <v>1</v>
      </c>
      <c r="E257" s="1">
        <v>10</v>
      </c>
      <c r="F257" s="1">
        <v>6</v>
      </c>
      <c r="G257" s="1">
        <v>184</v>
      </c>
      <c r="H257" s="1">
        <v>236</v>
      </c>
      <c r="I257" s="1">
        <f t="shared" si="0"/>
        <v>52</v>
      </c>
    </row>
    <row r="258" spans="1:9" x14ac:dyDescent="0.25">
      <c r="C258" s="1">
        <v>11</v>
      </c>
      <c r="D258" s="1">
        <v>1</v>
      </c>
      <c r="E258" s="1">
        <v>10</v>
      </c>
      <c r="F258" s="1">
        <v>7</v>
      </c>
      <c r="G258" s="1">
        <v>236</v>
      </c>
      <c r="H258" s="1">
        <v>283</v>
      </c>
      <c r="I258" s="1">
        <f t="shared" ref="I258:I465" si="1">H258-G258</f>
        <v>47</v>
      </c>
    </row>
    <row r="259" spans="1:9" x14ac:dyDescent="0.25">
      <c r="C259" s="1">
        <v>11</v>
      </c>
      <c r="D259" s="1">
        <v>1</v>
      </c>
      <c r="E259" s="1">
        <v>10</v>
      </c>
      <c r="F259" s="1">
        <v>8</v>
      </c>
      <c r="G259" s="1">
        <v>284</v>
      </c>
      <c r="H259" s="1">
        <v>340</v>
      </c>
      <c r="I259" s="1">
        <f t="shared" si="1"/>
        <v>56</v>
      </c>
    </row>
    <row r="260" spans="1:9" x14ac:dyDescent="0.25">
      <c r="C260" s="1">
        <v>11</v>
      </c>
      <c r="D260" s="1">
        <v>1</v>
      </c>
      <c r="E260" s="1">
        <v>10</v>
      </c>
      <c r="F260" s="1">
        <v>9</v>
      </c>
      <c r="G260" s="1">
        <v>342</v>
      </c>
      <c r="H260" s="1">
        <v>366</v>
      </c>
      <c r="I260" s="1">
        <f t="shared" si="1"/>
        <v>24</v>
      </c>
    </row>
    <row r="261" spans="1:9" x14ac:dyDescent="0.25">
      <c r="C261" s="1">
        <v>11</v>
      </c>
      <c r="D261" s="1">
        <v>1</v>
      </c>
      <c r="E261" s="1">
        <v>10</v>
      </c>
      <c r="F261" s="1">
        <v>10</v>
      </c>
      <c r="G261" s="1">
        <v>366</v>
      </c>
      <c r="H261" s="1">
        <v>416</v>
      </c>
      <c r="I261" s="1">
        <f t="shared" si="1"/>
        <v>50</v>
      </c>
    </row>
    <row r="262" spans="1:9" x14ac:dyDescent="0.25">
      <c r="C262" s="1">
        <v>11</v>
      </c>
      <c r="D262" s="1">
        <v>1</v>
      </c>
      <c r="E262" s="1">
        <v>10</v>
      </c>
      <c r="F262" s="1">
        <v>11</v>
      </c>
      <c r="G262" s="1">
        <v>416</v>
      </c>
      <c r="H262" s="1">
        <v>452</v>
      </c>
      <c r="I262" s="1">
        <f t="shared" si="1"/>
        <v>36</v>
      </c>
    </row>
    <row r="263" spans="1:9" x14ac:dyDescent="0.25">
      <c r="C263" s="1">
        <v>11</v>
      </c>
      <c r="D263" s="1">
        <v>1</v>
      </c>
      <c r="E263" s="1">
        <v>10</v>
      </c>
      <c r="F263" s="1">
        <v>12</v>
      </c>
      <c r="G263" s="1">
        <v>452</v>
      </c>
      <c r="H263" s="1">
        <v>465</v>
      </c>
      <c r="I263" s="1">
        <f t="shared" si="1"/>
        <v>13</v>
      </c>
    </row>
    <row r="264" spans="1:9" x14ac:dyDescent="0.25">
      <c r="C264" s="1">
        <v>11</v>
      </c>
      <c r="D264" s="1">
        <v>1</v>
      </c>
      <c r="E264" s="1">
        <v>10</v>
      </c>
      <c r="F264" s="1">
        <v>13</v>
      </c>
      <c r="G264" s="1">
        <v>465</v>
      </c>
      <c r="H264" s="1">
        <v>508</v>
      </c>
      <c r="I264" s="1">
        <f t="shared" si="1"/>
        <v>43</v>
      </c>
    </row>
    <row r="265" spans="1:9" x14ac:dyDescent="0.25">
      <c r="C265" s="1">
        <v>11</v>
      </c>
      <c r="D265" s="1">
        <v>1</v>
      </c>
      <c r="E265" s="1">
        <v>10</v>
      </c>
      <c r="F265" s="1">
        <v>14</v>
      </c>
      <c r="G265" s="1">
        <v>508</v>
      </c>
      <c r="H265" s="1">
        <v>553</v>
      </c>
      <c r="I265" s="1">
        <f t="shared" si="1"/>
        <v>45</v>
      </c>
    </row>
    <row r="266" spans="1:9" x14ac:dyDescent="0.25">
      <c r="C266" s="1">
        <v>11</v>
      </c>
      <c r="D266" s="1">
        <v>1</v>
      </c>
      <c r="E266" s="1">
        <v>10</v>
      </c>
      <c r="F266" s="1">
        <v>15</v>
      </c>
      <c r="G266" s="1">
        <v>555</v>
      </c>
      <c r="H266" s="1">
        <v>600</v>
      </c>
      <c r="I266" s="1">
        <f t="shared" si="1"/>
        <v>45</v>
      </c>
    </row>
    <row r="267" spans="1:9" x14ac:dyDescent="0.25">
      <c r="C267" s="1">
        <v>11</v>
      </c>
      <c r="D267" s="1">
        <v>1</v>
      </c>
      <c r="E267" s="1">
        <v>10</v>
      </c>
      <c r="F267" s="1">
        <v>16</v>
      </c>
      <c r="G267" s="1">
        <v>600</v>
      </c>
      <c r="H267" s="1">
        <v>600</v>
      </c>
      <c r="I267" s="1">
        <f t="shared" si="1"/>
        <v>0</v>
      </c>
    </row>
    <row r="268" spans="1:9" x14ac:dyDescent="0.25">
      <c r="C268" s="1">
        <v>11</v>
      </c>
      <c r="D268" s="1">
        <v>1</v>
      </c>
      <c r="E268" s="1">
        <v>10</v>
      </c>
      <c r="F268" s="1">
        <v>17</v>
      </c>
      <c r="G268" s="1">
        <v>600</v>
      </c>
      <c r="H268" s="1">
        <v>631</v>
      </c>
      <c r="I268" s="1">
        <f t="shared" si="1"/>
        <v>31</v>
      </c>
    </row>
    <row r="269" spans="1:9" x14ac:dyDescent="0.25">
      <c r="C269" s="1">
        <v>11</v>
      </c>
      <c r="D269" s="1">
        <v>1</v>
      </c>
      <c r="E269" s="1">
        <v>10</v>
      </c>
      <c r="F269" s="1">
        <v>18</v>
      </c>
      <c r="G269" s="1">
        <v>631</v>
      </c>
      <c r="H269" s="1">
        <v>652</v>
      </c>
      <c r="I269" s="1">
        <f t="shared" si="1"/>
        <v>21</v>
      </c>
    </row>
    <row r="270" spans="1:9" x14ac:dyDescent="0.25">
      <c r="A270" s="9">
        <v>2</v>
      </c>
      <c r="B270" s="4">
        <v>43819</v>
      </c>
      <c r="C270" s="3">
        <v>9</v>
      </c>
      <c r="D270" s="3">
        <v>1</v>
      </c>
      <c r="E270" s="3">
        <v>10</v>
      </c>
      <c r="F270" s="3">
        <v>1</v>
      </c>
      <c r="G270" s="3">
        <v>1</v>
      </c>
      <c r="H270" s="3">
        <v>6</v>
      </c>
      <c r="I270" s="3">
        <f t="shared" si="1"/>
        <v>5</v>
      </c>
    </row>
    <row r="271" spans="1:9" x14ac:dyDescent="0.25">
      <c r="A271" s="9"/>
      <c r="B271" s="3"/>
      <c r="C271" s="3">
        <v>9</v>
      </c>
      <c r="D271" s="3">
        <v>1</v>
      </c>
      <c r="E271" s="3">
        <v>10</v>
      </c>
      <c r="F271" s="3">
        <v>2</v>
      </c>
      <c r="G271" s="3">
        <v>9</v>
      </c>
      <c r="H271" s="3">
        <v>48</v>
      </c>
      <c r="I271" s="3">
        <f t="shared" si="1"/>
        <v>39</v>
      </c>
    </row>
    <row r="272" spans="1:9" x14ac:dyDescent="0.25">
      <c r="A272" s="9"/>
      <c r="B272" s="3"/>
      <c r="C272" s="3">
        <v>9</v>
      </c>
      <c r="D272" s="3">
        <v>1</v>
      </c>
      <c r="E272" s="3">
        <v>10</v>
      </c>
      <c r="F272" s="3">
        <v>3</v>
      </c>
      <c r="G272" s="3">
        <v>48</v>
      </c>
      <c r="H272" s="3">
        <v>52</v>
      </c>
      <c r="I272" s="3">
        <f t="shared" si="1"/>
        <v>4</v>
      </c>
    </row>
    <row r="273" spans="1:11" x14ac:dyDescent="0.25">
      <c r="A273" s="9"/>
      <c r="B273" s="3"/>
      <c r="C273" s="3">
        <v>9</v>
      </c>
      <c r="D273" s="3">
        <v>1</v>
      </c>
      <c r="E273" s="3">
        <v>10</v>
      </c>
      <c r="F273" s="3">
        <v>4</v>
      </c>
      <c r="G273" s="3">
        <v>52</v>
      </c>
      <c r="H273" s="3">
        <v>52</v>
      </c>
      <c r="I273" s="3">
        <f t="shared" si="1"/>
        <v>0</v>
      </c>
    </row>
    <row r="274" spans="1:11" x14ac:dyDescent="0.25">
      <c r="A274" s="9"/>
      <c r="B274" s="3"/>
      <c r="C274" s="3">
        <v>9</v>
      </c>
      <c r="D274" s="3">
        <v>1</v>
      </c>
      <c r="E274" s="3">
        <v>10</v>
      </c>
      <c r="F274" s="3">
        <v>5</v>
      </c>
      <c r="G274" s="3">
        <v>52</v>
      </c>
      <c r="H274" s="3">
        <v>53</v>
      </c>
      <c r="I274" s="3">
        <f t="shared" si="1"/>
        <v>1</v>
      </c>
    </row>
    <row r="275" spans="1:11" x14ac:dyDescent="0.25">
      <c r="A275" s="9"/>
      <c r="B275" s="3"/>
      <c r="C275" s="3">
        <v>9</v>
      </c>
      <c r="D275" s="3">
        <v>1</v>
      </c>
      <c r="E275" s="3">
        <v>10</v>
      </c>
      <c r="F275" s="3">
        <v>6</v>
      </c>
      <c r="G275" s="3">
        <v>53</v>
      </c>
      <c r="H275" s="3">
        <v>53</v>
      </c>
      <c r="I275" s="3">
        <f t="shared" si="1"/>
        <v>0</v>
      </c>
    </row>
    <row r="276" spans="1:11" x14ac:dyDescent="0.25">
      <c r="A276" s="9"/>
      <c r="B276" s="3"/>
      <c r="C276" s="3">
        <v>9</v>
      </c>
      <c r="D276" s="3">
        <v>1</v>
      </c>
      <c r="E276" s="3">
        <v>10</v>
      </c>
      <c r="F276" s="3">
        <v>7</v>
      </c>
      <c r="G276" s="3">
        <v>53</v>
      </c>
      <c r="H276" s="3">
        <v>53</v>
      </c>
      <c r="I276" s="3">
        <f t="shared" si="1"/>
        <v>0</v>
      </c>
    </row>
    <row r="277" spans="1:11" x14ac:dyDescent="0.25">
      <c r="A277" s="9"/>
      <c r="B277" s="3"/>
      <c r="C277" s="3">
        <v>9</v>
      </c>
      <c r="D277" s="3">
        <v>1</v>
      </c>
      <c r="E277" s="3">
        <v>10</v>
      </c>
      <c r="F277" s="3">
        <v>8</v>
      </c>
      <c r="G277" s="3">
        <v>53</v>
      </c>
      <c r="H277" s="3">
        <v>53</v>
      </c>
      <c r="I277" s="3">
        <f t="shared" si="1"/>
        <v>0</v>
      </c>
    </row>
    <row r="278" spans="1:11" x14ac:dyDescent="0.25">
      <c r="A278" s="5">
        <v>2</v>
      </c>
      <c r="B278" s="2">
        <v>43817</v>
      </c>
      <c r="C278" s="1">
        <v>10</v>
      </c>
      <c r="D278" s="1">
        <v>2</v>
      </c>
      <c r="E278" s="1">
        <v>10</v>
      </c>
      <c r="F278" s="1">
        <v>1</v>
      </c>
      <c r="G278" s="1">
        <v>2</v>
      </c>
      <c r="H278" s="1">
        <v>2</v>
      </c>
      <c r="I278" s="1">
        <f t="shared" si="1"/>
        <v>0</v>
      </c>
      <c r="J278" s="8">
        <f>(I278+I279+I280+I281+I282+I283+I284+I285+I286)/9</f>
        <v>23</v>
      </c>
      <c r="K278" s="8">
        <f>AVERAGE(I278:I286)</f>
        <v>23</v>
      </c>
    </row>
    <row r="279" spans="1:11" x14ac:dyDescent="0.25">
      <c r="C279" s="1">
        <v>10</v>
      </c>
      <c r="D279" s="1">
        <v>2</v>
      </c>
      <c r="E279" s="1">
        <v>10</v>
      </c>
      <c r="F279" s="1">
        <v>2</v>
      </c>
      <c r="G279" s="1">
        <v>2</v>
      </c>
      <c r="H279" s="1">
        <v>2</v>
      </c>
      <c r="I279" s="1">
        <f t="shared" si="1"/>
        <v>0</v>
      </c>
    </row>
    <row r="280" spans="1:11" x14ac:dyDescent="0.25">
      <c r="C280" s="1">
        <v>10</v>
      </c>
      <c r="D280" s="1">
        <v>2</v>
      </c>
      <c r="E280" s="1">
        <v>10</v>
      </c>
      <c r="F280" s="1">
        <v>3</v>
      </c>
      <c r="G280" s="1">
        <v>2</v>
      </c>
      <c r="H280" s="1">
        <v>37</v>
      </c>
      <c r="I280" s="1">
        <f t="shared" si="1"/>
        <v>35</v>
      </c>
    </row>
    <row r="281" spans="1:11" x14ac:dyDescent="0.25">
      <c r="C281" s="1">
        <v>10</v>
      </c>
      <c r="D281" s="1">
        <v>2</v>
      </c>
      <c r="E281" s="1">
        <v>10</v>
      </c>
      <c r="F281" s="1">
        <v>4</v>
      </c>
      <c r="G281" s="1">
        <v>38</v>
      </c>
      <c r="H281" s="1">
        <v>94</v>
      </c>
      <c r="I281" s="1">
        <f t="shared" si="1"/>
        <v>56</v>
      </c>
    </row>
    <row r="282" spans="1:11" x14ac:dyDescent="0.25">
      <c r="C282" s="1">
        <v>10</v>
      </c>
      <c r="D282" s="1">
        <v>2</v>
      </c>
      <c r="E282" s="1">
        <v>10</v>
      </c>
      <c r="F282" s="1">
        <v>5</v>
      </c>
      <c r="G282" s="1">
        <v>98</v>
      </c>
      <c r="H282" s="1">
        <v>154</v>
      </c>
      <c r="I282" s="1">
        <f t="shared" si="1"/>
        <v>56</v>
      </c>
    </row>
    <row r="283" spans="1:11" x14ac:dyDescent="0.25">
      <c r="C283" s="1">
        <v>10</v>
      </c>
      <c r="D283" s="1">
        <v>2</v>
      </c>
      <c r="E283" s="1">
        <v>10</v>
      </c>
      <c r="F283" s="1">
        <v>6</v>
      </c>
      <c r="G283" s="1">
        <v>156</v>
      </c>
      <c r="H283" s="1">
        <v>156</v>
      </c>
      <c r="I283" s="1">
        <f t="shared" si="1"/>
        <v>0</v>
      </c>
    </row>
    <row r="284" spans="1:11" x14ac:dyDescent="0.25">
      <c r="C284" s="1">
        <v>10</v>
      </c>
      <c r="D284" s="1">
        <v>2</v>
      </c>
      <c r="E284" s="1">
        <v>10</v>
      </c>
      <c r="F284" s="1">
        <v>7</v>
      </c>
      <c r="G284" s="1">
        <v>156</v>
      </c>
      <c r="H284" s="1">
        <v>180</v>
      </c>
      <c r="I284" s="1">
        <f>H284-G284</f>
        <v>24</v>
      </c>
    </row>
    <row r="285" spans="1:11" x14ac:dyDescent="0.25">
      <c r="C285" s="1">
        <v>10</v>
      </c>
      <c r="D285" s="1">
        <v>2</v>
      </c>
      <c r="E285" s="1">
        <v>10</v>
      </c>
      <c r="F285" s="1">
        <v>8</v>
      </c>
      <c r="G285" s="1">
        <v>181</v>
      </c>
      <c r="H285" s="1">
        <v>217</v>
      </c>
      <c r="I285" s="1">
        <f t="shared" si="1"/>
        <v>36</v>
      </c>
    </row>
    <row r="286" spans="1:11" x14ac:dyDescent="0.25">
      <c r="C286" s="1">
        <v>10</v>
      </c>
      <c r="D286" s="1">
        <v>2</v>
      </c>
      <c r="E286" s="1">
        <v>10</v>
      </c>
      <c r="F286" s="1">
        <v>9</v>
      </c>
      <c r="G286" s="1">
        <v>217</v>
      </c>
      <c r="H286" s="1">
        <v>217</v>
      </c>
      <c r="I286" s="1">
        <f t="shared" si="1"/>
        <v>0</v>
      </c>
    </row>
    <row r="287" spans="1:11" x14ac:dyDescent="0.25">
      <c r="A287" s="5">
        <v>2</v>
      </c>
      <c r="B287" s="2">
        <v>43815</v>
      </c>
      <c r="C287" s="1">
        <v>11</v>
      </c>
      <c r="D287" s="1">
        <v>1</v>
      </c>
      <c r="E287" s="1">
        <v>10</v>
      </c>
      <c r="F287" s="1">
        <v>1</v>
      </c>
      <c r="G287" s="1">
        <v>17</v>
      </c>
      <c r="H287" s="1">
        <v>65</v>
      </c>
      <c r="I287" s="1">
        <f t="shared" si="1"/>
        <v>48</v>
      </c>
      <c r="J287" s="8">
        <f>(I287+I288+I289+I304+I303+I302+I295+I296+I294)/9</f>
        <v>27.222222222222221</v>
      </c>
      <c r="K287" s="8">
        <f>AVERAGE(I287:I304)</f>
        <v>25.111111111111111</v>
      </c>
    </row>
    <row r="288" spans="1:11" x14ac:dyDescent="0.25">
      <c r="C288" s="1">
        <v>11</v>
      </c>
      <c r="D288" s="1">
        <v>1</v>
      </c>
      <c r="E288" s="1">
        <v>10</v>
      </c>
      <c r="F288" s="1">
        <v>2</v>
      </c>
      <c r="G288" s="1">
        <v>65</v>
      </c>
      <c r="H288" s="1">
        <v>100</v>
      </c>
      <c r="I288" s="1">
        <f t="shared" si="1"/>
        <v>35</v>
      </c>
    </row>
    <row r="289" spans="3:9" x14ac:dyDescent="0.25">
      <c r="C289" s="1">
        <v>11</v>
      </c>
      <c r="D289" s="1">
        <v>1</v>
      </c>
      <c r="E289" s="1">
        <v>10</v>
      </c>
      <c r="F289" s="1">
        <v>3</v>
      </c>
      <c r="G289" s="1">
        <v>100</v>
      </c>
      <c r="H289" s="1">
        <v>129</v>
      </c>
      <c r="I289" s="1">
        <f t="shared" si="1"/>
        <v>29</v>
      </c>
    </row>
    <row r="290" spans="3:9" x14ac:dyDescent="0.25">
      <c r="C290" s="1">
        <v>11</v>
      </c>
      <c r="D290" s="1">
        <v>1</v>
      </c>
      <c r="E290" s="1">
        <v>10</v>
      </c>
      <c r="F290" s="1">
        <v>4</v>
      </c>
      <c r="G290" s="1">
        <v>129</v>
      </c>
      <c r="H290" s="1">
        <v>147</v>
      </c>
      <c r="I290" s="1">
        <f t="shared" si="1"/>
        <v>18</v>
      </c>
    </row>
    <row r="291" spans="3:9" x14ac:dyDescent="0.25">
      <c r="C291" s="1">
        <v>11</v>
      </c>
      <c r="D291" s="1">
        <v>1</v>
      </c>
      <c r="E291" s="1">
        <v>10</v>
      </c>
      <c r="F291" s="1">
        <v>5</v>
      </c>
      <c r="G291" s="1">
        <v>147</v>
      </c>
      <c r="H291" s="1">
        <v>183</v>
      </c>
      <c r="I291" s="1">
        <f t="shared" si="1"/>
        <v>36</v>
      </c>
    </row>
    <row r="292" spans="3:9" x14ac:dyDescent="0.25">
      <c r="C292" s="1">
        <v>11</v>
      </c>
      <c r="D292" s="1">
        <v>1</v>
      </c>
      <c r="E292" s="1">
        <v>10</v>
      </c>
      <c r="F292" s="1">
        <v>6</v>
      </c>
      <c r="G292" s="1">
        <v>183</v>
      </c>
      <c r="H292" s="1">
        <v>197</v>
      </c>
      <c r="I292" s="1">
        <f t="shared" si="1"/>
        <v>14</v>
      </c>
    </row>
    <row r="293" spans="3:9" x14ac:dyDescent="0.25">
      <c r="C293" s="1">
        <v>11</v>
      </c>
      <c r="D293" s="1">
        <v>1</v>
      </c>
      <c r="E293" s="1">
        <v>10</v>
      </c>
      <c r="F293" s="1">
        <v>7</v>
      </c>
      <c r="G293" s="1">
        <v>197</v>
      </c>
      <c r="H293" s="1">
        <v>236</v>
      </c>
      <c r="I293" s="1">
        <f t="shared" si="1"/>
        <v>39</v>
      </c>
    </row>
    <row r="294" spans="3:9" x14ac:dyDescent="0.25">
      <c r="C294" s="1">
        <v>11</v>
      </c>
      <c r="D294" s="1">
        <v>1</v>
      </c>
      <c r="E294" s="1">
        <v>10</v>
      </c>
      <c r="F294" s="1">
        <v>8</v>
      </c>
      <c r="G294" s="1">
        <v>236</v>
      </c>
      <c r="H294" s="1">
        <v>251</v>
      </c>
      <c r="I294" s="1">
        <f t="shared" si="1"/>
        <v>15</v>
      </c>
    </row>
    <row r="295" spans="3:9" x14ac:dyDescent="0.25">
      <c r="C295" s="1">
        <v>11</v>
      </c>
      <c r="D295" s="1">
        <v>1</v>
      </c>
      <c r="E295" s="1">
        <v>10</v>
      </c>
      <c r="F295" s="1">
        <v>9</v>
      </c>
      <c r="G295" s="1">
        <v>251</v>
      </c>
      <c r="H295" s="1">
        <v>297</v>
      </c>
      <c r="I295" s="1">
        <f t="shared" si="1"/>
        <v>46</v>
      </c>
    </row>
    <row r="296" spans="3:9" x14ac:dyDescent="0.25">
      <c r="C296" s="1">
        <v>11</v>
      </c>
      <c r="D296" s="1">
        <v>1</v>
      </c>
      <c r="E296" s="1">
        <v>10</v>
      </c>
      <c r="F296" s="1">
        <v>10</v>
      </c>
      <c r="G296" s="1">
        <v>303</v>
      </c>
      <c r="H296" s="1">
        <v>350</v>
      </c>
      <c r="I296" s="1">
        <f t="shared" si="1"/>
        <v>47</v>
      </c>
    </row>
    <row r="297" spans="3:9" x14ac:dyDescent="0.25">
      <c r="C297" s="1">
        <v>11</v>
      </c>
      <c r="D297" s="1">
        <v>1</v>
      </c>
      <c r="E297" s="1">
        <v>10</v>
      </c>
      <c r="F297" s="1">
        <v>11</v>
      </c>
      <c r="G297" s="1">
        <v>353</v>
      </c>
      <c r="H297" s="1">
        <v>382</v>
      </c>
      <c r="I297" s="1">
        <f t="shared" si="1"/>
        <v>29</v>
      </c>
    </row>
    <row r="298" spans="3:9" x14ac:dyDescent="0.25">
      <c r="C298" s="1">
        <v>11</v>
      </c>
      <c r="D298" s="1">
        <v>1</v>
      </c>
      <c r="E298" s="1">
        <v>10</v>
      </c>
      <c r="F298" s="1">
        <v>12</v>
      </c>
      <c r="G298" s="1">
        <v>398</v>
      </c>
      <c r="H298" s="1">
        <v>435</v>
      </c>
      <c r="I298" s="1">
        <f t="shared" si="1"/>
        <v>37</v>
      </c>
    </row>
    <row r="299" spans="3:9" x14ac:dyDescent="0.25">
      <c r="C299" s="1">
        <v>11</v>
      </c>
      <c r="D299" s="1">
        <v>1</v>
      </c>
      <c r="E299" s="1">
        <v>10</v>
      </c>
      <c r="F299" s="1">
        <v>13</v>
      </c>
      <c r="G299" s="1">
        <v>440</v>
      </c>
      <c r="H299" s="1">
        <v>464</v>
      </c>
      <c r="I299" s="1">
        <f t="shared" si="1"/>
        <v>24</v>
      </c>
    </row>
    <row r="300" spans="3:9" x14ac:dyDescent="0.25">
      <c r="C300" s="1">
        <v>11</v>
      </c>
      <c r="D300" s="1">
        <v>1</v>
      </c>
      <c r="E300" s="1">
        <v>10</v>
      </c>
      <c r="F300" s="1">
        <v>14</v>
      </c>
      <c r="G300" s="1">
        <v>464</v>
      </c>
      <c r="H300" s="1">
        <v>464</v>
      </c>
      <c r="I300" s="1">
        <f t="shared" si="1"/>
        <v>0</v>
      </c>
    </row>
    <row r="301" spans="3:9" x14ac:dyDescent="0.25">
      <c r="C301" s="1">
        <v>11</v>
      </c>
      <c r="D301" s="1">
        <v>1</v>
      </c>
      <c r="E301" s="1">
        <v>10</v>
      </c>
      <c r="F301" s="1">
        <v>15</v>
      </c>
      <c r="G301" s="1">
        <v>467</v>
      </c>
      <c r="H301" s="1">
        <v>477</v>
      </c>
      <c r="I301" s="1">
        <f t="shared" si="1"/>
        <v>10</v>
      </c>
    </row>
    <row r="302" spans="3:9" x14ac:dyDescent="0.25">
      <c r="C302" s="1">
        <v>11</v>
      </c>
      <c r="D302" s="1">
        <v>1</v>
      </c>
      <c r="E302" s="1">
        <v>10</v>
      </c>
      <c r="F302" s="1">
        <v>16</v>
      </c>
      <c r="G302" s="1">
        <v>477</v>
      </c>
      <c r="H302" s="1">
        <v>482</v>
      </c>
      <c r="I302" s="1">
        <f t="shared" si="1"/>
        <v>5</v>
      </c>
    </row>
    <row r="303" spans="3:9" x14ac:dyDescent="0.25">
      <c r="C303" s="1">
        <v>11</v>
      </c>
      <c r="D303" s="1">
        <v>1</v>
      </c>
      <c r="E303" s="1">
        <v>10</v>
      </c>
      <c r="F303" s="1">
        <v>17</v>
      </c>
      <c r="G303" s="1">
        <v>482</v>
      </c>
      <c r="H303" s="1">
        <v>502</v>
      </c>
      <c r="I303" s="1">
        <f t="shared" si="1"/>
        <v>20</v>
      </c>
    </row>
    <row r="304" spans="3:9" x14ac:dyDescent="0.25">
      <c r="C304" s="1">
        <v>11</v>
      </c>
      <c r="D304" s="1">
        <v>1</v>
      </c>
      <c r="E304" s="1">
        <v>10</v>
      </c>
      <c r="F304" s="1">
        <v>18</v>
      </c>
      <c r="G304" s="1">
        <v>509</v>
      </c>
      <c r="H304" s="1">
        <v>509</v>
      </c>
      <c r="I304" s="1">
        <f t="shared" si="1"/>
        <v>0</v>
      </c>
    </row>
    <row r="305" spans="1:11" x14ac:dyDescent="0.25">
      <c r="A305" s="5">
        <v>1</v>
      </c>
      <c r="B305" s="2">
        <v>43889</v>
      </c>
      <c r="C305" s="1">
        <v>13</v>
      </c>
      <c r="D305" s="1">
        <v>1</v>
      </c>
      <c r="E305" s="1">
        <v>10</v>
      </c>
      <c r="F305" s="1">
        <v>1</v>
      </c>
      <c r="G305" s="1">
        <v>1</v>
      </c>
      <c r="H305" s="1">
        <v>5</v>
      </c>
      <c r="I305" s="1">
        <f t="shared" si="1"/>
        <v>4</v>
      </c>
      <c r="J305" s="8">
        <f>(I305+I306+I307+I329+I328+I327+I316+I317+I318)/9</f>
        <v>30.111111111111111</v>
      </c>
      <c r="K305" s="8">
        <f>AVERAGE(I305:I329)</f>
        <v>35.4</v>
      </c>
    </row>
    <row r="306" spans="1:11" x14ac:dyDescent="0.25">
      <c r="C306" s="1">
        <v>13</v>
      </c>
      <c r="D306" s="1">
        <v>1</v>
      </c>
      <c r="E306" s="1">
        <v>10</v>
      </c>
      <c r="F306" s="1">
        <v>2</v>
      </c>
      <c r="G306" s="1">
        <v>5</v>
      </c>
      <c r="H306" s="1">
        <v>9</v>
      </c>
      <c r="I306" s="1">
        <f t="shared" si="1"/>
        <v>4</v>
      </c>
    </row>
    <row r="307" spans="1:11" x14ac:dyDescent="0.25">
      <c r="C307" s="1">
        <v>13</v>
      </c>
      <c r="D307" s="1">
        <v>1</v>
      </c>
      <c r="E307" s="1">
        <v>10</v>
      </c>
      <c r="F307" s="1">
        <v>3</v>
      </c>
      <c r="G307" s="1">
        <v>9</v>
      </c>
      <c r="H307" s="1">
        <v>37</v>
      </c>
      <c r="I307" s="1">
        <f t="shared" si="1"/>
        <v>28</v>
      </c>
    </row>
    <row r="308" spans="1:11" x14ac:dyDescent="0.25">
      <c r="C308" s="1">
        <v>13</v>
      </c>
      <c r="D308" s="1">
        <v>1</v>
      </c>
      <c r="E308" s="1">
        <v>10</v>
      </c>
      <c r="F308" s="1">
        <v>4</v>
      </c>
      <c r="G308" s="1">
        <v>37</v>
      </c>
      <c r="H308" s="1">
        <v>57</v>
      </c>
      <c r="I308" s="1">
        <f t="shared" si="1"/>
        <v>20</v>
      </c>
    </row>
    <row r="309" spans="1:11" x14ac:dyDescent="0.25">
      <c r="C309" s="1">
        <v>13</v>
      </c>
      <c r="D309" s="1">
        <v>1</v>
      </c>
      <c r="E309" s="1">
        <v>10</v>
      </c>
      <c r="F309" s="1">
        <v>5</v>
      </c>
      <c r="G309" s="1">
        <v>65</v>
      </c>
      <c r="H309" s="1">
        <v>86</v>
      </c>
      <c r="I309" s="1">
        <f t="shared" si="1"/>
        <v>21</v>
      </c>
    </row>
    <row r="310" spans="1:11" x14ac:dyDescent="0.25">
      <c r="C310" s="1">
        <v>13</v>
      </c>
      <c r="D310" s="1">
        <v>1</v>
      </c>
      <c r="E310" s="1">
        <v>10</v>
      </c>
      <c r="F310" s="1">
        <v>6</v>
      </c>
      <c r="G310" s="1">
        <v>99</v>
      </c>
      <c r="H310" s="1">
        <v>151</v>
      </c>
      <c r="I310" s="1">
        <f t="shared" si="1"/>
        <v>52</v>
      </c>
    </row>
    <row r="311" spans="1:11" x14ac:dyDescent="0.25">
      <c r="C311" s="1">
        <v>13</v>
      </c>
      <c r="D311" s="1">
        <v>1</v>
      </c>
      <c r="E311" s="1">
        <v>10</v>
      </c>
      <c r="F311" s="1">
        <v>7</v>
      </c>
      <c r="G311" s="1">
        <v>152</v>
      </c>
      <c r="H311" s="1">
        <v>163</v>
      </c>
      <c r="I311" s="1">
        <f t="shared" si="1"/>
        <v>11</v>
      </c>
    </row>
    <row r="312" spans="1:11" x14ac:dyDescent="0.25">
      <c r="C312" s="1">
        <v>13</v>
      </c>
      <c r="D312" s="1">
        <v>1</v>
      </c>
      <c r="E312" s="1">
        <v>10</v>
      </c>
      <c r="F312" s="1">
        <v>8</v>
      </c>
      <c r="G312" s="1">
        <v>163</v>
      </c>
      <c r="H312" s="1">
        <v>192</v>
      </c>
      <c r="I312" s="1">
        <f t="shared" si="1"/>
        <v>29</v>
      </c>
    </row>
    <row r="313" spans="1:11" x14ac:dyDescent="0.25">
      <c r="C313" s="1">
        <v>13</v>
      </c>
      <c r="D313" s="1">
        <v>1</v>
      </c>
      <c r="E313" s="1">
        <v>10</v>
      </c>
      <c r="F313" s="1">
        <v>9</v>
      </c>
      <c r="G313" s="1">
        <v>194</v>
      </c>
      <c r="H313" s="1">
        <v>225</v>
      </c>
      <c r="I313" s="1">
        <f t="shared" si="1"/>
        <v>31</v>
      </c>
    </row>
    <row r="314" spans="1:11" x14ac:dyDescent="0.25">
      <c r="C314" s="1">
        <v>13</v>
      </c>
      <c r="D314" s="1">
        <v>1</v>
      </c>
      <c r="E314" s="1">
        <v>10</v>
      </c>
      <c r="F314" s="1">
        <v>10</v>
      </c>
      <c r="G314" s="1">
        <v>225</v>
      </c>
      <c r="H314" s="1">
        <v>274</v>
      </c>
      <c r="I314" s="1">
        <f>H314-G314</f>
        <v>49</v>
      </c>
    </row>
    <row r="315" spans="1:11" x14ac:dyDescent="0.25">
      <c r="C315" s="1">
        <v>13</v>
      </c>
      <c r="D315" s="1">
        <v>1</v>
      </c>
      <c r="E315" s="1">
        <v>10</v>
      </c>
      <c r="F315" s="1">
        <v>11</v>
      </c>
      <c r="G315" s="1">
        <v>295</v>
      </c>
      <c r="H315" s="1">
        <v>345</v>
      </c>
      <c r="I315" s="1">
        <f t="shared" si="1"/>
        <v>50</v>
      </c>
    </row>
    <row r="316" spans="1:11" x14ac:dyDescent="0.25">
      <c r="C316" s="1">
        <v>13</v>
      </c>
      <c r="D316" s="1">
        <v>1</v>
      </c>
      <c r="E316" s="1">
        <v>10</v>
      </c>
      <c r="F316" s="1">
        <v>12</v>
      </c>
      <c r="G316" s="1">
        <v>355</v>
      </c>
      <c r="H316" s="1">
        <v>386</v>
      </c>
      <c r="I316" s="1">
        <f t="shared" si="1"/>
        <v>31</v>
      </c>
    </row>
    <row r="317" spans="1:11" x14ac:dyDescent="0.25">
      <c r="C317" s="1">
        <v>13</v>
      </c>
      <c r="D317" s="1">
        <v>1</v>
      </c>
      <c r="E317" s="1">
        <v>10</v>
      </c>
      <c r="F317" s="1">
        <v>13</v>
      </c>
      <c r="G317" s="1">
        <v>386</v>
      </c>
      <c r="H317" s="1">
        <v>422</v>
      </c>
      <c r="I317" s="1">
        <f t="shared" si="1"/>
        <v>36</v>
      </c>
    </row>
    <row r="318" spans="1:11" x14ac:dyDescent="0.25">
      <c r="C318" s="1">
        <v>13</v>
      </c>
      <c r="D318" s="1">
        <v>1</v>
      </c>
      <c r="E318" s="1">
        <v>10</v>
      </c>
      <c r="F318" s="1">
        <v>14</v>
      </c>
      <c r="G318" s="1">
        <v>422</v>
      </c>
      <c r="H318" s="1">
        <v>456</v>
      </c>
      <c r="I318" s="1">
        <f t="shared" si="1"/>
        <v>34</v>
      </c>
    </row>
    <row r="319" spans="1:11" x14ac:dyDescent="0.25">
      <c r="C319" s="1">
        <v>13</v>
      </c>
      <c r="D319" s="1">
        <v>1</v>
      </c>
      <c r="E319" s="1">
        <v>10</v>
      </c>
      <c r="F319" s="1">
        <v>15</v>
      </c>
      <c r="G319" s="1">
        <v>460</v>
      </c>
      <c r="H319" s="1">
        <v>519</v>
      </c>
      <c r="I319" s="1">
        <f t="shared" si="1"/>
        <v>59</v>
      </c>
    </row>
    <row r="320" spans="1:11" x14ac:dyDescent="0.25">
      <c r="C320" s="1">
        <v>13</v>
      </c>
      <c r="D320" s="1">
        <v>1</v>
      </c>
      <c r="E320" s="1">
        <v>10</v>
      </c>
      <c r="F320" s="1">
        <v>16</v>
      </c>
      <c r="G320" s="1">
        <v>519</v>
      </c>
      <c r="H320" s="1">
        <v>570</v>
      </c>
      <c r="I320" s="1">
        <f t="shared" si="1"/>
        <v>51</v>
      </c>
    </row>
    <row r="321" spans="1:11" x14ac:dyDescent="0.25">
      <c r="C321" s="1">
        <v>13</v>
      </c>
      <c r="D321" s="1">
        <v>1</v>
      </c>
      <c r="E321" s="1">
        <v>10</v>
      </c>
      <c r="F321" s="1">
        <v>17</v>
      </c>
      <c r="G321" s="1">
        <v>570</v>
      </c>
      <c r="H321" s="1">
        <v>612</v>
      </c>
      <c r="I321" s="1">
        <f t="shared" si="1"/>
        <v>42</v>
      </c>
    </row>
    <row r="322" spans="1:11" x14ac:dyDescent="0.25">
      <c r="C322" s="1">
        <v>13</v>
      </c>
      <c r="D322" s="1">
        <v>1</v>
      </c>
      <c r="E322" s="1">
        <v>10</v>
      </c>
      <c r="F322" s="1">
        <v>18</v>
      </c>
      <c r="G322" s="1">
        <v>612</v>
      </c>
      <c r="H322" s="1">
        <v>649</v>
      </c>
      <c r="I322" s="1">
        <f t="shared" si="1"/>
        <v>37</v>
      </c>
    </row>
    <row r="323" spans="1:11" x14ac:dyDescent="0.25">
      <c r="C323" s="1">
        <v>13</v>
      </c>
      <c r="D323" s="1">
        <v>1</v>
      </c>
      <c r="E323" s="1">
        <v>10</v>
      </c>
      <c r="F323" s="1">
        <v>19</v>
      </c>
      <c r="G323" s="1">
        <v>653</v>
      </c>
      <c r="H323" s="1">
        <v>686</v>
      </c>
      <c r="I323" s="1">
        <f t="shared" si="1"/>
        <v>33</v>
      </c>
    </row>
    <row r="324" spans="1:11" x14ac:dyDescent="0.25">
      <c r="C324" s="1">
        <v>13</v>
      </c>
      <c r="D324" s="1">
        <v>1</v>
      </c>
      <c r="E324" s="1">
        <v>10</v>
      </c>
      <c r="F324" s="1">
        <v>20</v>
      </c>
      <c r="G324" s="1">
        <v>686</v>
      </c>
      <c r="H324" s="1">
        <v>738</v>
      </c>
      <c r="I324" s="1">
        <f t="shared" si="1"/>
        <v>52</v>
      </c>
    </row>
    <row r="325" spans="1:11" x14ac:dyDescent="0.25">
      <c r="C325" s="1">
        <v>13</v>
      </c>
      <c r="D325" s="1">
        <v>1</v>
      </c>
      <c r="E325" s="1">
        <v>10</v>
      </c>
      <c r="F325" s="1">
        <v>21</v>
      </c>
      <c r="G325" s="1">
        <v>748</v>
      </c>
      <c r="H325" s="1">
        <v>771</v>
      </c>
      <c r="I325" s="1">
        <f>H325-G325</f>
        <v>23</v>
      </c>
    </row>
    <row r="326" spans="1:11" x14ac:dyDescent="0.25">
      <c r="C326" s="1">
        <v>13</v>
      </c>
      <c r="D326" s="1">
        <v>1</v>
      </c>
      <c r="E326" s="1">
        <v>10</v>
      </c>
      <c r="F326" s="1">
        <v>22</v>
      </c>
      <c r="G326" s="1">
        <v>771</v>
      </c>
      <c r="H326" s="1">
        <v>825</v>
      </c>
      <c r="I326" s="1">
        <f t="shared" si="1"/>
        <v>54</v>
      </c>
    </row>
    <row r="327" spans="1:11" x14ac:dyDescent="0.25">
      <c r="C327" s="1">
        <v>13</v>
      </c>
      <c r="D327" s="1">
        <v>1</v>
      </c>
      <c r="E327" s="1">
        <v>10</v>
      </c>
      <c r="F327" s="1">
        <v>23</v>
      </c>
      <c r="G327" s="1">
        <v>838</v>
      </c>
      <c r="H327" s="1">
        <v>882</v>
      </c>
      <c r="I327" s="1">
        <f t="shared" si="1"/>
        <v>44</v>
      </c>
    </row>
    <row r="328" spans="1:11" x14ac:dyDescent="0.25">
      <c r="C328" s="1">
        <v>13</v>
      </c>
      <c r="D328" s="1">
        <v>1</v>
      </c>
      <c r="E328" s="1">
        <v>10</v>
      </c>
      <c r="F328" s="1">
        <v>24</v>
      </c>
      <c r="G328" s="1">
        <v>882</v>
      </c>
      <c r="H328" s="1">
        <v>922</v>
      </c>
      <c r="I328" s="1">
        <f t="shared" si="1"/>
        <v>40</v>
      </c>
    </row>
    <row r="329" spans="1:11" x14ac:dyDescent="0.25">
      <c r="C329" s="1">
        <v>13</v>
      </c>
      <c r="D329" s="1">
        <v>1</v>
      </c>
      <c r="E329" s="1">
        <v>10</v>
      </c>
      <c r="F329" s="1">
        <v>25</v>
      </c>
      <c r="G329" s="1">
        <v>922</v>
      </c>
      <c r="H329" s="1">
        <v>972</v>
      </c>
      <c r="I329" s="1">
        <f t="shared" si="1"/>
        <v>50</v>
      </c>
    </row>
    <row r="330" spans="1:11" x14ac:dyDescent="0.25">
      <c r="A330" s="5">
        <v>1</v>
      </c>
      <c r="B330" s="2">
        <v>43887</v>
      </c>
      <c r="C330" s="1">
        <v>14</v>
      </c>
      <c r="D330" s="1">
        <v>2</v>
      </c>
      <c r="E330" s="1">
        <v>10</v>
      </c>
      <c r="F330" s="1">
        <v>1</v>
      </c>
      <c r="G330" s="1">
        <v>0</v>
      </c>
      <c r="H330" s="1">
        <v>0</v>
      </c>
      <c r="I330" s="1">
        <f t="shared" si="1"/>
        <v>0</v>
      </c>
      <c r="J330" s="8">
        <f>(I330+I331+I332+I354+I353+I352+I341+I342+I343)/9</f>
        <v>15.444444444444445</v>
      </c>
      <c r="K330" s="8">
        <f>AVERAGE(I330:I354)</f>
        <v>30.76</v>
      </c>
    </row>
    <row r="331" spans="1:11" x14ac:dyDescent="0.25">
      <c r="C331" s="1">
        <v>14</v>
      </c>
      <c r="D331" s="1">
        <v>2</v>
      </c>
      <c r="E331" s="1">
        <v>10</v>
      </c>
      <c r="F331" s="1">
        <v>2</v>
      </c>
      <c r="G331" s="1">
        <v>0</v>
      </c>
      <c r="H331" s="1">
        <v>0</v>
      </c>
      <c r="I331" s="1">
        <f t="shared" si="1"/>
        <v>0</v>
      </c>
    </row>
    <row r="332" spans="1:11" x14ac:dyDescent="0.25">
      <c r="C332" s="1">
        <v>14</v>
      </c>
      <c r="D332" s="1">
        <v>2</v>
      </c>
      <c r="E332" s="1">
        <v>10</v>
      </c>
      <c r="F332" s="1">
        <v>3</v>
      </c>
      <c r="G332" s="1">
        <v>0</v>
      </c>
      <c r="H332" s="1">
        <v>24</v>
      </c>
      <c r="I332" s="1">
        <f t="shared" si="1"/>
        <v>24</v>
      </c>
    </row>
    <row r="333" spans="1:11" x14ac:dyDescent="0.25">
      <c r="C333" s="1">
        <v>14</v>
      </c>
      <c r="D333" s="1">
        <v>2</v>
      </c>
      <c r="E333" s="1">
        <v>10</v>
      </c>
      <c r="F333" s="1">
        <v>4</v>
      </c>
      <c r="G333" s="1">
        <v>24</v>
      </c>
      <c r="H333" s="1">
        <v>62</v>
      </c>
      <c r="I333" s="1">
        <f t="shared" si="1"/>
        <v>38</v>
      </c>
    </row>
    <row r="334" spans="1:11" x14ac:dyDescent="0.25">
      <c r="C334" s="1">
        <v>14</v>
      </c>
      <c r="D334" s="1">
        <v>2</v>
      </c>
      <c r="E334" s="1">
        <v>10</v>
      </c>
      <c r="F334" s="1">
        <v>5</v>
      </c>
      <c r="G334" s="1">
        <v>62</v>
      </c>
      <c r="H334" s="1">
        <v>110</v>
      </c>
      <c r="I334" s="1">
        <f t="shared" si="1"/>
        <v>48</v>
      </c>
    </row>
    <row r="335" spans="1:11" x14ac:dyDescent="0.25">
      <c r="C335" s="1">
        <v>14</v>
      </c>
      <c r="D335" s="1">
        <v>2</v>
      </c>
      <c r="E335" s="1">
        <v>10</v>
      </c>
      <c r="F335" s="1">
        <v>6</v>
      </c>
      <c r="G335" s="1">
        <v>110</v>
      </c>
      <c r="H335" s="1">
        <v>153</v>
      </c>
      <c r="I335" s="1">
        <f t="shared" si="1"/>
        <v>43</v>
      </c>
    </row>
    <row r="336" spans="1:11" x14ac:dyDescent="0.25">
      <c r="C336" s="1">
        <v>14</v>
      </c>
      <c r="D336" s="1">
        <v>2</v>
      </c>
      <c r="E336" s="1">
        <v>10</v>
      </c>
      <c r="F336" s="1">
        <v>7</v>
      </c>
      <c r="G336" s="1">
        <v>153</v>
      </c>
      <c r="H336" s="1">
        <v>194</v>
      </c>
      <c r="I336" s="1">
        <f t="shared" si="1"/>
        <v>41</v>
      </c>
    </row>
    <row r="337" spans="3:9" x14ac:dyDescent="0.25">
      <c r="C337" s="1">
        <v>14</v>
      </c>
      <c r="D337" s="1">
        <v>2</v>
      </c>
      <c r="E337" s="1">
        <v>10</v>
      </c>
      <c r="F337" s="1">
        <v>8</v>
      </c>
      <c r="G337" s="1">
        <v>194</v>
      </c>
      <c r="H337" s="1">
        <v>223</v>
      </c>
      <c r="I337" s="1">
        <f t="shared" si="1"/>
        <v>29</v>
      </c>
    </row>
    <row r="338" spans="3:9" x14ac:dyDescent="0.25">
      <c r="C338" s="1">
        <v>14</v>
      </c>
      <c r="D338" s="1">
        <v>2</v>
      </c>
      <c r="E338" s="1">
        <v>10</v>
      </c>
      <c r="F338" s="1">
        <v>9</v>
      </c>
      <c r="G338" s="1">
        <v>223</v>
      </c>
      <c r="H338" s="1">
        <v>273</v>
      </c>
      <c r="I338" s="1">
        <f t="shared" si="1"/>
        <v>50</v>
      </c>
    </row>
    <row r="339" spans="3:9" x14ac:dyDescent="0.25">
      <c r="C339" s="1">
        <v>14</v>
      </c>
      <c r="D339" s="1">
        <v>2</v>
      </c>
      <c r="E339" s="1">
        <v>10</v>
      </c>
      <c r="F339" s="1">
        <v>10</v>
      </c>
      <c r="G339" s="1">
        <v>273</v>
      </c>
      <c r="H339" s="1">
        <v>321</v>
      </c>
      <c r="I339" s="1">
        <f t="shared" si="1"/>
        <v>48</v>
      </c>
    </row>
    <row r="340" spans="3:9" x14ac:dyDescent="0.25">
      <c r="C340" s="1">
        <v>14</v>
      </c>
      <c r="D340" s="1">
        <v>2</v>
      </c>
      <c r="E340" s="1">
        <v>10</v>
      </c>
      <c r="F340" s="1">
        <v>11</v>
      </c>
      <c r="G340" s="1">
        <v>321</v>
      </c>
      <c r="H340" s="1">
        <v>372</v>
      </c>
      <c r="I340" s="1">
        <f t="shared" si="1"/>
        <v>51</v>
      </c>
    </row>
    <row r="341" spans="3:9" x14ac:dyDescent="0.25">
      <c r="C341" s="1">
        <v>14</v>
      </c>
      <c r="D341" s="1">
        <v>2</v>
      </c>
      <c r="E341" s="1">
        <v>10</v>
      </c>
      <c r="F341" s="1">
        <v>12</v>
      </c>
      <c r="G341" s="1">
        <v>372</v>
      </c>
      <c r="H341" s="1">
        <v>375</v>
      </c>
      <c r="I341" s="1">
        <f t="shared" si="1"/>
        <v>3</v>
      </c>
    </row>
    <row r="342" spans="3:9" x14ac:dyDescent="0.25">
      <c r="C342" s="1">
        <v>14</v>
      </c>
      <c r="D342" s="1">
        <v>2</v>
      </c>
      <c r="E342" s="1">
        <v>10</v>
      </c>
      <c r="F342" s="1">
        <v>13</v>
      </c>
      <c r="G342" s="1">
        <v>375</v>
      </c>
      <c r="H342" s="1">
        <v>403</v>
      </c>
      <c r="I342" s="1">
        <f t="shared" si="1"/>
        <v>28</v>
      </c>
    </row>
    <row r="343" spans="3:9" x14ac:dyDescent="0.25">
      <c r="C343" s="1">
        <v>14</v>
      </c>
      <c r="D343" s="1">
        <v>2</v>
      </c>
      <c r="E343" s="1">
        <v>10</v>
      </c>
      <c r="F343" s="1">
        <v>14</v>
      </c>
      <c r="G343" s="1">
        <v>405</v>
      </c>
      <c r="H343" s="1">
        <v>412</v>
      </c>
      <c r="I343" s="1">
        <f t="shared" si="1"/>
        <v>7</v>
      </c>
    </row>
    <row r="344" spans="3:9" x14ac:dyDescent="0.25">
      <c r="C344" s="1">
        <v>14</v>
      </c>
      <c r="D344" s="1">
        <v>2</v>
      </c>
      <c r="E344" s="1">
        <v>10</v>
      </c>
      <c r="F344" s="1">
        <v>15</v>
      </c>
      <c r="G344" s="1">
        <v>412</v>
      </c>
      <c r="H344" s="1">
        <v>427</v>
      </c>
      <c r="I344" s="1">
        <f t="shared" si="1"/>
        <v>15</v>
      </c>
    </row>
    <row r="345" spans="3:9" x14ac:dyDescent="0.25">
      <c r="C345" s="1">
        <v>14</v>
      </c>
      <c r="D345" s="1">
        <v>2</v>
      </c>
      <c r="E345" s="1">
        <v>10</v>
      </c>
      <c r="F345" s="1">
        <v>16</v>
      </c>
      <c r="G345" s="1">
        <v>427</v>
      </c>
      <c r="H345" s="1">
        <v>464</v>
      </c>
      <c r="I345" s="1">
        <f t="shared" si="1"/>
        <v>37</v>
      </c>
    </row>
    <row r="346" spans="3:9" x14ac:dyDescent="0.25">
      <c r="C346" s="1">
        <v>14</v>
      </c>
      <c r="D346" s="1">
        <v>2</v>
      </c>
      <c r="E346" s="1">
        <v>10</v>
      </c>
      <c r="F346" s="1">
        <v>17</v>
      </c>
      <c r="G346" s="1">
        <v>464</v>
      </c>
      <c r="H346" s="1">
        <v>490</v>
      </c>
      <c r="I346" s="1">
        <f t="shared" si="1"/>
        <v>26</v>
      </c>
    </row>
    <row r="347" spans="3:9" x14ac:dyDescent="0.25">
      <c r="C347" s="1">
        <v>14</v>
      </c>
      <c r="D347" s="1">
        <v>2</v>
      </c>
      <c r="E347" s="1">
        <v>10</v>
      </c>
      <c r="F347" s="1">
        <v>18</v>
      </c>
      <c r="G347" s="1">
        <v>490</v>
      </c>
      <c r="H347" s="1">
        <v>501</v>
      </c>
      <c r="I347" s="1">
        <f t="shared" si="1"/>
        <v>11</v>
      </c>
    </row>
    <row r="348" spans="3:9" x14ac:dyDescent="0.25">
      <c r="C348" s="1">
        <v>14</v>
      </c>
      <c r="D348" s="1">
        <v>2</v>
      </c>
      <c r="E348" s="1">
        <v>10</v>
      </c>
      <c r="F348" s="1">
        <v>19</v>
      </c>
      <c r="G348" s="1">
        <v>501</v>
      </c>
      <c r="H348" s="1">
        <v>539</v>
      </c>
      <c r="I348" s="1">
        <f t="shared" si="1"/>
        <v>38</v>
      </c>
    </row>
    <row r="349" spans="3:9" x14ac:dyDescent="0.25">
      <c r="C349" s="1">
        <v>14</v>
      </c>
      <c r="D349" s="1">
        <v>2</v>
      </c>
      <c r="E349" s="1">
        <v>10</v>
      </c>
      <c r="F349" s="1">
        <v>20</v>
      </c>
      <c r="G349" s="1">
        <v>439</v>
      </c>
      <c r="H349" s="1">
        <v>571</v>
      </c>
      <c r="I349" s="1">
        <f t="shared" si="1"/>
        <v>132</v>
      </c>
    </row>
    <row r="350" spans="3:9" x14ac:dyDescent="0.25">
      <c r="C350" s="1">
        <v>14</v>
      </c>
      <c r="D350" s="1">
        <v>2</v>
      </c>
      <c r="E350" s="1">
        <v>10</v>
      </c>
      <c r="F350" s="1">
        <v>21</v>
      </c>
      <c r="G350" s="1">
        <v>571</v>
      </c>
      <c r="H350" s="1">
        <v>571</v>
      </c>
      <c r="I350" s="1">
        <f t="shared" si="1"/>
        <v>0</v>
      </c>
    </row>
    <row r="351" spans="3:9" x14ac:dyDescent="0.25">
      <c r="C351" s="1">
        <v>14</v>
      </c>
      <c r="D351" s="1">
        <v>2</v>
      </c>
      <c r="E351" s="1">
        <v>10</v>
      </c>
      <c r="F351" s="1">
        <v>22</v>
      </c>
      <c r="G351" s="1">
        <v>571</v>
      </c>
      <c r="H351" s="1">
        <v>594</v>
      </c>
      <c r="I351" s="1">
        <f t="shared" si="1"/>
        <v>23</v>
      </c>
    </row>
    <row r="352" spans="3:9" x14ac:dyDescent="0.25">
      <c r="C352" s="1">
        <v>14</v>
      </c>
      <c r="D352" s="1">
        <v>2</v>
      </c>
      <c r="E352" s="1">
        <v>10</v>
      </c>
      <c r="F352" s="1">
        <v>23</v>
      </c>
      <c r="G352" s="1">
        <v>594</v>
      </c>
      <c r="H352" s="1">
        <v>617</v>
      </c>
      <c r="I352" s="1">
        <f t="shared" si="1"/>
        <v>23</v>
      </c>
    </row>
    <row r="353" spans="1:11" x14ac:dyDescent="0.25">
      <c r="C353" s="1">
        <v>14</v>
      </c>
      <c r="D353" s="1">
        <v>2</v>
      </c>
      <c r="E353" s="1">
        <v>10</v>
      </c>
      <c r="F353" s="1">
        <v>24</v>
      </c>
      <c r="G353" s="1">
        <v>617</v>
      </c>
      <c r="H353" s="1">
        <v>621</v>
      </c>
      <c r="I353" s="1">
        <f t="shared" si="1"/>
        <v>4</v>
      </c>
    </row>
    <row r="354" spans="1:11" x14ac:dyDescent="0.25">
      <c r="C354" s="1">
        <v>14</v>
      </c>
      <c r="D354" s="1">
        <v>2</v>
      </c>
      <c r="E354" s="1">
        <v>10</v>
      </c>
      <c r="F354" s="1">
        <v>25</v>
      </c>
      <c r="G354" s="1">
        <v>621</v>
      </c>
      <c r="H354" s="1">
        <v>671</v>
      </c>
      <c r="I354" s="1">
        <f t="shared" si="1"/>
        <v>50</v>
      </c>
    </row>
    <row r="355" spans="1:11" x14ac:dyDescent="0.25">
      <c r="A355" s="9">
        <v>1</v>
      </c>
      <c r="B355" s="4">
        <v>43885</v>
      </c>
      <c r="C355" s="3">
        <v>15</v>
      </c>
      <c r="D355" s="3">
        <v>1</v>
      </c>
      <c r="E355" s="3">
        <v>10</v>
      </c>
      <c r="F355" s="3">
        <v>1</v>
      </c>
      <c r="G355" s="3">
        <v>0</v>
      </c>
      <c r="H355" s="3">
        <v>4</v>
      </c>
      <c r="I355" s="3">
        <f t="shared" si="1"/>
        <v>4</v>
      </c>
      <c r="K355" s="8">
        <f>AVERAGE(I355:I360)</f>
        <v>9.1666666666666661</v>
      </c>
    </row>
    <row r="356" spans="1:11" x14ac:dyDescent="0.25">
      <c r="A356" s="9"/>
      <c r="B356" s="3"/>
      <c r="C356" s="3">
        <v>15</v>
      </c>
      <c r="D356" s="3">
        <v>1</v>
      </c>
      <c r="E356" s="3">
        <v>10</v>
      </c>
      <c r="F356" s="3">
        <v>2</v>
      </c>
      <c r="G356" s="3">
        <v>5</v>
      </c>
      <c r="H356" s="3">
        <v>5</v>
      </c>
      <c r="I356" s="3">
        <f t="shared" si="1"/>
        <v>0</v>
      </c>
    </row>
    <row r="357" spans="1:11" x14ac:dyDescent="0.25">
      <c r="A357" s="9"/>
      <c r="B357" s="3"/>
      <c r="C357" s="3">
        <v>15</v>
      </c>
      <c r="D357" s="3">
        <v>1</v>
      </c>
      <c r="E357" s="3">
        <v>10</v>
      </c>
      <c r="F357" s="3">
        <v>3</v>
      </c>
      <c r="G357" s="3">
        <v>5</v>
      </c>
      <c r="H357" s="3">
        <v>28</v>
      </c>
      <c r="I357" s="3">
        <f t="shared" si="1"/>
        <v>23</v>
      </c>
    </row>
    <row r="358" spans="1:11" x14ac:dyDescent="0.25">
      <c r="A358" s="9"/>
      <c r="B358" s="3"/>
      <c r="C358" s="3">
        <v>15</v>
      </c>
      <c r="D358" s="3">
        <v>1</v>
      </c>
      <c r="E358" s="3">
        <v>10</v>
      </c>
      <c r="F358" s="3">
        <v>4</v>
      </c>
      <c r="G358" s="3">
        <v>28</v>
      </c>
      <c r="H358" s="3">
        <v>29</v>
      </c>
      <c r="I358" s="3">
        <f t="shared" si="1"/>
        <v>1</v>
      </c>
    </row>
    <row r="359" spans="1:11" x14ac:dyDescent="0.25">
      <c r="A359" s="9"/>
      <c r="B359" s="3"/>
      <c r="C359" s="3">
        <v>15</v>
      </c>
      <c r="D359" s="3">
        <v>1</v>
      </c>
      <c r="E359" s="3">
        <v>10</v>
      </c>
      <c r="F359" s="3">
        <v>5</v>
      </c>
      <c r="G359" s="3">
        <v>29</v>
      </c>
      <c r="H359" s="3">
        <v>39</v>
      </c>
      <c r="I359" s="3">
        <f t="shared" si="1"/>
        <v>10</v>
      </c>
    </row>
    <row r="360" spans="1:11" x14ac:dyDescent="0.25">
      <c r="A360" s="9"/>
      <c r="B360" s="3"/>
      <c r="C360" s="3">
        <v>15</v>
      </c>
      <c r="D360" s="3">
        <v>1</v>
      </c>
      <c r="E360" s="3">
        <v>10</v>
      </c>
      <c r="F360" s="3">
        <v>6</v>
      </c>
      <c r="G360" s="3">
        <v>45</v>
      </c>
      <c r="H360" s="3">
        <v>62</v>
      </c>
      <c r="I360" s="3">
        <f t="shared" si="1"/>
        <v>17</v>
      </c>
    </row>
    <row r="361" spans="1:11" x14ac:dyDescent="0.25">
      <c r="A361" s="5">
        <v>1</v>
      </c>
      <c r="B361" s="2">
        <v>43889</v>
      </c>
      <c r="C361" s="1">
        <v>16</v>
      </c>
      <c r="D361" s="1">
        <v>2</v>
      </c>
      <c r="E361" s="1">
        <v>10</v>
      </c>
      <c r="F361" s="1">
        <v>1</v>
      </c>
      <c r="G361" s="1">
        <v>0</v>
      </c>
      <c r="H361" s="1">
        <v>2</v>
      </c>
      <c r="I361" s="1">
        <f t="shared" si="1"/>
        <v>2</v>
      </c>
      <c r="J361" s="8">
        <f>(I361+I362+I363+I378+I377+I376+I370+I369+I371)/9</f>
        <v>35.888888888888886</v>
      </c>
      <c r="K361" s="8">
        <f>AVERAGE(I361:I378)</f>
        <v>38.611111111111114</v>
      </c>
    </row>
    <row r="362" spans="1:11" x14ac:dyDescent="0.25">
      <c r="C362" s="1">
        <v>16</v>
      </c>
      <c r="D362" s="1">
        <v>2</v>
      </c>
      <c r="E362" s="1">
        <v>10</v>
      </c>
      <c r="F362" s="1">
        <v>2</v>
      </c>
      <c r="G362" s="1">
        <v>2</v>
      </c>
      <c r="H362" s="1">
        <v>41</v>
      </c>
      <c r="I362" s="1">
        <f t="shared" si="1"/>
        <v>39</v>
      </c>
    </row>
    <row r="363" spans="1:11" x14ac:dyDescent="0.25">
      <c r="C363" s="1">
        <v>16</v>
      </c>
      <c r="D363" s="1">
        <v>2</v>
      </c>
      <c r="E363" s="1">
        <v>10</v>
      </c>
      <c r="F363" s="1">
        <v>3</v>
      </c>
      <c r="G363" s="1">
        <v>41</v>
      </c>
      <c r="H363" s="1">
        <v>91</v>
      </c>
      <c r="I363" s="1">
        <f t="shared" si="1"/>
        <v>50</v>
      </c>
    </row>
    <row r="364" spans="1:11" x14ac:dyDescent="0.25">
      <c r="C364" s="1">
        <v>16</v>
      </c>
      <c r="D364" s="1">
        <v>2</v>
      </c>
      <c r="E364" s="1">
        <v>10</v>
      </c>
      <c r="F364" s="1">
        <v>4</v>
      </c>
      <c r="G364" s="1">
        <v>91</v>
      </c>
      <c r="H364" s="1">
        <v>100</v>
      </c>
      <c r="I364" s="1">
        <f t="shared" si="1"/>
        <v>9</v>
      </c>
    </row>
    <row r="365" spans="1:11" x14ac:dyDescent="0.25">
      <c r="C365" s="1">
        <v>16</v>
      </c>
      <c r="D365" s="1">
        <v>2</v>
      </c>
      <c r="E365" s="1">
        <v>10</v>
      </c>
      <c r="F365" s="1">
        <v>5</v>
      </c>
      <c r="G365" s="1">
        <v>100</v>
      </c>
      <c r="H365" s="1">
        <v>151</v>
      </c>
      <c r="I365" s="1">
        <f t="shared" si="1"/>
        <v>51</v>
      </c>
    </row>
    <row r="366" spans="1:11" x14ac:dyDescent="0.25">
      <c r="C366" s="1">
        <v>16</v>
      </c>
      <c r="D366" s="1">
        <v>2</v>
      </c>
      <c r="E366" s="1">
        <v>10</v>
      </c>
      <c r="F366" s="1">
        <v>6</v>
      </c>
      <c r="G366" s="1">
        <v>151</v>
      </c>
      <c r="H366" s="1">
        <v>200</v>
      </c>
      <c r="I366" s="1">
        <f t="shared" si="1"/>
        <v>49</v>
      </c>
    </row>
    <row r="367" spans="1:11" x14ac:dyDescent="0.25">
      <c r="C367" s="1">
        <v>16</v>
      </c>
      <c r="D367" s="1">
        <v>2</v>
      </c>
      <c r="E367" s="1">
        <v>10</v>
      </c>
      <c r="F367" s="1">
        <v>7</v>
      </c>
      <c r="G367" s="1">
        <v>200</v>
      </c>
      <c r="H367" s="1">
        <v>248</v>
      </c>
      <c r="I367" s="1">
        <f t="shared" si="1"/>
        <v>48</v>
      </c>
    </row>
    <row r="368" spans="1:11" x14ac:dyDescent="0.25">
      <c r="C368" s="1">
        <v>16</v>
      </c>
      <c r="D368" s="1">
        <v>2</v>
      </c>
      <c r="E368" s="1">
        <v>10</v>
      </c>
      <c r="F368" s="1">
        <v>8</v>
      </c>
      <c r="G368" s="1">
        <v>248</v>
      </c>
      <c r="H368" s="1">
        <v>292</v>
      </c>
      <c r="I368" s="1">
        <f t="shared" si="1"/>
        <v>44</v>
      </c>
    </row>
    <row r="369" spans="1:11" x14ac:dyDescent="0.25">
      <c r="C369" s="1">
        <v>16</v>
      </c>
      <c r="D369" s="1">
        <v>2</v>
      </c>
      <c r="E369" s="1">
        <v>10</v>
      </c>
      <c r="F369" s="1">
        <v>9</v>
      </c>
      <c r="G369" s="1">
        <v>292</v>
      </c>
      <c r="H369" s="1">
        <v>341</v>
      </c>
      <c r="I369" s="1">
        <f t="shared" si="1"/>
        <v>49</v>
      </c>
    </row>
    <row r="370" spans="1:11" x14ac:dyDescent="0.25">
      <c r="C370" s="1">
        <v>16</v>
      </c>
      <c r="D370" s="1">
        <v>2</v>
      </c>
      <c r="E370" s="1">
        <v>10</v>
      </c>
      <c r="F370" s="1">
        <v>10</v>
      </c>
      <c r="G370" s="1">
        <v>341</v>
      </c>
      <c r="H370" s="1">
        <v>363</v>
      </c>
      <c r="I370" s="1">
        <f t="shared" si="1"/>
        <v>22</v>
      </c>
    </row>
    <row r="371" spans="1:11" x14ac:dyDescent="0.25">
      <c r="C371" s="1">
        <v>16</v>
      </c>
      <c r="D371" s="1">
        <v>2</v>
      </c>
      <c r="E371" s="1">
        <v>10</v>
      </c>
      <c r="F371" s="1">
        <v>11</v>
      </c>
      <c r="G371" s="1">
        <v>363</v>
      </c>
      <c r="H371" s="1">
        <v>406</v>
      </c>
      <c r="I371" s="1">
        <f t="shared" si="1"/>
        <v>43</v>
      </c>
    </row>
    <row r="372" spans="1:11" x14ac:dyDescent="0.25">
      <c r="C372" s="1">
        <v>16</v>
      </c>
      <c r="D372" s="1">
        <v>2</v>
      </c>
      <c r="E372" s="1">
        <v>10</v>
      </c>
      <c r="F372" s="1">
        <v>12</v>
      </c>
      <c r="G372" s="1">
        <v>407</v>
      </c>
      <c r="H372" s="1">
        <v>433</v>
      </c>
      <c r="I372" s="1">
        <f t="shared" si="1"/>
        <v>26</v>
      </c>
    </row>
    <row r="373" spans="1:11" x14ac:dyDescent="0.25">
      <c r="C373" s="1">
        <v>16</v>
      </c>
      <c r="D373" s="1">
        <v>2</v>
      </c>
      <c r="E373" s="1">
        <v>10</v>
      </c>
      <c r="F373" s="1">
        <v>13</v>
      </c>
      <c r="G373" s="1">
        <v>433</v>
      </c>
      <c r="H373" s="1">
        <v>483</v>
      </c>
      <c r="I373" s="1">
        <f t="shared" si="1"/>
        <v>50</v>
      </c>
    </row>
    <row r="374" spans="1:11" x14ac:dyDescent="0.25">
      <c r="C374" s="1">
        <v>16</v>
      </c>
      <c r="D374" s="1">
        <v>2</v>
      </c>
      <c r="E374" s="1">
        <v>10</v>
      </c>
      <c r="F374" s="1">
        <v>14</v>
      </c>
      <c r="G374" s="1">
        <v>483</v>
      </c>
      <c r="H374" s="1">
        <v>530</v>
      </c>
      <c r="I374" s="1">
        <f t="shared" si="1"/>
        <v>47</v>
      </c>
    </row>
    <row r="375" spans="1:11" x14ac:dyDescent="0.25">
      <c r="C375" s="1">
        <v>16</v>
      </c>
      <c r="D375" s="1">
        <v>2</v>
      </c>
      <c r="E375" s="1">
        <v>10</v>
      </c>
      <c r="F375" s="1">
        <v>15</v>
      </c>
      <c r="G375" s="1">
        <v>530</v>
      </c>
      <c r="H375" s="1">
        <v>578</v>
      </c>
      <c r="I375" s="1">
        <f t="shared" si="1"/>
        <v>48</v>
      </c>
    </row>
    <row r="376" spans="1:11" x14ac:dyDescent="0.25">
      <c r="C376" s="1">
        <v>16</v>
      </c>
      <c r="D376" s="1">
        <v>2</v>
      </c>
      <c r="E376" s="1">
        <v>10</v>
      </c>
      <c r="F376" s="1">
        <v>16</v>
      </c>
      <c r="G376" s="1">
        <v>578</v>
      </c>
      <c r="H376" s="1">
        <v>600</v>
      </c>
      <c r="I376" s="1">
        <f t="shared" si="1"/>
        <v>22</v>
      </c>
    </row>
    <row r="377" spans="1:11" x14ac:dyDescent="0.25">
      <c r="C377" s="1">
        <v>16</v>
      </c>
      <c r="D377" s="1">
        <v>2</v>
      </c>
      <c r="E377" s="1">
        <v>10</v>
      </c>
      <c r="F377" s="1">
        <v>17</v>
      </c>
      <c r="G377" s="1">
        <v>600</v>
      </c>
      <c r="H377" s="1">
        <v>648</v>
      </c>
      <c r="I377" s="1">
        <f t="shared" si="1"/>
        <v>48</v>
      </c>
    </row>
    <row r="378" spans="1:11" x14ac:dyDescent="0.25">
      <c r="C378" s="1">
        <v>16</v>
      </c>
      <c r="D378" s="1">
        <v>2</v>
      </c>
      <c r="E378" s="1">
        <v>10</v>
      </c>
      <c r="F378" s="1">
        <v>18</v>
      </c>
      <c r="G378" s="1">
        <v>648</v>
      </c>
      <c r="H378" s="1">
        <v>696</v>
      </c>
      <c r="I378" s="1">
        <f t="shared" si="1"/>
        <v>48</v>
      </c>
    </row>
    <row r="379" spans="1:11" x14ac:dyDescent="0.25">
      <c r="A379" s="5">
        <v>1</v>
      </c>
      <c r="B379" s="2">
        <v>43887</v>
      </c>
      <c r="C379" s="1">
        <v>17</v>
      </c>
      <c r="D379" s="1">
        <v>1</v>
      </c>
      <c r="E379" s="1">
        <v>10</v>
      </c>
      <c r="F379" s="1">
        <v>1</v>
      </c>
      <c r="G379" s="1">
        <v>1</v>
      </c>
      <c r="H379" s="1">
        <v>2</v>
      </c>
      <c r="I379" s="1">
        <f t="shared" si="1"/>
        <v>1</v>
      </c>
      <c r="J379" s="8">
        <f>(I379+I380+I381+I403+I402+I401+I391+I392+I390)/9</f>
        <v>19.888888888888889</v>
      </c>
      <c r="K379" s="8">
        <f>AVERAGE(I379:I403)</f>
        <v>23.68</v>
      </c>
    </row>
    <row r="380" spans="1:11" x14ac:dyDescent="0.25">
      <c r="C380" s="1">
        <v>17</v>
      </c>
      <c r="D380" s="1">
        <v>1</v>
      </c>
      <c r="E380" s="1">
        <v>10</v>
      </c>
      <c r="F380" s="1">
        <v>2</v>
      </c>
      <c r="G380" s="1">
        <v>2</v>
      </c>
      <c r="H380" s="1">
        <v>18</v>
      </c>
      <c r="I380" s="1">
        <f t="shared" si="1"/>
        <v>16</v>
      </c>
    </row>
    <row r="381" spans="1:11" x14ac:dyDescent="0.25">
      <c r="C381" s="1">
        <v>17</v>
      </c>
      <c r="D381" s="1">
        <v>1</v>
      </c>
      <c r="E381" s="1">
        <v>10</v>
      </c>
      <c r="F381" s="1">
        <v>3</v>
      </c>
      <c r="G381" s="1">
        <v>18</v>
      </c>
      <c r="H381" s="1">
        <v>18</v>
      </c>
      <c r="I381" s="1">
        <f t="shared" si="1"/>
        <v>0</v>
      </c>
    </row>
    <row r="382" spans="1:11" x14ac:dyDescent="0.25">
      <c r="C382" s="1">
        <v>17</v>
      </c>
      <c r="D382" s="1">
        <v>1</v>
      </c>
      <c r="E382" s="1">
        <v>10</v>
      </c>
      <c r="F382" s="1">
        <v>4</v>
      </c>
      <c r="G382" s="1">
        <v>18</v>
      </c>
      <c r="H382" s="1">
        <v>36</v>
      </c>
      <c r="I382" s="1">
        <f t="shared" si="1"/>
        <v>18</v>
      </c>
    </row>
    <row r="383" spans="1:11" x14ac:dyDescent="0.25">
      <c r="C383" s="1">
        <v>17</v>
      </c>
      <c r="D383" s="1">
        <v>1</v>
      </c>
      <c r="E383" s="1">
        <v>10</v>
      </c>
      <c r="F383" s="1">
        <v>5</v>
      </c>
      <c r="G383" s="1">
        <v>36</v>
      </c>
      <c r="H383" s="1">
        <v>60</v>
      </c>
      <c r="I383" s="1">
        <f t="shared" si="1"/>
        <v>24</v>
      </c>
    </row>
    <row r="384" spans="1:11" x14ac:dyDescent="0.25">
      <c r="C384" s="1">
        <v>17</v>
      </c>
      <c r="D384" s="1">
        <v>1</v>
      </c>
      <c r="E384" s="1">
        <v>10</v>
      </c>
      <c r="F384" s="1">
        <v>6</v>
      </c>
      <c r="G384" s="1">
        <v>60</v>
      </c>
      <c r="H384" s="1">
        <v>87</v>
      </c>
      <c r="I384" s="1">
        <f t="shared" si="1"/>
        <v>27</v>
      </c>
    </row>
    <row r="385" spans="3:9" x14ac:dyDescent="0.25">
      <c r="C385" s="1">
        <v>17</v>
      </c>
      <c r="D385" s="1">
        <v>1</v>
      </c>
      <c r="E385" s="1">
        <v>10</v>
      </c>
      <c r="F385" s="1">
        <v>7</v>
      </c>
      <c r="G385" s="1">
        <v>87</v>
      </c>
      <c r="H385" s="1">
        <v>103</v>
      </c>
      <c r="I385" s="1">
        <f t="shared" si="1"/>
        <v>16</v>
      </c>
    </row>
    <row r="386" spans="3:9" x14ac:dyDescent="0.25">
      <c r="C386" s="1">
        <v>17</v>
      </c>
      <c r="D386" s="1">
        <v>1</v>
      </c>
      <c r="E386" s="1">
        <v>10</v>
      </c>
      <c r="F386" s="1">
        <v>8</v>
      </c>
      <c r="G386" s="1">
        <v>103</v>
      </c>
      <c r="H386" s="1">
        <v>128</v>
      </c>
      <c r="I386" s="1">
        <f t="shared" si="1"/>
        <v>25</v>
      </c>
    </row>
    <row r="387" spans="3:9" x14ac:dyDescent="0.25">
      <c r="C387" s="1">
        <v>17</v>
      </c>
      <c r="D387" s="1">
        <v>1</v>
      </c>
      <c r="E387" s="1">
        <v>10</v>
      </c>
      <c r="F387" s="1">
        <v>9</v>
      </c>
      <c r="G387" s="1">
        <v>128</v>
      </c>
      <c r="H387" s="1">
        <v>132</v>
      </c>
      <c r="I387" s="1">
        <f t="shared" si="1"/>
        <v>4</v>
      </c>
    </row>
    <row r="388" spans="3:9" x14ac:dyDescent="0.25">
      <c r="C388" s="1">
        <v>17</v>
      </c>
      <c r="D388" s="1">
        <v>1</v>
      </c>
      <c r="E388" s="1">
        <v>10</v>
      </c>
      <c r="F388" s="1">
        <v>10</v>
      </c>
      <c r="G388" s="1">
        <v>132</v>
      </c>
      <c r="H388" s="1">
        <v>146</v>
      </c>
      <c r="I388" s="1">
        <f t="shared" si="1"/>
        <v>14</v>
      </c>
    </row>
    <row r="389" spans="3:9" x14ac:dyDescent="0.25">
      <c r="C389" s="1">
        <v>17</v>
      </c>
      <c r="D389" s="1">
        <v>1</v>
      </c>
      <c r="E389" s="1">
        <v>10</v>
      </c>
      <c r="F389" s="1">
        <v>11</v>
      </c>
      <c r="G389" s="1">
        <v>146</v>
      </c>
      <c r="H389" s="1">
        <v>164</v>
      </c>
      <c r="I389" s="1">
        <f t="shared" si="1"/>
        <v>18</v>
      </c>
    </row>
    <row r="390" spans="3:9" x14ac:dyDescent="0.25">
      <c r="C390" s="1">
        <v>17</v>
      </c>
      <c r="D390" s="1">
        <v>1</v>
      </c>
      <c r="E390" s="1">
        <v>10</v>
      </c>
      <c r="F390" s="1">
        <v>12</v>
      </c>
      <c r="G390" s="1">
        <v>164</v>
      </c>
      <c r="H390" s="1">
        <v>187</v>
      </c>
      <c r="I390" s="1">
        <f t="shared" si="1"/>
        <v>23</v>
      </c>
    </row>
    <row r="391" spans="3:9" x14ac:dyDescent="0.25">
      <c r="C391" s="1">
        <v>17</v>
      </c>
      <c r="D391" s="1">
        <v>1</v>
      </c>
      <c r="E391" s="1">
        <v>10</v>
      </c>
      <c r="F391" s="1">
        <v>13</v>
      </c>
      <c r="G391" s="1">
        <v>187</v>
      </c>
      <c r="H391" s="1">
        <v>218</v>
      </c>
      <c r="I391" s="1">
        <f t="shared" si="1"/>
        <v>31</v>
      </c>
    </row>
    <row r="392" spans="3:9" x14ac:dyDescent="0.25">
      <c r="C392" s="1">
        <v>17</v>
      </c>
      <c r="D392" s="1">
        <v>1</v>
      </c>
      <c r="E392" s="1">
        <v>10</v>
      </c>
      <c r="F392" s="1">
        <v>14</v>
      </c>
      <c r="G392" s="1">
        <v>218</v>
      </c>
      <c r="H392" s="1">
        <v>228</v>
      </c>
      <c r="I392" s="1">
        <f t="shared" si="1"/>
        <v>10</v>
      </c>
    </row>
    <row r="393" spans="3:9" x14ac:dyDescent="0.25">
      <c r="C393" s="1">
        <v>17</v>
      </c>
      <c r="D393" s="1">
        <v>1</v>
      </c>
      <c r="E393" s="1">
        <v>10</v>
      </c>
      <c r="F393" s="1">
        <v>15</v>
      </c>
      <c r="G393" s="1">
        <v>228</v>
      </c>
      <c r="H393" s="1">
        <v>265</v>
      </c>
      <c r="I393" s="1">
        <f t="shared" si="1"/>
        <v>37</v>
      </c>
    </row>
    <row r="394" spans="3:9" x14ac:dyDescent="0.25">
      <c r="C394" s="1">
        <v>17</v>
      </c>
      <c r="D394" s="1">
        <v>1</v>
      </c>
      <c r="E394" s="1">
        <v>10</v>
      </c>
      <c r="F394" s="1">
        <v>16</v>
      </c>
      <c r="G394" s="1">
        <v>265</v>
      </c>
      <c r="H394" s="1">
        <v>265</v>
      </c>
      <c r="I394" s="1">
        <f t="shared" si="1"/>
        <v>0</v>
      </c>
    </row>
    <row r="395" spans="3:9" x14ac:dyDescent="0.25">
      <c r="C395" s="1">
        <v>17</v>
      </c>
      <c r="D395" s="1">
        <v>1</v>
      </c>
      <c r="E395" s="1">
        <v>10</v>
      </c>
      <c r="F395" s="1">
        <v>17</v>
      </c>
      <c r="G395" s="1">
        <v>265</v>
      </c>
      <c r="H395" s="1">
        <v>290</v>
      </c>
      <c r="I395" s="1">
        <f t="shared" si="1"/>
        <v>25</v>
      </c>
    </row>
    <row r="396" spans="3:9" x14ac:dyDescent="0.25">
      <c r="C396" s="1">
        <v>17</v>
      </c>
      <c r="D396" s="1">
        <v>1</v>
      </c>
      <c r="E396" s="1">
        <v>10</v>
      </c>
      <c r="F396" s="1">
        <v>18</v>
      </c>
      <c r="G396" s="1">
        <v>290</v>
      </c>
      <c r="H396" s="1">
        <v>313</v>
      </c>
      <c r="I396" s="1">
        <f t="shared" si="1"/>
        <v>23</v>
      </c>
    </row>
    <row r="397" spans="3:9" x14ac:dyDescent="0.25">
      <c r="C397" s="1">
        <v>17</v>
      </c>
      <c r="D397" s="1">
        <v>1</v>
      </c>
      <c r="E397" s="1">
        <v>10</v>
      </c>
      <c r="F397" s="1">
        <v>19</v>
      </c>
      <c r="G397" s="1">
        <v>313</v>
      </c>
      <c r="H397" s="1">
        <v>370</v>
      </c>
      <c r="I397" s="1">
        <f t="shared" si="1"/>
        <v>57</v>
      </c>
    </row>
    <row r="398" spans="3:9" x14ac:dyDescent="0.25">
      <c r="C398" s="1">
        <v>17</v>
      </c>
      <c r="D398" s="1">
        <v>1</v>
      </c>
      <c r="E398" s="1">
        <v>10</v>
      </c>
      <c r="F398" s="1">
        <v>20</v>
      </c>
      <c r="G398" s="1">
        <v>370</v>
      </c>
      <c r="H398" s="1">
        <v>417</v>
      </c>
      <c r="I398" s="1">
        <f t="shared" si="1"/>
        <v>47</v>
      </c>
    </row>
    <row r="399" spans="3:9" x14ac:dyDescent="0.25">
      <c r="C399" s="1">
        <v>17</v>
      </c>
      <c r="D399" s="1">
        <v>1</v>
      </c>
      <c r="E399" s="1">
        <v>10</v>
      </c>
      <c r="F399" s="1">
        <v>21</v>
      </c>
      <c r="G399" s="1">
        <v>417</v>
      </c>
      <c r="H399" s="1">
        <v>451</v>
      </c>
      <c r="I399" s="1">
        <f t="shared" si="1"/>
        <v>34</v>
      </c>
    </row>
    <row r="400" spans="3:9" x14ac:dyDescent="0.25">
      <c r="C400" s="1">
        <v>17</v>
      </c>
      <c r="D400" s="1">
        <v>1</v>
      </c>
      <c r="E400" s="1">
        <v>10</v>
      </c>
      <c r="F400" s="1">
        <v>22</v>
      </c>
      <c r="G400" s="1">
        <v>451</v>
      </c>
      <c r="H400" s="1">
        <v>495</v>
      </c>
      <c r="I400" s="1">
        <f t="shared" si="1"/>
        <v>44</v>
      </c>
    </row>
    <row r="401" spans="1:11" x14ac:dyDescent="0.25">
      <c r="C401" s="1">
        <v>17</v>
      </c>
      <c r="D401" s="1">
        <v>1</v>
      </c>
      <c r="E401" s="1">
        <v>10</v>
      </c>
      <c r="F401" s="1">
        <v>23</v>
      </c>
      <c r="G401" s="1">
        <v>495</v>
      </c>
      <c r="H401" s="1">
        <v>528</v>
      </c>
      <c r="I401" s="1">
        <f t="shared" si="1"/>
        <v>33</v>
      </c>
    </row>
    <row r="402" spans="1:11" x14ac:dyDescent="0.25">
      <c r="C402" s="1">
        <v>17</v>
      </c>
      <c r="D402" s="1">
        <v>1</v>
      </c>
      <c r="E402" s="1">
        <v>10</v>
      </c>
      <c r="F402" s="1">
        <v>24</v>
      </c>
      <c r="G402" s="1">
        <v>528</v>
      </c>
      <c r="H402" s="1">
        <v>555</v>
      </c>
      <c r="I402" s="1">
        <f t="shared" si="1"/>
        <v>27</v>
      </c>
    </row>
    <row r="403" spans="1:11" x14ac:dyDescent="0.25">
      <c r="C403" s="1">
        <v>17</v>
      </c>
      <c r="D403" s="1">
        <v>1</v>
      </c>
      <c r="E403" s="1">
        <v>10</v>
      </c>
      <c r="F403" s="1">
        <v>25</v>
      </c>
      <c r="G403" s="1">
        <v>555</v>
      </c>
      <c r="H403" s="1">
        <v>593</v>
      </c>
      <c r="I403" s="1">
        <f t="shared" si="1"/>
        <v>38</v>
      </c>
    </row>
    <row r="404" spans="1:11" x14ac:dyDescent="0.25">
      <c r="A404" s="5">
        <v>1</v>
      </c>
      <c r="B404" s="2">
        <v>43885</v>
      </c>
      <c r="C404" s="1">
        <v>18</v>
      </c>
      <c r="D404" s="1">
        <v>2</v>
      </c>
      <c r="E404" s="1">
        <v>10</v>
      </c>
      <c r="F404" s="1">
        <v>1</v>
      </c>
      <c r="G404" s="1">
        <v>5</v>
      </c>
      <c r="H404" s="1">
        <v>18</v>
      </c>
      <c r="I404" s="1">
        <f t="shared" si="1"/>
        <v>13</v>
      </c>
      <c r="J404" s="8">
        <f>(I404+I405+I406+I414+I413+I412+I409+I408+I410)/9</f>
        <v>15</v>
      </c>
      <c r="K404" s="8">
        <f>AVERAGE(I404:I414)</f>
        <v>16.818181818181817</v>
      </c>
    </row>
    <row r="405" spans="1:11" x14ac:dyDescent="0.25">
      <c r="C405" s="1">
        <v>18</v>
      </c>
      <c r="D405" s="1">
        <v>2</v>
      </c>
      <c r="E405" s="1">
        <v>10</v>
      </c>
      <c r="F405" s="1">
        <v>2</v>
      </c>
      <c r="G405" s="1">
        <v>18</v>
      </c>
      <c r="H405" s="1">
        <v>55</v>
      </c>
      <c r="I405" s="1">
        <f t="shared" si="1"/>
        <v>37</v>
      </c>
    </row>
    <row r="406" spans="1:11" x14ac:dyDescent="0.25">
      <c r="C406" s="1">
        <v>18</v>
      </c>
      <c r="D406" s="1">
        <v>2</v>
      </c>
      <c r="E406" s="1">
        <v>10</v>
      </c>
      <c r="F406" s="1">
        <v>3</v>
      </c>
      <c r="G406" s="1">
        <v>58</v>
      </c>
      <c r="H406" s="1">
        <v>112</v>
      </c>
      <c r="I406" s="1">
        <f t="shared" si="1"/>
        <v>54</v>
      </c>
    </row>
    <row r="407" spans="1:11" x14ac:dyDescent="0.25">
      <c r="C407" s="1">
        <v>18</v>
      </c>
      <c r="D407" s="1">
        <v>2</v>
      </c>
      <c r="E407" s="1">
        <v>10</v>
      </c>
      <c r="F407" s="1">
        <v>4</v>
      </c>
      <c r="G407" s="1">
        <v>112</v>
      </c>
      <c r="H407" s="1">
        <v>160</v>
      </c>
      <c r="I407" s="1">
        <f t="shared" si="1"/>
        <v>48</v>
      </c>
    </row>
    <row r="408" spans="1:11" x14ac:dyDescent="0.25">
      <c r="C408" s="1">
        <v>18</v>
      </c>
      <c r="D408" s="1">
        <v>2</v>
      </c>
      <c r="E408" s="1">
        <v>10</v>
      </c>
      <c r="F408" s="1">
        <v>5</v>
      </c>
      <c r="G408" s="1">
        <v>162</v>
      </c>
      <c r="H408" s="1">
        <v>189</v>
      </c>
      <c r="I408" s="1">
        <f t="shared" si="1"/>
        <v>27</v>
      </c>
    </row>
    <row r="409" spans="1:11" x14ac:dyDescent="0.25">
      <c r="C409" s="1">
        <v>18</v>
      </c>
      <c r="D409" s="1">
        <v>2</v>
      </c>
      <c r="E409" s="1">
        <v>10</v>
      </c>
      <c r="F409" s="1">
        <v>6</v>
      </c>
      <c r="G409" s="1">
        <v>191</v>
      </c>
      <c r="H409" s="1">
        <v>195</v>
      </c>
      <c r="I409" s="1">
        <f t="shared" si="1"/>
        <v>4</v>
      </c>
    </row>
    <row r="410" spans="1:11" x14ac:dyDescent="0.25">
      <c r="C410" s="1">
        <v>18</v>
      </c>
      <c r="D410" s="1">
        <v>2</v>
      </c>
      <c r="E410" s="1">
        <v>10</v>
      </c>
      <c r="F410" s="1">
        <v>7</v>
      </c>
      <c r="G410" s="1">
        <v>195</v>
      </c>
      <c r="H410" s="1">
        <v>195</v>
      </c>
      <c r="I410" s="1">
        <f t="shared" si="1"/>
        <v>0</v>
      </c>
    </row>
    <row r="411" spans="1:11" x14ac:dyDescent="0.25">
      <c r="C411" s="1">
        <v>18</v>
      </c>
      <c r="D411" s="1">
        <v>2</v>
      </c>
      <c r="E411" s="1">
        <v>10</v>
      </c>
      <c r="F411" s="1">
        <v>8</v>
      </c>
      <c r="G411" s="1">
        <v>195</v>
      </c>
      <c r="H411" s="1">
        <v>197</v>
      </c>
      <c r="I411" s="1">
        <f t="shared" si="1"/>
        <v>2</v>
      </c>
    </row>
    <row r="412" spans="1:11" x14ac:dyDescent="0.25">
      <c r="C412" s="1">
        <v>18</v>
      </c>
      <c r="D412" s="1">
        <v>2</v>
      </c>
      <c r="E412" s="1">
        <v>10</v>
      </c>
      <c r="F412" s="1">
        <v>9</v>
      </c>
      <c r="G412" s="1">
        <v>197</v>
      </c>
      <c r="H412" s="1">
        <v>197</v>
      </c>
      <c r="I412" s="1">
        <f t="shared" si="1"/>
        <v>0</v>
      </c>
    </row>
    <row r="413" spans="1:11" x14ac:dyDescent="0.25">
      <c r="C413" s="1">
        <v>18</v>
      </c>
      <c r="D413" s="1">
        <v>2</v>
      </c>
      <c r="E413" s="1">
        <v>10</v>
      </c>
      <c r="F413" s="1">
        <v>10</v>
      </c>
      <c r="G413" s="1">
        <v>197</v>
      </c>
      <c r="H413" s="1">
        <v>197</v>
      </c>
      <c r="I413" s="1">
        <f t="shared" si="1"/>
        <v>0</v>
      </c>
    </row>
    <row r="414" spans="1:11" x14ac:dyDescent="0.25">
      <c r="C414" s="1">
        <v>18</v>
      </c>
      <c r="D414" s="1">
        <v>2</v>
      </c>
      <c r="E414" s="1">
        <v>10</v>
      </c>
      <c r="F414" s="1">
        <v>11</v>
      </c>
      <c r="G414" s="1">
        <v>197</v>
      </c>
      <c r="H414" s="1">
        <v>197</v>
      </c>
      <c r="I414" s="1">
        <f t="shared" si="1"/>
        <v>0</v>
      </c>
    </row>
    <row r="415" spans="1:11" x14ac:dyDescent="0.25">
      <c r="A415" s="5">
        <v>1</v>
      </c>
      <c r="B415" s="2">
        <v>43889</v>
      </c>
      <c r="C415" s="1">
        <v>19</v>
      </c>
      <c r="D415" s="1">
        <v>2</v>
      </c>
      <c r="E415" s="1">
        <v>10</v>
      </c>
      <c r="F415" s="1">
        <v>1</v>
      </c>
      <c r="G415" s="1">
        <v>8</v>
      </c>
      <c r="H415" s="1">
        <v>29</v>
      </c>
      <c r="I415" s="1">
        <f t="shared" si="1"/>
        <v>21</v>
      </c>
      <c r="J415" s="8">
        <f>(I415+I416+I417+I439+I438+I437+I426+I427+I428)/9</f>
        <v>46.333333333333336</v>
      </c>
      <c r="K415" s="8">
        <f>AVERAGE(I415:I439)</f>
        <v>47.24</v>
      </c>
    </row>
    <row r="416" spans="1:11" x14ac:dyDescent="0.25">
      <c r="C416" s="1">
        <v>19</v>
      </c>
      <c r="D416" s="1">
        <v>2</v>
      </c>
      <c r="E416" s="1">
        <v>10</v>
      </c>
      <c r="F416" s="1">
        <v>2</v>
      </c>
      <c r="G416" s="1">
        <v>29</v>
      </c>
      <c r="H416" s="1">
        <v>77</v>
      </c>
      <c r="I416" s="1">
        <f t="shared" si="1"/>
        <v>48</v>
      </c>
    </row>
    <row r="417" spans="3:9" x14ac:dyDescent="0.25">
      <c r="C417" s="1">
        <v>19</v>
      </c>
      <c r="D417" s="1">
        <v>2</v>
      </c>
      <c r="E417" s="1">
        <v>10</v>
      </c>
      <c r="F417" s="1">
        <v>3</v>
      </c>
      <c r="G417" s="1">
        <v>77</v>
      </c>
      <c r="H417" s="1">
        <v>126</v>
      </c>
      <c r="I417" s="1">
        <f t="shared" si="1"/>
        <v>49</v>
      </c>
    </row>
    <row r="418" spans="3:9" x14ac:dyDescent="0.25">
      <c r="C418" s="1">
        <v>19</v>
      </c>
      <c r="D418" s="1">
        <v>2</v>
      </c>
      <c r="E418" s="1">
        <v>10</v>
      </c>
      <c r="F418" s="1">
        <v>4</v>
      </c>
      <c r="G418" s="1">
        <v>126</v>
      </c>
      <c r="H418" s="1">
        <v>180</v>
      </c>
      <c r="I418" s="1">
        <f t="shared" si="1"/>
        <v>54</v>
      </c>
    </row>
    <row r="419" spans="3:9" x14ac:dyDescent="0.25">
      <c r="C419" s="1">
        <v>19</v>
      </c>
      <c r="D419" s="1">
        <v>2</v>
      </c>
      <c r="E419" s="1">
        <v>10</v>
      </c>
      <c r="F419" s="1">
        <v>5</v>
      </c>
      <c r="G419" s="1">
        <v>180</v>
      </c>
      <c r="H419" s="1">
        <v>233</v>
      </c>
      <c r="I419" s="1">
        <f t="shared" si="1"/>
        <v>53</v>
      </c>
    </row>
    <row r="420" spans="3:9" x14ac:dyDescent="0.25">
      <c r="C420" s="1">
        <v>19</v>
      </c>
      <c r="D420" s="1">
        <v>2</v>
      </c>
      <c r="E420" s="1">
        <v>10</v>
      </c>
      <c r="F420" s="1">
        <v>6</v>
      </c>
      <c r="G420" s="1">
        <v>233</v>
      </c>
      <c r="H420" s="1">
        <v>286</v>
      </c>
      <c r="I420" s="1">
        <f t="shared" si="1"/>
        <v>53</v>
      </c>
    </row>
    <row r="421" spans="3:9" x14ac:dyDescent="0.25">
      <c r="C421" s="1">
        <v>19</v>
      </c>
      <c r="D421" s="1">
        <v>2</v>
      </c>
      <c r="E421" s="1">
        <v>10</v>
      </c>
      <c r="F421" s="1">
        <v>7</v>
      </c>
      <c r="G421" s="1">
        <v>286</v>
      </c>
      <c r="H421" s="1">
        <v>338</v>
      </c>
      <c r="I421" s="1">
        <f t="shared" si="1"/>
        <v>52</v>
      </c>
    </row>
    <row r="422" spans="3:9" x14ac:dyDescent="0.25">
      <c r="C422" s="1">
        <v>19</v>
      </c>
      <c r="D422" s="1">
        <v>2</v>
      </c>
      <c r="E422" s="1">
        <v>10</v>
      </c>
      <c r="F422" s="1">
        <v>8</v>
      </c>
      <c r="G422" s="1">
        <v>338</v>
      </c>
      <c r="H422" s="1">
        <v>384</v>
      </c>
      <c r="I422" s="1">
        <f t="shared" si="1"/>
        <v>46</v>
      </c>
    </row>
    <row r="423" spans="3:9" x14ac:dyDescent="0.25">
      <c r="C423" s="1">
        <v>19</v>
      </c>
      <c r="D423" s="1">
        <v>2</v>
      </c>
      <c r="E423" s="1">
        <v>10</v>
      </c>
      <c r="F423" s="1">
        <v>9</v>
      </c>
      <c r="G423" s="1">
        <v>384</v>
      </c>
      <c r="H423" s="1">
        <v>431</v>
      </c>
      <c r="I423" s="1">
        <f t="shared" si="1"/>
        <v>47</v>
      </c>
    </row>
    <row r="424" spans="3:9" x14ac:dyDescent="0.25">
      <c r="C424" s="1">
        <v>19</v>
      </c>
      <c r="D424" s="1">
        <v>2</v>
      </c>
      <c r="E424" s="1">
        <v>10</v>
      </c>
      <c r="F424" s="1">
        <v>10</v>
      </c>
      <c r="G424" s="1">
        <v>431</v>
      </c>
      <c r="H424" s="1">
        <v>480</v>
      </c>
      <c r="I424" s="1">
        <f t="shared" si="1"/>
        <v>49</v>
      </c>
    </row>
    <row r="425" spans="3:9" x14ac:dyDescent="0.25">
      <c r="C425" s="1">
        <v>19</v>
      </c>
      <c r="D425" s="1">
        <v>2</v>
      </c>
      <c r="E425" s="1">
        <v>10</v>
      </c>
      <c r="F425" s="1">
        <v>11</v>
      </c>
      <c r="G425" s="1">
        <v>480</v>
      </c>
      <c r="H425" s="1">
        <v>529</v>
      </c>
      <c r="I425" s="1">
        <f t="shared" si="1"/>
        <v>49</v>
      </c>
    </row>
    <row r="426" spans="3:9" x14ac:dyDescent="0.25">
      <c r="C426" s="1">
        <v>19</v>
      </c>
      <c r="D426" s="1">
        <v>2</v>
      </c>
      <c r="E426" s="1">
        <v>10</v>
      </c>
      <c r="F426" s="1">
        <v>12</v>
      </c>
      <c r="G426" s="1">
        <v>529</v>
      </c>
      <c r="H426" s="1">
        <v>572</v>
      </c>
      <c r="I426" s="1">
        <f t="shared" si="1"/>
        <v>43</v>
      </c>
    </row>
    <row r="427" spans="3:9" x14ac:dyDescent="0.25">
      <c r="C427" s="1">
        <v>19</v>
      </c>
      <c r="D427" s="1">
        <v>2</v>
      </c>
      <c r="E427" s="1">
        <v>10</v>
      </c>
      <c r="F427" s="1">
        <v>13</v>
      </c>
      <c r="G427" s="1">
        <v>572</v>
      </c>
      <c r="H427" s="1">
        <v>629</v>
      </c>
      <c r="I427" s="1">
        <f t="shared" si="1"/>
        <v>57</v>
      </c>
    </row>
    <row r="428" spans="3:9" x14ac:dyDescent="0.25">
      <c r="C428" s="1">
        <v>19</v>
      </c>
      <c r="D428" s="1">
        <v>2</v>
      </c>
      <c r="E428" s="1">
        <v>10</v>
      </c>
      <c r="F428" s="1">
        <v>14</v>
      </c>
      <c r="G428" s="1">
        <v>629</v>
      </c>
      <c r="H428" s="1">
        <v>677</v>
      </c>
      <c r="I428" s="1">
        <f t="shared" si="1"/>
        <v>48</v>
      </c>
    </row>
    <row r="429" spans="3:9" x14ac:dyDescent="0.25">
      <c r="C429" s="1">
        <v>19</v>
      </c>
      <c r="D429" s="1">
        <v>2</v>
      </c>
      <c r="E429" s="1">
        <v>10</v>
      </c>
      <c r="F429" s="1">
        <v>15</v>
      </c>
      <c r="G429" s="1">
        <v>677</v>
      </c>
      <c r="H429" s="1">
        <v>730</v>
      </c>
      <c r="I429" s="1">
        <f t="shared" si="1"/>
        <v>53</v>
      </c>
    </row>
    <row r="430" spans="3:9" x14ac:dyDescent="0.25">
      <c r="C430" s="1">
        <v>19</v>
      </c>
      <c r="D430" s="1">
        <v>2</v>
      </c>
      <c r="E430" s="1">
        <v>10</v>
      </c>
      <c r="F430" s="1">
        <v>16</v>
      </c>
      <c r="G430" s="1">
        <v>730</v>
      </c>
      <c r="H430" s="1">
        <v>759</v>
      </c>
      <c r="I430" s="1">
        <f t="shared" si="1"/>
        <v>29</v>
      </c>
    </row>
    <row r="431" spans="3:9" x14ac:dyDescent="0.25">
      <c r="C431" s="1">
        <v>19</v>
      </c>
      <c r="D431" s="1">
        <v>2</v>
      </c>
      <c r="E431" s="1">
        <v>10</v>
      </c>
      <c r="F431" s="1">
        <v>17</v>
      </c>
      <c r="G431" s="1">
        <v>759</v>
      </c>
      <c r="H431" s="1">
        <v>814</v>
      </c>
      <c r="I431" s="1">
        <f t="shared" si="1"/>
        <v>55</v>
      </c>
    </row>
    <row r="432" spans="3:9" x14ac:dyDescent="0.25">
      <c r="C432" s="1">
        <v>19</v>
      </c>
      <c r="D432" s="1">
        <v>2</v>
      </c>
      <c r="E432" s="1">
        <v>10</v>
      </c>
      <c r="F432" s="1">
        <v>18</v>
      </c>
      <c r="G432" s="1">
        <v>814</v>
      </c>
      <c r="H432" s="1">
        <v>859</v>
      </c>
      <c r="I432" s="1">
        <f t="shared" si="1"/>
        <v>45</v>
      </c>
    </row>
    <row r="433" spans="1:11" x14ac:dyDescent="0.25">
      <c r="C433" s="1">
        <v>19</v>
      </c>
      <c r="D433" s="1">
        <v>2</v>
      </c>
      <c r="E433" s="1">
        <v>10</v>
      </c>
      <c r="F433" s="1">
        <v>19</v>
      </c>
      <c r="G433" s="1">
        <v>859</v>
      </c>
      <c r="H433" s="1">
        <v>907</v>
      </c>
      <c r="I433" s="1">
        <f t="shared" si="1"/>
        <v>48</v>
      </c>
    </row>
    <row r="434" spans="1:11" x14ac:dyDescent="0.25">
      <c r="C434" s="1">
        <v>19</v>
      </c>
      <c r="D434" s="1">
        <v>2</v>
      </c>
      <c r="E434" s="1">
        <v>10</v>
      </c>
      <c r="F434" s="1">
        <v>20</v>
      </c>
      <c r="G434" s="1">
        <v>907</v>
      </c>
      <c r="H434" s="1">
        <v>953</v>
      </c>
      <c r="I434" s="1">
        <f t="shared" si="1"/>
        <v>46</v>
      </c>
    </row>
    <row r="435" spans="1:11" x14ac:dyDescent="0.25">
      <c r="C435" s="1">
        <v>19</v>
      </c>
      <c r="D435" s="1">
        <v>2</v>
      </c>
      <c r="E435" s="1">
        <v>10</v>
      </c>
      <c r="F435" s="1">
        <v>21</v>
      </c>
      <c r="G435" s="1">
        <v>953</v>
      </c>
      <c r="H435" s="1">
        <v>996</v>
      </c>
      <c r="I435" s="1">
        <f t="shared" si="1"/>
        <v>43</v>
      </c>
    </row>
    <row r="436" spans="1:11" x14ac:dyDescent="0.25">
      <c r="C436" s="1">
        <v>19</v>
      </c>
      <c r="D436" s="1">
        <v>2</v>
      </c>
      <c r="E436" s="1">
        <v>10</v>
      </c>
      <c r="F436" s="1">
        <v>22</v>
      </c>
      <c r="G436" s="1">
        <v>996</v>
      </c>
      <c r="H436" s="1">
        <v>1038</v>
      </c>
      <c r="I436" s="1">
        <f t="shared" si="1"/>
        <v>42</v>
      </c>
    </row>
    <row r="437" spans="1:11" x14ac:dyDescent="0.25">
      <c r="C437" s="1">
        <v>19</v>
      </c>
      <c r="D437" s="1">
        <v>2</v>
      </c>
      <c r="E437" s="1">
        <v>10</v>
      </c>
      <c r="F437" s="1">
        <v>23</v>
      </c>
      <c r="G437" s="1">
        <v>1038</v>
      </c>
      <c r="H437" s="1">
        <v>1090</v>
      </c>
      <c r="I437" s="1">
        <f t="shared" si="1"/>
        <v>52</v>
      </c>
    </row>
    <row r="438" spans="1:11" x14ac:dyDescent="0.25">
      <c r="C438" s="1">
        <v>19</v>
      </c>
      <c r="D438" s="1">
        <v>2</v>
      </c>
      <c r="E438" s="1">
        <v>10</v>
      </c>
      <c r="F438" s="1">
        <v>24</v>
      </c>
      <c r="G438" s="1">
        <v>1090</v>
      </c>
      <c r="H438" s="1">
        <v>1140</v>
      </c>
      <c r="I438" s="1">
        <f t="shared" si="1"/>
        <v>50</v>
      </c>
    </row>
    <row r="439" spans="1:11" x14ac:dyDescent="0.25">
      <c r="C439" s="1">
        <v>19</v>
      </c>
      <c r="D439" s="1">
        <v>2</v>
      </c>
      <c r="E439" s="1">
        <v>10</v>
      </c>
      <c r="F439" s="1">
        <v>25</v>
      </c>
      <c r="G439" s="1">
        <v>1140</v>
      </c>
      <c r="H439" s="1">
        <v>1189</v>
      </c>
      <c r="I439" s="1">
        <f t="shared" si="1"/>
        <v>49</v>
      </c>
    </row>
    <row r="440" spans="1:11" x14ac:dyDescent="0.25">
      <c r="A440" s="5">
        <v>1</v>
      </c>
      <c r="B440" s="2">
        <v>43887</v>
      </c>
      <c r="C440" s="1">
        <v>20</v>
      </c>
      <c r="D440" s="1">
        <v>2</v>
      </c>
      <c r="E440" s="1">
        <v>10</v>
      </c>
      <c r="F440" s="1">
        <v>1</v>
      </c>
      <c r="G440" s="1">
        <v>0</v>
      </c>
      <c r="H440" s="1">
        <v>12</v>
      </c>
      <c r="I440" s="1">
        <f t="shared" si="1"/>
        <v>12</v>
      </c>
      <c r="J440" s="8">
        <f>(I440+I441+I442+I456+I455+I454+I448+I447+I449)/9</f>
        <v>30.777777777777779</v>
      </c>
      <c r="K440" s="8">
        <f>AVERAGE(I440:I456)</f>
        <v>39.294117647058826</v>
      </c>
    </row>
    <row r="441" spans="1:11" x14ac:dyDescent="0.25">
      <c r="C441" s="1">
        <v>20</v>
      </c>
      <c r="D441" s="1">
        <v>2</v>
      </c>
      <c r="E441" s="1">
        <v>10</v>
      </c>
      <c r="F441" s="1">
        <v>2</v>
      </c>
      <c r="G441" s="1">
        <v>12</v>
      </c>
      <c r="H441" s="1">
        <v>47</v>
      </c>
      <c r="I441" s="1">
        <f t="shared" si="1"/>
        <v>35</v>
      </c>
    </row>
    <row r="442" spans="1:11" x14ac:dyDescent="0.25">
      <c r="C442" s="1">
        <v>20</v>
      </c>
      <c r="D442" s="1">
        <v>2</v>
      </c>
      <c r="E442" s="1">
        <v>10</v>
      </c>
      <c r="F442" s="1">
        <v>3</v>
      </c>
      <c r="G442" s="1">
        <v>47</v>
      </c>
      <c r="H442" s="1">
        <v>47</v>
      </c>
      <c r="I442" s="1">
        <f t="shared" si="1"/>
        <v>0</v>
      </c>
    </row>
    <row r="443" spans="1:11" x14ac:dyDescent="0.25">
      <c r="C443" s="1">
        <v>20</v>
      </c>
      <c r="D443" s="1">
        <v>2</v>
      </c>
      <c r="E443" s="1">
        <v>10</v>
      </c>
      <c r="F443" s="1">
        <v>4</v>
      </c>
      <c r="G443" s="1">
        <v>47</v>
      </c>
      <c r="H443" s="1">
        <v>94</v>
      </c>
      <c r="I443" s="1">
        <f t="shared" si="1"/>
        <v>47</v>
      </c>
    </row>
    <row r="444" spans="1:11" x14ac:dyDescent="0.25">
      <c r="C444" s="1">
        <v>20</v>
      </c>
      <c r="D444" s="1">
        <v>2</v>
      </c>
      <c r="E444" s="1">
        <v>10</v>
      </c>
      <c r="F444" s="1">
        <v>5</v>
      </c>
      <c r="G444" s="1">
        <v>94</v>
      </c>
      <c r="H444" s="1">
        <v>133</v>
      </c>
      <c r="I444" s="1">
        <f t="shared" si="1"/>
        <v>39</v>
      </c>
    </row>
    <row r="445" spans="1:11" x14ac:dyDescent="0.25">
      <c r="C445" s="1">
        <v>20</v>
      </c>
      <c r="D445" s="1">
        <v>2</v>
      </c>
      <c r="E445" s="1">
        <v>10</v>
      </c>
      <c r="F445" s="1">
        <v>6</v>
      </c>
      <c r="G445" s="1">
        <v>136</v>
      </c>
      <c r="H445" s="1">
        <v>187</v>
      </c>
      <c r="I445" s="1">
        <f t="shared" si="1"/>
        <v>51</v>
      </c>
    </row>
    <row r="446" spans="1:11" x14ac:dyDescent="0.25">
      <c r="C446" s="1">
        <v>20</v>
      </c>
      <c r="D446" s="1">
        <v>2</v>
      </c>
      <c r="E446" s="1">
        <v>10</v>
      </c>
      <c r="F446" s="1">
        <v>7</v>
      </c>
      <c r="G446" s="1">
        <v>189</v>
      </c>
      <c r="H446" s="1">
        <v>237</v>
      </c>
      <c r="I446" s="1">
        <f t="shared" si="1"/>
        <v>48</v>
      </c>
    </row>
    <row r="447" spans="1:11" x14ac:dyDescent="0.25">
      <c r="C447" s="1">
        <v>20</v>
      </c>
      <c r="D447" s="1">
        <v>2</v>
      </c>
      <c r="E447" s="1">
        <v>10</v>
      </c>
      <c r="F447" s="1">
        <v>8</v>
      </c>
      <c r="G447" s="1">
        <v>240</v>
      </c>
      <c r="H447" s="1">
        <v>287</v>
      </c>
      <c r="I447" s="1">
        <f t="shared" si="1"/>
        <v>47</v>
      </c>
    </row>
    <row r="448" spans="1:11" x14ac:dyDescent="0.25">
      <c r="C448" s="1">
        <v>20</v>
      </c>
      <c r="D448" s="1">
        <v>2</v>
      </c>
      <c r="E448" s="1">
        <v>10</v>
      </c>
      <c r="F448" s="1">
        <v>9</v>
      </c>
      <c r="G448" s="1">
        <v>287</v>
      </c>
      <c r="H448" s="1">
        <v>340</v>
      </c>
      <c r="I448" s="1">
        <f t="shared" si="1"/>
        <v>53</v>
      </c>
    </row>
    <row r="449" spans="1:11" x14ac:dyDescent="0.25">
      <c r="C449" s="1">
        <v>20</v>
      </c>
      <c r="D449" s="1">
        <v>2</v>
      </c>
      <c r="E449" s="1">
        <v>10</v>
      </c>
      <c r="F449" s="1">
        <v>10</v>
      </c>
      <c r="G449" s="1">
        <v>342</v>
      </c>
      <c r="H449" s="1">
        <v>393</v>
      </c>
      <c r="I449" s="1">
        <f t="shared" si="1"/>
        <v>51</v>
      </c>
    </row>
    <row r="450" spans="1:11" x14ac:dyDescent="0.25">
      <c r="C450" s="1">
        <v>20</v>
      </c>
      <c r="D450" s="1">
        <v>2</v>
      </c>
      <c r="E450" s="1">
        <v>10</v>
      </c>
      <c r="F450" s="1">
        <v>11</v>
      </c>
      <c r="G450" s="1">
        <v>394</v>
      </c>
      <c r="H450" s="1">
        <v>452</v>
      </c>
      <c r="I450" s="1">
        <f t="shared" si="1"/>
        <v>58</v>
      </c>
    </row>
    <row r="451" spans="1:11" x14ac:dyDescent="0.25">
      <c r="C451" s="1">
        <v>20</v>
      </c>
      <c r="D451" s="1">
        <v>2</v>
      </c>
      <c r="E451" s="1">
        <v>10</v>
      </c>
      <c r="F451" s="1">
        <v>12</v>
      </c>
      <c r="G451" s="1">
        <v>456</v>
      </c>
      <c r="H451" s="1">
        <v>494</v>
      </c>
      <c r="I451" s="1">
        <f t="shared" si="1"/>
        <v>38</v>
      </c>
    </row>
    <row r="452" spans="1:11" x14ac:dyDescent="0.25">
      <c r="C452" s="1">
        <v>20</v>
      </c>
      <c r="D452" s="1">
        <v>2</v>
      </c>
      <c r="E452" s="1">
        <v>10</v>
      </c>
      <c r="F452" s="1">
        <v>13</v>
      </c>
      <c r="G452" s="1">
        <v>496</v>
      </c>
      <c r="H452" s="1">
        <v>549</v>
      </c>
      <c r="I452" s="1">
        <f t="shared" si="1"/>
        <v>53</v>
      </c>
    </row>
    <row r="453" spans="1:11" x14ac:dyDescent="0.25">
      <c r="C453" s="1">
        <v>20</v>
      </c>
      <c r="D453" s="1">
        <v>2</v>
      </c>
      <c r="E453" s="1">
        <v>10</v>
      </c>
      <c r="F453" s="1">
        <v>14</v>
      </c>
      <c r="G453" s="1">
        <v>551</v>
      </c>
      <c r="H453" s="1">
        <v>608</v>
      </c>
      <c r="I453" s="1">
        <f t="shared" si="1"/>
        <v>57</v>
      </c>
    </row>
    <row r="454" spans="1:11" x14ac:dyDescent="0.25">
      <c r="C454" s="1">
        <v>20</v>
      </c>
      <c r="D454" s="1">
        <v>2</v>
      </c>
      <c r="E454" s="1">
        <v>10</v>
      </c>
      <c r="F454" s="1">
        <v>15</v>
      </c>
      <c r="G454" s="1">
        <v>609</v>
      </c>
      <c r="H454" s="1">
        <v>636</v>
      </c>
      <c r="I454" s="1">
        <f t="shared" si="1"/>
        <v>27</v>
      </c>
    </row>
    <row r="455" spans="1:11" x14ac:dyDescent="0.25">
      <c r="C455" s="1">
        <v>20</v>
      </c>
      <c r="D455" s="1">
        <v>2</v>
      </c>
      <c r="E455" s="1">
        <v>10</v>
      </c>
      <c r="F455" s="1">
        <v>16</v>
      </c>
      <c r="G455" s="1">
        <v>638</v>
      </c>
      <c r="H455" s="1">
        <v>690</v>
      </c>
      <c r="I455" s="1">
        <f t="shared" si="1"/>
        <v>52</v>
      </c>
    </row>
    <row r="456" spans="1:11" x14ac:dyDescent="0.25">
      <c r="C456" s="1">
        <v>20</v>
      </c>
      <c r="D456" s="1">
        <v>2</v>
      </c>
      <c r="E456" s="1">
        <v>10</v>
      </c>
      <c r="F456" s="1">
        <v>17</v>
      </c>
      <c r="G456" s="1">
        <v>690</v>
      </c>
      <c r="H456" s="1">
        <v>690</v>
      </c>
      <c r="I456" s="1">
        <f t="shared" si="1"/>
        <v>0</v>
      </c>
    </row>
    <row r="457" spans="1:11" x14ac:dyDescent="0.25">
      <c r="A457" s="5">
        <v>2</v>
      </c>
      <c r="B457" s="2">
        <v>43894</v>
      </c>
      <c r="C457" s="1">
        <v>13</v>
      </c>
      <c r="D457" s="1">
        <v>1</v>
      </c>
      <c r="E457" s="1">
        <v>10</v>
      </c>
      <c r="F457" s="1">
        <v>1</v>
      </c>
      <c r="G457" s="1">
        <v>2</v>
      </c>
      <c r="H457" s="1">
        <v>47</v>
      </c>
      <c r="I457" s="1">
        <f t="shared" si="1"/>
        <v>45</v>
      </c>
      <c r="J457" s="8">
        <f>(I457+I458+I459+I481+I478+I477+I468+I469+I465)/9</f>
        <v>50.666666666666664</v>
      </c>
      <c r="K457" s="8">
        <f>AVERAGE(I457:I481)</f>
        <v>55.571428571428569</v>
      </c>
    </row>
    <row r="458" spans="1:11" x14ac:dyDescent="0.25">
      <c r="C458" s="1">
        <v>13</v>
      </c>
      <c r="D458" s="1">
        <v>1</v>
      </c>
      <c r="E458" s="1">
        <v>10</v>
      </c>
      <c r="F458" s="1">
        <v>2</v>
      </c>
      <c r="G458" s="1">
        <v>47</v>
      </c>
      <c r="H458" s="1">
        <v>100</v>
      </c>
      <c r="I458" s="1">
        <f t="shared" si="1"/>
        <v>53</v>
      </c>
    </row>
    <row r="459" spans="1:11" x14ac:dyDescent="0.25">
      <c r="C459" s="1">
        <v>13</v>
      </c>
      <c r="D459" s="1">
        <v>1</v>
      </c>
      <c r="E459" s="1">
        <v>10</v>
      </c>
      <c r="F459" s="1">
        <v>3</v>
      </c>
      <c r="G459" s="1">
        <v>100</v>
      </c>
      <c r="H459" s="1">
        <v>155</v>
      </c>
      <c r="I459" s="1">
        <f t="shared" si="1"/>
        <v>55</v>
      </c>
    </row>
    <row r="460" spans="1:11" x14ac:dyDescent="0.25">
      <c r="C460" s="1">
        <v>13</v>
      </c>
      <c r="D460" s="1">
        <v>1</v>
      </c>
      <c r="E460" s="1">
        <v>10</v>
      </c>
      <c r="F460" s="1">
        <v>4</v>
      </c>
      <c r="G460" s="1">
        <v>155</v>
      </c>
      <c r="H460" s="1">
        <v>204</v>
      </c>
      <c r="I460" s="1">
        <f t="shared" si="1"/>
        <v>49</v>
      </c>
    </row>
    <row r="461" spans="1:11" x14ac:dyDescent="0.25">
      <c r="C461" s="1">
        <v>13</v>
      </c>
      <c r="D461" s="1">
        <v>1</v>
      </c>
      <c r="E461" s="1">
        <v>10</v>
      </c>
      <c r="F461" s="1">
        <v>5</v>
      </c>
      <c r="G461" s="1">
        <v>204</v>
      </c>
      <c r="H461" s="1">
        <v>248</v>
      </c>
      <c r="I461" s="1">
        <f t="shared" si="1"/>
        <v>44</v>
      </c>
    </row>
    <row r="462" spans="1:11" x14ac:dyDescent="0.25">
      <c r="C462" s="1">
        <v>13</v>
      </c>
      <c r="D462" s="1">
        <v>1</v>
      </c>
      <c r="E462" s="1">
        <v>10</v>
      </c>
      <c r="F462" s="1">
        <v>6</v>
      </c>
      <c r="G462" s="1">
        <v>248</v>
      </c>
      <c r="H462" s="1">
        <v>297</v>
      </c>
      <c r="I462" s="1">
        <f t="shared" si="1"/>
        <v>49</v>
      </c>
    </row>
    <row r="463" spans="1:11" x14ac:dyDescent="0.25">
      <c r="C463" s="1">
        <v>13</v>
      </c>
      <c r="D463" s="1">
        <v>1</v>
      </c>
      <c r="E463" s="1">
        <v>10</v>
      </c>
      <c r="F463" s="1">
        <v>7</v>
      </c>
      <c r="G463" s="1">
        <v>297</v>
      </c>
      <c r="H463" s="1">
        <v>351</v>
      </c>
      <c r="I463" s="1">
        <f t="shared" si="1"/>
        <v>54</v>
      </c>
    </row>
    <row r="464" spans="1:11" x14ac:dyDescent="0.25">
      <c r="C464" s="1">
        <v>13</v>
      </c>
      <c r="D464" s="1">
        <v>1</v>
      </c>
      <c r="E464" s="1">
        <v>10</v>
      </c>
      <c r="F464" s="1">
        <v>8</v>
      </c>
      <c r="G464" s="1">
        <v>351</v>
      </c>
      <c r="H464" s="1">
        <v>395</v>
      </c>
      <c r="I464" s="1">
        <f t="shared" si="1"/>
        <v>44</v>
      </c>
    </row>
    <row r="465" spans="3:9" x14ac:dyDescent="0.25">
      <c r="C465" s="1">
        <v>13</v>
      </c>
      <c r="D465" s="1">
        <v>1</v>
      </c>
      <c r="E465" s="1">
        <v>10</v>
      </c>
      <c r="F465" s="1">
        <v>9</v>
      </c>
      <c r="G465" s="1">
        <v>395</v>
      </c>
      <c r="H465" s="1">
        <v>429</v>
      </c>
      <c r="I465" s="1">
        <f t="shared" si="1"/>
        <v>34</v>
      </c>
    </row>
    <row r="466" spans="3:9" x14ac:dyDescent="0.25">
      <c r="C466" s="1">
        <v>13</v>
      </c>
      <c r="D466" s="1">
        <v>1</v>
      </c>
      <c r="E466" s="1">
        <v>10</v>
      </c>
      <c r="F466" s="1">
        <v>10</v>
      </c>
      <c r="G466" s="1">
        <v>432</v>
      </c>
    </row>
    <row r="467" spans="3:9" x14ac:dyDescent="0.25">
      <c r="C467" s="1">
        <v>13</v>
      </c>
      <c r="D467" s="1">
        <v>1</v>
      </c>
      <c r="E467" s="1">
        <v>10</v>
      </c>
      <c r="F467" s="1">
        <v>11</v>
      </c>
      <c r="H467" s="1">
        <v>533</v>
      </c>
    </row>
    <row r="468" spans="3:9" x14ac:dyDescent="0.25">
      <c r="C468" s="1">
        <v>13</v>
      </c>
      <c r="D468" s="1">
        <v>1</v>
      </c>
      <c r="E468" s="1">
        <v>10</v>
      </c>
      <c r="F468" s="1">
        <v>12</v>
      </c>
      <c r="G468" s="1">
        <v>533</v>
      </c>
      <c r="H468" s="1">
        <v>587</v>
      </c>
      <c r="I468" s="1">
        <f t="shared" ref="I468:I653" si="2">H468-G468</f>
        <v>54</v>
      </c>
    </row>
    <row r="469" spans="3:9" x14ac:dyDescent="0.25">
      <c r="C469" s="1">
        <v>13</v>
      </c>
      <c r="D469" s="1">
        <v>1</v>
      </c>
      <c r="E469" s="1">
        <v>10</v>
      </c>
      <c r="F469" s="1">
        <v>13</v>
      </c>
      <c r="G469" s="1">
        <v>587</v>
      </c>
      <c r="H469" s="1">
        <v>643</v>
      </c>
      <c r="I469" s="1">
        <f t="shared" si="2"/>
        <v>56</v>
      </c>
    </row>
    <row r="470" spans="3:9" x14ac:dyDescent="0.25">
      <c r="C470" s="1">
        <v>13</v>
      </c>
      <c r="D470" s="1">
        <v>1</v>
      </c>
      <c r="E470" s="1">
        <v>10</v>
      </c>
      <c r="F470" s="1">
        <v>14</v>
      </c>
      <c r="G470" s="1">
        <v>547</v>
      </c>
      <c r="H470" s="1">
        <v>698</v>
      </c>
      <c r="I470" s="1">
        <f t="shared" si="2"/>
        <v>151</v>
      </c>
    </row>
    <row r="471" spans="3:9" x14ac:dyDescent="0.25">
      <c r="C471" s="1">
        <v>13</v>
      </c>
      <c r="D471" s="1">
        <v>1</v>
      </c>
      <c r="E471" s="1">
        <v>10</v>
      </c>
      <c r="F471" s="1">
        <v>15</v>
      </c>
      <c r="G471" s="1">
        <v>698</v>
      </c>
      <c r="H471" s="1">
        <v>752</v>
      </c>
      <c r="I471" s="1">
        <f t="shared" si="2"/>
        <v>54</v>
      </c>
    </row>
    <row r="472" spans="3:9" x14ac:dyDescent="0.25">
      <c r="C472" s="1">
        <v>13</v>
      </c>
      <c r="D472" s="1">
        <v>1</v>
      </c>
      <c r="E472" s="1">
        <v>10</v>
      </c>
      <c r="F472" s="1">
        <v>16</v>
      </c>
      <c r="G472" s="1">
        <v>752</v>
      </c>
      <c r="H472" s="1">
        <v>807</v>
      </c>
      <c r="I472" s="1">
        <f t="shared" si="2"/>
        <v>55</v>
      </c>
    </row>
    <row r="473" spans="3:9" x14ac:dyDescent="0.25">
      <c r="C473" s="1">
        <v>13</v>
      </c>
      <c r="D473" s="1">
        <v>1</v>
      </c>
      <c r="E473" s="1">
        <v>10</v>
      </c>
      <c r="F473" s="1">
        <v>17</v>
      </c>
      <c r="G473" s="1">
        <v>807</v>
      </c>
      <c r="H473" s="1">
        <v>858</v>
      </c>
      <c r="I473" s="1">
        <f t="shared" si="2"/>
        <v>51</v>
      </c>
    </row>
    <row r="474" spans="3:9" x14ac:dyDescent="0.25">
      <c r="C474" s="1">
        <v>13</v>
      </c>
      <c r="D474" s="1">
        <v>1</v>
      </c>
      <c r="E474" s="1">
        <v>10</v>
      </c>
      <c r="F474" s="1">
        <v>18</v>
      </c>
      <c r="G474" s="1">
        <v>865</v>
      </c>
      <c r="H474" s="1">
        <v>919</v>
      </c>
      <c r="I474" s="1">
        <f t="shared" si="2"/>
        <v>54</v>
      </c>
    </row>
    <row r="475" spans="3:9" x14ac:dyDescent="0.25">
      <c r="C475" s="1">
        <v>13</v>
      </c>
      <c r="D475" s="1">
        <v>1</v>
      </c>
      <c r="E475" s="1">
        <v>10</v>
      </c>
      <c r="F475" s="1">
        <v>19</v>
      </c>
      <c r="G475" s="1">
        <v>919</v>
      </c>
      <c r="H475" s="1">
        <v>968</v>
      </c>
      <c r="I475" s="1">
        <f t="shared" si="2"/>
        <v>49</v>
      </c>
    </row>
    <row r="476" spans="3:9" x14ac:dyDescent="0.25">
      <c r="C476" s="1">
        <v>13</v>
      </c>
      <c r="D476" s="1">
        <v>1</v>
      </c>
      <c r="E476" s="1">
        <v>10</v>
      </c>
      <c r="F476" s="1">
        <v>20</v>
      </c>
      <c r="G476" s="1">
        <v>978</v>
      </c>
      <c r="H476" s="1">
        <v>1035</v>
      </c>
      <c r="I476" s="1">
        <f t="shared" si="2"/>
        <v>57</v>
      </c>
    </row>
    <row r="477" spans="3:9" x14ac:dyDescent="0.25">
      <c r="C477" s="1">
        <v>13</v>
      </c>
      <c r="D477" s="1">
        <v>1</v>
      </c>
      <c r="E477" s="1">
        <v>10</v>
      </c>
      <c r="F477" s="1">
        <v>21</v>
      </c>
      <c r="G477" s="1">
        <v>1035</v>
      </c>
      <c r="H477" s="1">
        <v>1090</v>
      </c>
      <c r="I477" s="1">
        <f t="shared" si="2"/>
        <v>55</v>
      </c>
    </row>
    <row r="478" spans="3:9" x14ac:dyDescent="0.25">
      <c r="C478" s="1">
        <v>13</v>
      </c>
      <c r="D478" s="1">
        <v>1</v>
      </c>
      <c r="E478" s="1">
        <v>10</v>
      </c>
      <c r="F478" s="1">
        <v>22</v>
      </c>
      <c r="G478" s="1">
        <v>1090</v>
      </c>
      <c r="H478" s="1">
        <v>1138</v>
      </c>
      <c r="I478" s="1">
        <f t="shared" si="2"/>
        <v>48</v>
      </c>
    </row>
    <row r="479" spans="3:9" x14ac:dyDescent="0.25">
      <c r="C479" s="1">
        <v>13</v>
      </c>
      <c r="D479" s="1">
        <v>1</v>
      </c>
      <c r="E479" s="1">
        <v>10</v>
      </c>
      <c r="F479" s="1">
        <v>23</v>
      </c>
      <c r="G479" s="1">
        <v>1138</v>
      </c>
    </row>
    <row r="480" spans="3:9" x14ac:dyDescent="0.25">
      <c r="C480" s="1">
        <v>13</v>
      </c>
      <c r="D480" s="1">
        <v>1</v>
      </c>
      <c r="E480" s="1">
        <v>10</v>
      </c>
      <c r="F480" s="1">
        <v>24</v>
      </c>
      <c r="H480" s="1">
        <v>1250</v>
      </c>
    </row>
    <row r="481" spans="1:11" x14ac:dyDescent="0.25">
      <c r="C481" s="1">
        <v>13</v>
      </c>
      <c r="D481" s="1">
        <v>1</v>
      </c>
      <c r="E481" s="1">
        <v>10</v>
      </c>
      <c r="F481" s="1">
        <v>25</v>
      </c>
      <c r="G481" s="1">
        <v>1250</v>
      </c>
      <c r="H481" s="1">
        <v>1306</v>
      </c>
      <c r="I481" s="1">
        <f t="shared" si="2"/>
        <v>56</v>
      </c>
    </row>
    <row r="482" spans="1:11" x14ac:dyDescent="0.25">
      <c r="A482" s="5">
        <v>2</v>
      </c>
      <c r="B482" s="2">
        <v>43892</v>
      </c>
      <c r="C482" s="1">
        <v>14</v>
      </c>
      <c r="D482" s="1">
        <v>2</v>
      </c>
      <c r="E482" s="1">
        <v>10</v>
      </c>
      <c r="F482" s="1">
        <v>1</v>
      </c>
      <c r="G482" s="1">
        <v>2</v>
      </c>
      <c r="H482" s="1">
        <v>38</v>
      </c>
      <c r="I482" s="1">
        <f t="shared" si="2"/>
        <v>36</v>
      </c>
      <c r="J482" s="8">
        <f>(I482+I483+I484+I495+I494+I493+I489+I488+I490)/9</f>
        <v>40.222222222222221</v>
      </c>
      <c r="K482" s="8">
        <f>AVERAGE(I482:I495)</f>
        <v>41.5</v>
      </c>
    </row>
    <row r="483" spans="1:11" x14ac:dyDescent="0.25">
      <c r="C483" s="1">
        <v>14</v>
      </c>
      <c r="D483" s="1">
        <v>2</v>
      </c>
      <c r="E483" s="1">
        <v>10</v>
      </c>
      <c r="F483" s="1">
        <v>2</v>
      </c>
      <c r="G483" s="1">
        <v>38</v>
      </c>
      <c r="H483" s="1">
        <v>82</v>
      </c>
      <c r="I483" s="1">
        <f t="shared" si="2"/>
        <v>44</v>
      </c>
    </row>
    <row r="484" spans="1:11" x14ac:dyDescent="0.25">
      <c r="C484" s="1">
        <v>14</v>
      </c>
      <c r="D484" s="1">
        <v>2</v>
      </c>
      <c r="E484" s="1">
        <v>10</v>
      </c>
      <c r="F484" s="1">
        <v>3</v>
      </c>
      <c r="G484" s="1">
        <v>82</v>
      </c>
      <c r="H484" s="1">
        <v>123</v>
      </c>
      <c r="I484" s="1">
        <f t="shared" si="2"/>
        <v>41</v>
      </c>
    </row>
    <row r="485" spans="1:11" x14ac:dyDescent="0.25">
      <c r="C485" s="1">
        <v>14</v>
      </c>
      <c r="D485" s="1">
        <v>2</v>
      </c>
      <c r="E485" s="1">
        <v>10</v>
      </c>
      <c r="F485" s="1">
        <v>4</v>
      </c>
      <c r="G485" s="1">
        <v>123</v>
      </c>
      <c r="H485" s="1">
        <v>165</v>
      </c>
      <c r="I485" s="1">
        <f t="shared" si="2"/>
        <v>42</v>
      </c>
    </row>
    <row r="486" spans="1:11" x14ac:dyDescent="0.25">
      <c r="C486" s="1">
        <v>14</v>
      </c>
      <c r="D486" s="1">
        <v>2</v>
      </c>
      <c r="E486" s="1">
        <v>10</v>
      </c>
      <c r="F486" s="1">
        <v>5</v>
      </c>
      <c r="G486" s="1">
        <v>165</v>
      </c>
      <c r="H486" s="1">
        <v>206</v>
      </c>
      <c r="I486" s="1">
        <f t="shared" si="2"/>
        <v>41</v>
      </c>
    </row>
    <row r="487" spans="1:11" x14ac:dyDescent="0.25">
      <c r="C487" s="1">
        <v>14</v>
      </c>
      <c r="D487" s="1">
        <v>2</v>
      </c>
      <c r="E487" s="1">
        <v>10</v>
      </c>
      <c r="F487" s="1">
        <v>6</v>
      </c>
      <c r="G487" s="1">
        <v>206</v>
      </c>
      <c r="H487" s="1">
        <v>255</v>
      </c>
      <c r="I487" s="1">
        <f t="shared" si="2"/>
        <v>49</v>
      </c>
    </row>
    <row r="488" spans="1:11" x14ac:dyDescent="0.25">
      <c r="C488" s="1">
        <v>14</v>
      </c>
      <c r="D488" s="1">
        <v>2</v>
      </c>
      <c r="E488" s="1">
        <v>10</v>
      </c>
      <c r="F488" s="1">
        <v>7</v>
      </c>
      <c r="G488" s="1">
        <v>255</v>
      </c>
      <c r="H488" s="1">
        <v>296</v>
      </c>
      <c r="I488" s="1">
        <f t="shared" si="2"/>
        <v>41</v>
      </c>
    </row>
    <row r="489" spans="1:11" x14ac:dyDescent="0.25">
      <c r="C489" s="1">
        <v>14</v>
      </c>
      <c r="D489" s="1">
        <v>2</v>
      </c>
      <c r="E489" s="1">
        <v>10</v>
      </c>
      <c r="F489" s="1">
        <v>8</v>
      </c>
      <c r="G489" s="1">
        <v>296</v>
      </c>
      <c r="H489" s="1">
        <v>349</v>
      </c>
      <c r="I489" s="1">
        <f t="shared" si="2"/>
        <v>53</v>
      </c>
    </row>
    <row r="490" spans="1:11" x14ac:dyDescent="0.25">
      <c r="C490" s="1">
        <v>14</v>
      </c>
      <c r="D490" s="1">
        <v>2</v>
      </c>
      <c r="E490" s="1">
        <v>10</v>
      </c>
      <c r="F490" s="1">
        <v>9</v>
      </c>
      <c r="G490" s="1">
        <v>349</v>
      </c>
      <c r="H490" s="1">
        <v>397</v>
      </c>
      <c r="I490" s="1">
        <f t="shared" si="2"/>
        <v>48</v>
      </c>
    </row>
    <row r="491" spans="1:11" x14ac:dyDescent="0.25">
      <c r="C491" s="1">
        <v>14</v>
      </c>
      <c r="D491" s="1">
        <v>2</v>
      </c>
      <c r="E491" s="1">
        <v>10</v>
      </c>
      <c r="F491" s="1">
        <v>10</v>
      </c>
      <c r="G491" s="1">
        <v>397</v>
      </c>
      <c r="H491" s="1">
        <v>437</v>
      </c>
      <c r="I491" s="1">
        <f t="shared" si="2"/>
        <v>40</v>
      </c>
    </row>
    <row r="492" spans="1:11" x14ac:dyDescent="0.25">
      <c r="C492" s="1">
        <v>14</v>
      </c>
      <c r="D492" s="1">
        <v>2</v>
      </c>
      <c r="E492" s="1">
        <v>10</v>
      </c>
      <c r="F492" s="1">
        <v>11</v>
      </c>
      <c r="G492" s="1">
        <v>437</v>
      </c>
      <c r="H492" s="1">
        <v>484</v>
      </c>
      <c r="I492" s="1">
        <f t="shared" si="2"/>
        <v>47</v>
      </c>
    </row>
    <row r="493" spans="1:11" x14ac:dyDescent="0.25">
      <c r="C493" s="1">
        <v>14</v>
      </c>
      <c r="D493" s="1">
        <v>2</v>
      </c>
      <c r="E493" s="1">
        <v>10</v>
      </c>
      <c r="F493" s="1">
        <v>12</v>
      </c>
      <c r="G493" s="1">
        <v>484</v>
      </c>
      <c r="H493" s="1">
        <v>517</v>
      </c>
      <c r="I493" s="1">
        <f t="shared" si="2"/>
        <v>33</v>
      </c>
    </row>
    <row r="494" spans="1:11" x14ac:dyDescent="0.25">
      <c r="C494" s="1">
        <v>14</v>
      </c>
      <c r="D494" s="1">
        <v>2</v>
      </c>
      <c r="E494" s="1">
        <v>10</v>
      </c>
      <c r="F494" s="1">
        <v>13</v>
      </c>
      <c r="G494" s="1">
        <v>517</v>
      </c>
      <c r="H494" s="1">
        <v>551</v>
      </c>
      <c r="I494" s="1">
        <f t="shared" si="2"/>
        <v>34</v>
      </c>
    </row>
    <row r="495" spans="1:11" x14ac:dyDescent="0.25">
      <c r="C495" s="1">
        <v>14</v>
      </c>
      <c r="D495" s="1">
        <v>2</v>
      </c>
      <c r="E495" s="1">
        <v>10</v>
      </c>
      <c r="F495" s="1">
        <v>14</v>
      </c>
      <c r="G495" s="1">
        <v>551</v>
      </c>
      <c r="H495" s="1">
        <v>583</v>
      </c>
      <c r="I495" s="1">
        <f t="shared" si="2"/>
        <v>32</v>
      </c>
    </row>
    <row r="496" spans="1:11" x14ac:dyDescent="0.25">
      <c r="A496" s="5">
        <v>2</v>
      </c>
      <c r="B496" s="2">
        <v>43896</v>
      </c>
      <c r="C496" s="1">
        <v>15</v>
      </c>
      <c r="D496" s="1">
        <v>1</v>
      </c>
      <c r="E496" s="1">
        <v>10</v>
      </c>
      <c r="F496" s="1">
        <v>1</v>
      </c>
      <c r="G496" s="1">
        <v>0</v>
      </c>
      <c r="H496" s="1">
        <v>25</v>
      </c>
      <c r="I496" s="1">
        <f t="shared" si="2"/>
        <v>25</v>
      </c>
      <c r="J496" s="8">
        <f>(I496+I497+I498+I520+I519+I518+I507+I508+I509)/9</f>
        <v>49.111111111111114</v>
      </c>
      <c r="K496" s="8">
        <f>AVERAGE(I496:I520)</f>
        <v>51.48</v>
      </c>
    </row>
    <row r="497" spans="3:9" x14ac:dyDescent="0.25">
      <c r="C497" s="1">
        <v>15</v>
      </c>
      <c r="D497" s="1">
        <v>1</v>
      </c>
      <c r="E497" s="1">
        <v>10</v>
      </c>
      <c r="F497" s="1">
        <v>2</v>
      </c>
      <c r="G497" s="1">
        <v>25</v>
      </c>
      <c r="H497" s="1">
        <v>74</v>
      </c>
      <c r="I497" s="1">
        <f t="shared" si="2"/>
        <v>49</v>
      </c>
    </row>
    <row r="498" spans="3:9" x14ac:dyDescent="0.25">
      <c r="C498" s="1">
        <v>15</v>
      </c>
      <c r="D498" s="1">
        <v>1</v>
      </c>
      <c r="E498" s="1">
        <v>10</v>
      </c>
      <c r="F498" s="1">
        <v>3</v>
      </c>
      <c r="G498" s="1">
        <v>75</v>
      </c>
      <c r="H498" s="1">
        <v>129</v>
      </c>
      <c r="I498" s="1">
        <f t="shared" si="2"/>
        <v>54</v>
      </c>
    </row>
    <row r="499" spans="3:9" x14ac:dyDescent="0.25">
      <c r="C499" s="1">
        <v>15</v>
      </c>
      <c r="D499" s="1">
        <v>1</v>
      </c>
      <c r="E499" s="1">
        <v>10</v>
      </c>
      <c r="F499" s="1">
        <v>4</v>
      </c>
      <c r="G499" s="1">
        <v>129</v>
      </c>
      <c r="H499" s="1">
        <v>183</v>
      </c>
      <c r="I499" s="1">
        <f t="shared" si="2"/>
        <v>54</v>
      </c>
    </row>
    <row r="500" spans="3:9" x14ac:dyDescent="0.25">
      <c r="C500" s="1">
        <v>15</v>
      </c>
      <c r="D500" s="1">
        <v>1</v>
      </c>
      <c r="E500" s="1">
        <v>10</v>
      </c>
      <c r="F500" s="1">
        <v>5</v>
      </c>
      <c r="G500" s="1">
        <v>183</v>
      </c>
      <c r="H500" s="1">
        <v>233</v>
      </c>
      <c r="I500" s="1">
        <f t="shared" si="2"/>
        <v>50</v>
      </c>
    </row>
    <row r="501" spans="3:9" x14ac:dyDescent="0.25">
      <c r="C501" s="1">
        <v>15</v>
      </c>
      <c r="D501" s="1">
        <v>1</v>
      </c>
      <c r="E501" s="1">
        <v>10</v>
      </c>
      <c r="F501" s="1">
        <v>6</v>
      </c>
      <c r="G501" s="1">
        <v>233</v>
      </c>
      <c r="H501" s="1">
        <v>290</v>
      </c>
      <c r="I501" s="1">
        <f t="shared" si="2"/>
        <v>57</v>
      </c>
    </row>
    <row r="502" spans="3:9" x14ac:dyDescent="0.25">
      <c r="C502" s="1">
        <v>15</v>
      </c>
      <c r="D502" s="1">
        <v>1</v>
      </c>
      <c r="E502" s="1">
        <v>10</v>
      </c>
      <c r="F502" s="1">
        <v>7</v>
      </c>
      <c r="G502" s="1">
        <v>290</v>
      </c>
      <c r="H502" s="1">
        <v>346</v>
      </c>
      <c r="I502" s="1">
        <f t="shared" si="2"/>
        <v>56</v>
      </c>
    </row>
    <row r="503" spans="3:9" x14ac:dyDescent="0.25">
      <c r="C503" s="1">
        <v>15</v>
      </c>
      <c r="D503" s="1">
        <v>1</v>
      </c>
      <c r="E503" s="1">
        <v>10</v>
      </c>
      <c r="F503" s="1">
        <v>8</v>
      </c>
      <c r="G503" s="1">
        <v>346</v>
      </c>
      <c r="H503" s="1">
        <v>407</v>
      </c>
      <c r="I503" s="1">
        <f t="shared" si="2"/>
        <v>61</v>
      </c>
    </row>
    <row r="504" spans="3:9" x14ac:dyDescent="0.25">
      <c r="C504" s="1">
        <v>15</v>
      </c>
      <c r="D504" s="1">
        <v>1</v>
      </c>
      <c r="E504" s="1">
        <v>10</v>
      </c>
      <c r="F504" s="1">
        <v>9</v>
      </c>
      <c r="G504" s="1">
        <v>408</v>
      </c>
      <c r="H504" s="1">
        <v>454</v>
      </c>
      <c r="I504" s="1">
        <f t="shared" si="2"/>
        <v>46</v>
      </c>
    </row>
    <row r="505" spans="3:9" x14ac:dyDescent="0.25">
      <c r="C505" s="1">
        <v>15</v>
      </c>
      <c r="D505" s="1">
        <v>1</v>
      </c>
      <c r="E505" s="1">
        <v>10</v>
      </c>
      <c r="F505" s="1">
        <v>10</v>
      </c>
      <c r="G505" s="1">
        <v>455</v>
      </c>
      <c r="H505" s="1">
        <v>484</v>
      </c>
      <c r="I505" s="1">
        <f t="shared" si="2"/>
        <v>29</v>
      </c>
    </row>
    <row r="506" spans="3:9" x14ac:dyDescent="0.25">
      <c r="C506" s="1">
        <v>15</v>
      </c>
      <c r="D506" s="1">
        <v>1</v>
      </c>
      <c r="E506" s="1">
        <v>10</v>
      </c>
      <c r="F506" s="1">
        <v>11</v>
      </c>
      <c r="G506" s="1">
        <v>484</v>
      </c>
      <c r="H506" s="1">
        <v>534</v>
      </c>
      <c r="I506" s="1">
        <f t="shared" si="2"/>
        <v>50</v>
      </c>
    </row>
    <row r="507" spans="3:9" x14ac:dyDescent="0.25">
      <c r="C507" s="1">
        <v>15</v>
      </c>
      <c r="D507" s="1">
        <v>1</v>
      </c>
      <c r="E507" s="1">
        <v>10</v>
      </c>
      <c r="F507" s="1">
        <v>12</v>
      </c>
      <c r="G507" s="1">
        <v>534</v>
      </c>
      <c r="H507" s="1">
        <v>584</v>
      </c>
      <c r="I507" s="1">
        <f t="shared" si="2"/>
        <v>50</v>
      </c>
    </row>
    <row r="508" spans="3:9" x14ac:dyDescent="0.25">
      <c r="C508" s="1">
        <v>15</v>
      </c>
      <c r="D508" s="1">
        <v>1</v>
      </c>
      <c r="E508" s="1">
        <v>10</v>
      </c>
      <c r="F508" s="1">
        <v>13</v>
      </c>
      <c r="G508" s="1">
        <v>584</v>
      </c>
      <c r="H508" s="1">
        <v>636</v>
      </c>
      <c r="I508" s="1">
        <f t="shared" si="2"/>
        <v>52</v>
      </c>
    </row>
    <row r="509" spans="3:9" x14ac:dyDescent="0.25">
      <c r="C509" s="1">
        <v>15</v>
      </c>
      <c r="D509" s="1">
        <v>1</v>
      </c>
      <c r="E509" s="1">
        <v>10</v>
      </c>
      <c r="F509" s="1">
        <v>14</v>
      </c>
      <c r="G509" s="1">
        <v>638</v>
      </c>
      <c r="H509" s="1">
        <v>698</v>
      </c>
      <c r="I509" s="1">
        <f t="shared" si="2"/>
        <v>60</v>
      </c>
    </row>
    <row r="510" spans="3:9" x14ac:dyDescent="0.25">
      <c r="C510" s="1">
        <v>15</v>
      </c>
      <c r="D510" s="1">
        <v>1</v>
      </c>
      <c r="E510" s="1">
        <v>10</v>
      </c>
      <c r="F510" s="1">
        <v>15</v>
      </c>
      <c r="G510" s="1">
        <v>698</v>
      </c>
      <c r="H510" s="1">
        <v>752</v>
      </c>
      <c r="I510" s="1">
        <f t="shared" si="2"/>
        <v>54</v>
      </c>
    </row>
    <row r="511" spans="3:9" x14ac:dyDescent="0.25">
      <c r="C511" s="1">
        <v>15</v>
      </c>
      <c r="D511" s="1">
        <v>1</v>
      </c>
      <c r="E511" s="1">
        <v>10</v>
      </c>
      <c r="F511" s="1">
        <v>16</v>
      </c>
      <c r="G511" s="1">
        <v>752</v>
      </c>
      <c r="H511" s="1">
        <v>815</v>
      </c>
      <c r="I511" s="1">
        <f t="shared" si="2"/>
        <v>63</v>
      </c>
    </row>
    <row r="512" spans="3:9" x14ac:dyDescent="0.25">
      <c r="C512" s="1">
        <v>15</v>
      </c>
      <c r="D512" s="1">
        <v>1</v>
      </c>
      <c r="E512" s="1">
        <v>10</v>
      </c>
      <c r="F512" s="1">
        <v>17</v>
      </c>
      <c r="G512" s="1">
        <v>815</v>
      </c>
      <c r="H512" s="1">
        <v>876</v>
      </c>
      <c r="I512" s="1">
        <f t="shared" si="2"/>
        <v>61</v>
      </c>
    </row>
    <row r="513" spans="1:11" x14ac:dyDescent="0.25">
      <c r="C513" s="1">
        <v>15</v>
      </c>
      <c r="D513" s="1">
        <v>1</v>
      </c>
      <c r="E513" s="1">
        <v>10</v>
      </c>
      <c r="F513" s="1">
        <v>18</v>
      </c>
      <c r="G513" s="1">
        <v>878</v>
      </c>
      <c r="H513" s="1">
        <v>929</v>
      </c>
      <c r="I513" s="1">
        <f t="shared" si="2"/>
        <v>51</v>
      </c>
    </row>
    <row r="514" spans="1:11" x14ac:dyDescent="0.25">
      <c r="C514" s="1">
        <v>15</v>
      </c>
      <c r="D514" s="1">
        <v>1</v>
      </c>
      <c r="E514" s="1">
        <v>10</v>
      </c>
      <c r="F514" s="1">
        <v>19</v>
      </c>
      <c r="G514" s="1">
        <v>929</v>
      </c>
      <c r="H514" s="1">
        <v>984</v>
      </c>
      <c r="I514" s="1">
        <f t="shared" si="2"/>
        <v>55</v>
      </c>
    </row>
    <row r="515" spans="1:11" x14ac:dyDescent="0.25">
      <c r="C515" s="1">
        <v>15</v>
      </c>
      <c r="D515" s="1">
        <v>1</v>
      </c>
      <c r="E515" s="1">
        <v>10</v>
      </c>
      <c r="F515" s="1">
        <v>20</v>
      </c>
      <c r="G515" s="1">
        <v>984</v>
      </c>
      <c r="H515" s="1">
        <v>1030</v>
      </c>
      <c r="I515" s="1">
        <f t="shared" si="2"/>
        <v>46</v>
      </c>
    </row>
    <row r="516" spans="1:11" x14ac:dyDescent="0.25">
      <c r="C516" s="1">
        <v>15</v>
      </c>
      <c r="D516" s="1">
        <v>1</v>
      </c>
      <c r="E516" s="1">
        <v>10</v>
      </c>
      <c r="F516" s="1">
        <v>21</v>
      </c>
      <c r="G516" s="1">
        <v>1030</v>
      </c>
      <c r="H516" s="1">
        <v>1089</v>
      </c>
      <c r="I516" s="1">
        <f t="shared" si="2"/>
        <v>59</v>
      </c>
    </row>
    <row r="517" spans="1:11" x14ac:dyDescent="0.25">
      <c r="C517" s="1">
        <v>15</v>
      </c>
      <c r="D517" s="1">
        <v>1</v>
      </c>
      <c r="E517" s="1">
        <v>10</v>
      </c>
      <c r="F517" s="1">
        <v>22</v>
      </c>
      <c r="G517" s="1">
        <v>1089</v>
      </c>
      <c r="H517" s="1">
        <v>1142</v>
      </c>
      <c r="I517" s="1">
        <f t="shared" si="2"/>
        <v>53</v>
      </c>
    </row>
    <row r="518" spans="1:11" x14ac:dyDescent="0.25">
      <c r="C518" s="1">
        <v>15</v>
      </c>
      <c r="D518" s="1">
        <v>1</v>
      </c>
      <c r="E518" s="1">
        <v>10</v>
      </c>
      <c r="F518" s="1">
        <v>23</v>
      </c>
      <c r="G518" s="1">
        <v>1142</v>
      </c>
      <c r="H518" s="1">
        <v>1191</v>
      </c>
      <c r="I518" s="1">
        <f t="shared" si="2"/>
        <v>49</v>
      </c>
    </row>
    <row r="519" spans="1:11" x14ac:dyDescent="0.25">
      <c r="C519" s="1">
        <v>15</v>
      </c>
      <c r="D519" s="1">
        <v>1</v>
      </c>
      <c r="E519" s="1">
        <v>10</v>
      </c>
      <c r="F519" s="1">
        <v>24</v>
      </c>
      <c r="G519" s="1">
        <v>1191</v>
      </c>
      <c r="H519" s="1">
        <v>1237</v>
      </c>
      <c r="I519" s="1">
        <f t="shared" si="2"/>
        <v>46</v>
      </c>
    </row>
    <row r="520" spans="1:11" x14ac:dyDescent="0.25">
      <c r="C520" s="1">
        <v>15</v>
      </c>
      <c r="D520" s="1">
        <v>1</v>
      </c>
      <c r="E520" s="1">
        <v>10</v>
      </c>
      <c r="F520" s="1">
        <v>25</v>
      </c>
      <c r="G520" s="1">
        <v>1247</v>
      </c>
      <c r="H520" s="1">
        <v>1304</v>
      </c>
      <c r="I520" s="1">
        <f t="shared" si="2"/>
        <v>57</v>
      </c>
    </row>
    <row r="521" spans="1:11" x14ac:dyDescent="0.25">
      <c r="A521" s="5">
        <v>2</v>
      </c>
      <c r="B521" s="2">
        <v>43894</v>
      </c>
      <c r="C521" s="1">
        <v>16</v>
      </c>
      <c r="D521" s="1">
        <v>2</v>
      </c>
      <c r="E521" s="1">
        <v>10</v>
      </c>
      <c r="F521" s="1">
        <v>1</v>
      </c>
      <c r="G521" s="1">
        <v>7</v>
      </c>
      <c r="H521" s="1">
        <v>32</v>
      </c>
      <c r="I521" s="1">
        <f t="shared" si="2"/>
        <v>25</v>
      </c>
      <c r="J521" s="8">
        <f>(I521+I522+I523+I530+I529+I528+I526+I525+I524)/9</f>
        <v>3.4444444444444446</v>
      </c>
      <c r="K521" s="8">
        <f>AVERAGE(I521:I530)</f>
        <v>3.1</v>
      </c>
    </row>
    <row r="522" spans="1:11" x14ac:dyDescent="0.25">
      <c r="C522" s="1">
        <v>16</v>
      </c>
      <c r="D522" s="1">
        <v>2</v>
      </c>
      <c r="E522" s="1">
        <v>10</v>
      </c>
      <c r="F522" s="1">
        <v>2</v>
      </c>
      <c r="G522" s="1">
        <v>32</v>
      </c>
      <c r="H522" s="1">
        <v>34</v>
      </c>
      <c r="I522" s="1">
        <f t="shared" si="2"/>
        <v>2</v>
      </c>
    </row>
    <row r="523" spans="1:11" x14ac:dyDescent="0.25">
      <c r="C523" s="1">
        <v>16</v>
      </c>
      <c r="D523" s="1">
        <v>2</v>
      </c>
      <c r="E523" s="1">
        <v>10</v>
      </c>
      <c r="F523" s="1">
        <v>3</v>
      </c>
      <c r="G523" s="1">
        <v>34</v>
      </c>
      <c r="H523" s="1">
        <v>36</v>
      </c>
      <c r="I523" s="1">
        <f t="shared" si="2"/>
        <v>2</v>
      </c>
    </row>
    <row r="524" spans="1:11" x14ac:dyDescent="0.25">
      <c r="C524" s="1">
        <v>16</v>
      </c>
      <c r="D524" s="1">
        <v>2</v>
      </c>
      <c r="E524" s="1">
        <v>10</v>
      </c>
      <c r="F524" s="1">
        <v>4</v>
      </c>
      <c r="G524" s="1">
        <v>42</v>
      </c>
      <c r="H524" s="1">
        <v>44</v>
      </c>
      <c r="I524" s="1">
        <f t="shared" si="2"/>
        <v>2</v>
      </c>
    </row>
    <row r="525" spans="1:11" x14ac:dyDescent="0.25">
      <c r="C525" s="1">
        <v>16</v>
      </c>
      <c r="D525" s="1">
        <v>2</v>
      </c>
      <c r="E525" s="1">
        <v>10</v>
      </c>
      <c r="F525" s="1">
        <v>5</v>
      </c>
      <c r="G525" s="1">
        <v>44</v>
      </c>
      <c r="H525" s="1">
        <v>44</v>
      </c>
      <c r="I525" s="1">
        <f t="shared" si="2"/>
        <v>0</v>
      </c>
    </row>
    <row r="526" spans="1:11" x14ac:dyDescent="0.25">
      <c r="C526" s="1">
        <v>16</v>
      </c>
      <c r="D526" s="1">
        <v>2</v>
      </c>
      <c r="E526" s="1">
        <v>10</v>
      </c>
      <c r="F526" s="1">
        <v>6</v>
      </c>
      <c r="G526" s="1">
        <v>44</v>
      </c>
      <c r="H526" s="1">
        <v>44</v>
      </c>
      <c r="I526" s="1">
        <f t="shared" si="2"/>
        <v>0</v>
      </c>
    </row>
    <row r="527" spans="1:11" x14ac:dyDescent="0.25">
      <c r="C527" s="1">
        <v>16</v>
      </c>
      <c r="D527" s="1">
        <v>2</v>
      </c>
      <c r="E527" s="1">
        <v>10</v>
      </c>
      <c r="F527" s="1">
        <v>7</v>
      </c>
      <c r="G527" s="1">
        <v>44</v>
      </c>
      <c r="H527" s="1">
        <v>44</v>
      </c>
      <c r="I527" s="1">
        <f t="shared" si="2"/>
        <v>0</v>
      </c>
    </row>
    <row r="528" spans="1:11" x14ac:dyDescent="0.25">
      <c r="C528" s="1">
        <v>16</v>
      </c>
      <c r="D528" s="1">
        <v>2</v>
      </c>
      <c r="E528" s="1">
        <v>10</v>
      </c>
      <c r="F528" s="1">
        <v>8</v>
      </c>
      <c r="G528" s="1">
        <v>44</v>
      </c>
      <c r="H528" s="1">
        <v>44</v>
      </c>
      <c r="I528" s="1">
        <f t="shared" si="2"/>
        <v>0</v>
      </c>
    </row>
    <row r="529" spans="1:11" x14ac:dyDescent="0.25">
      <c r="C529" s="1">
        <v>16</v>
      </c>
      <c r="D529" s="1">
        <v>2</v>
      </c>
      <c r="E529" s="1">
        <v>10</v>
      </c>
      <c r="F529" s="1">
        <v>9</v>
      </c>
      <c r="G529" s="1">
        <v>44</v>
      </c>
      <c r="H529" s="1">
        <v>44</v>
      </c>
      <c r="I529" s="1">
        <f t="shared" si="2"/>
        <v>0</v>
      </c>
    </row>
    <row r="530" spans="1:11" x14ac:dyDescent="0.25">
      <c r="C530" s="1">
        <v>16</v>
      </c>
      <c r="D530" s="1">
        <v>2</v>
      </c>
      <c r="E530" s="1">
        <v>10</v>
      </c>
      <c r="F530" s="1">
        <v>10</v>
      </c>
      <c r="G530" s="1">
        <v>44</v>
      </c>
      <c r="H530" s="1">
        <v>44</v>
      </c>
      <c r="I530" s="1">
        <f t="shared" si="2"/>
        <v>0</v>
      </c>
    </row>
    <row r="531" spans="1:11" x14ac:dyDescent="0.25">
      <c r="A531" s="5">
        <v>2</v>
      </c>
      <c r="B531" s="2">
        <v>43892</v>
      </c>
      <c r="C531" s="1">
        <v>17</v>
      </c>
      <c r="D531" s="1">
        <v>1</v>
      </c>
      <c r="E531" s="1">
        <v>10</v>
      </c>
      <c r="F531" s="1">
        <v>1</v>
      </c>
      <c r="G531" s="1">
        <v>6</v>
      </c>
      <c r="H531" s="1">
        <v>26</v>
      </c>
      <c r="I531" s="1">
        <f t="shared" si="2"/>
        <v>20</v>
      </c>
      <c r="J531" s="8">
        <f>(I531+I532+I533+I545+I544+I543+I538+I539+I537)/9</f>
        <v>36.222222222222221</v>
      </c>
      <c r="K531" s="8">
        <f>AVERAGE(I531:I545)</f>
        <v>32.533333333333331</v>
      </c>
    </row>
    <row r="532" spans="1:11" x14ac:dyDescent="0.25">
      <c r="C532" s="1">
        <v>17</v>
      </c>
      <c r="D532" s="1">
        <v>1</v>
      </c>
      <c r="E532" s="1">
        <v>10</v>
      </c>
      <c r="F532" s="1">
        <v>2</v>
      </c>
      <c r="G532" s="1">
        <v>26</v>
      </c>
      <c r="H532" s="1">
        <v>46</v>
      </c>
      <c r="I532" s="1">
        <f t="shared" si="2"/>
        <v>20</v>
      </c>
    </row>
    <row r="533" spans="1:11" x14ac:dyDescent="0.25">
      <c r="C533" s="1">
        <v>17</v>
      </c>
      <c r="D533" s="1">
        <v>1</v>
      </c>
      <c r="E533" s="1">
        <v>10</v>
      </c>
      <c r="F533" s="1">
        <v>3</v>
      </c>
      <c r="G533" s="1">
        <v>46</v>
      </c>
      <c r="H533" s="1">
        <v>91</v>
      </c>
      <c r="I533" s="1">
        <f t="shared" si="2"/>
        <v>45</v>
      </c>
    </row>
    <row r="534" spans="1:11" x14ac:dyDescent="0.25">
      <c r="C534" s="1">
        <v>17</v>
      </c>
      <c r="D534" s="1">
        <v>1</v>
      </c>
      <c r="E534" s="1">
        <v>10</v>
      </c>
      <c r="F534" s="1">
        <v>4</v>
      </c>
      <c r="G534" s="1">
        <v>91</v>
      </c>
      <c r="H534" s="1">
        <v>131</v>
      </c>
      <c r="I534" s="1">
        <f t="shared" si="2"/>
        <v>40</v>
      </c>
    </row>
    <row r="535" spans="1:11" x14ac:dyDescent="0.25">
      <c r="C535" s="1">
        <v>17</v>
      </c>
      <c r="D535" s="1">
        <v>1</v>
      </c>
      <c r="E535" s="1">
        <v>10</v>
      </c>
      <c r="F535" s="1">
        <v>5</v>
      </c>
      <c r="G535" s="1">
        <v>131</v>
      </c>
      <c r="H535" s="1">
        <v>175</v>
      </c>
      <c r="I535" s="1">
        <f t="shared" si="2"/>
        <v>44</v>
      </c>
    </row>
    <row r="536" spans="1:11" x14ac:dyDescent="0.25">
      <c r="C536" s="1">
        <v>17</v>
      </c>
      <c r="D536" s="1">
        <v>1</v>
      </c>
      <c r="E536" s="1">
        <v>10</v>
      </c>
      <c r="F536" s="1">
        <v>6</v>
      </c>
      <c r="G536" s="1">
        <v>175</v>
      </c>
      <c r="H536" s="1">
        <v>183</v>
      </c>
      <c r="I536" s="1">
        <f t="shared" si="2"/>
        <v>8</v>
      </c>
    </row>
    <row r="537" spans="1:11" x14ac:dyDescent="0.25">
      <c r="C537" s="1">
        <v>17</v>
      </c>
      <c r="D537" s="1">
        <v>1</v>
      </c>
      <c r="E537" s="1">
        <v>10</v>
      </c>
      <c r="F537" s="1">
        <v>7</v>
      </c>
      <c r="G537" s="1">
        <v>183</v>
      </c>
      <c r="H537" s="1">
        <v>231</v>
      </c>
      <c r="I537" s="1">
        <f t="shared" si="2"/>
        <v>48</v>
      </c>
    </row>
    <row r="538" spans="1:11" x14ac:dyDescent="0.25">
      <c r="C538" s="1">
        <v>17</v>
      </c>
      <c r="D538" s="1">
        <v>1</v>
      </c>
      <c r="E538" s="1">
        <v>10</v>
      </c>
      <c r="F538" s="1">
        <v>8</v>
      </c>
      <c r="G538" s="1">
        <v>231</v>
      </c>
      <c r="H538" s="1">
        <v>273</v>
      </c>
      <c r="I538" s="1">
        <f t="shared" si="2"/>
        <v>42</v>
      </c>
    </row>
    <row r="539" spans="1:11" x14ac:dyDescent="0.25">
      <c r="C539" s="1">
        <v>17</v>
      </c>
      <c r="D539" s="1">
        <v>1</v>
      </c>
      <c r="E539" s="1">
        <v>10</v>
      </c>
      <c r="F539" s="1">
        <v>9</v>
      </c>
      <c r="G539" s="1">
        <v>273</v>
      </c>
      <c r="H539" s="1">
        <v>284</v>
      </c>
      <c r="I539" s="1">
        <f t="shared" si="2"/>
        <v>11</v>
      </c>
    </row>
    <row r="540" spans="1:11" x14ac:dyDescent="0.25">
      <c r="C540" s="1">
        <v>17</v>
      </c>
      <c r="D540" s="1">
        <v>1</v>
      </c>
      <c r="E540" s="1">
        <v>10</v>
      </c>
      <c r="F540" s="1">
        <v>10</v>
      </c>
      <c r="G540" s="1">
        <v>284</v>
      </c>
      <c r="H540" s="1">
        <v>288</v>
      </c>
      <c r="I540" s="1">
        <f t="shared" si="2"/>
        <v>4</v>
      </c>
    </row>
    <row r="541" spans="1:11" x14ac:dyDescent="0.25">
      <c r="C541" s="1">
        <v>17</v>
      </c>
      <c r="D541" s="1">
        <v>1</v>
      </c>
      <c r="E541" s="1">
        <v>10</v>
      </c>
      <c r="F541" s="1">
        <v>11</v>
      </c>
      <c r="G541" s="1">
        <v>288</v>
      </c>
      <c r="H541" s="1">
        <v>314</v>
      </c>
      <c r="I541" s="1">
        <f t="shared" si="2"/>
        <v>26</v>
      </c>
    </row>
    <row r="542" spans="1:11" x14ac:dyDescent="0.25">
      <c r="C542" s="1">
        <v>17</v>
      </c>
      <c r="D542" s="1">
        <v>1</v>
      </c>
      <c r="E542" s="1">
        <v>10</v>
      </c>
      <c r="F542" s="1">
        <v>12</v>
      </c>
      <c r="G542" s="1">
        <v>318</v>
      </c>
      <c r="H542" s="1">
        <v>358</v>
      </c>
      <c r="I542" s="1">
        <f t="shared" si="2"/>
        <v>40</v>
      </c>
    </row>
    <row r="543" spans="1:11" x14ac:dyDescent="0.25">
      <c r="C543" s="1">
        <v>17</v>
      </c>
      <c r="D543" s="1">
        <v>1</v>
      </c>
      <c r="E543" s="1">
        <v>10</v>
      </c>
      <c r="F543" s="1">
        <v>13</v>
      </c>
      <c r="G543" s="1">
        <v>358</v>
      </c>
      <c r="H543" s="1">
        <v>407</v>
      </c>
      <c r="I543" s="1">
        <f t="shared" si="2"/>
        <v>49</v>
      </c>
    </row>
    <row r="544" spans="1:11" x14ac:dyDescent="0.25">
      <c r="C544" s="1">
        <v>17</v>
      </c>
      <c r="D544" s="1">
        <v>1</v>
      </c>
      <c r="E544" s="1">
        <v>10</v>
      </c>
      <c r="F544" s="1">
        <v>14</v>
      </c>
      <c r="G544" s="1">
        <v>407</v>
      </c>
      <c r="H544" s="1">
        <v>449</v>
      </c>
      <c r="I544" s="1">
        <f t="shared" si="2"/>
        <v>42</v>
      </c>
    </row>
    <row r="545" spans="1:11" x14ac:dyDescent="0.25">
      <c r="C545" s="1">
        <v>17</v>
      </c>
      <c r="D545" s="1">
        <v>1</v>
      </c>
      <c r="E545" s="1">
        <v>10</v>
      </c>
      <c r="F545" s="1">
        <v>15</v>
      </c>
      <c r="G545" s="1">
        <v>449</v>
      </c>
      <c r="H545" s="1">
        <v>498</v>
      </c>
      <c r="I545" s="1">
        <f t="shared" si="2"/>
        <v>49</v>
      </c>
    </row>
    <row r="546" spans="1:11" x14ac:dyDescent="0.25">
      <c r="A546" s="5">
        <v>2</v>
      </c>
      <c r="B546" s="2">
        <v>43896</v>
      </c>
      <c r="C546" s="1">
        <v>18</v>
      </c>
      <c r="D546" s="1">
        <v>2</v>
      </c>
      <c r="E546" s="1">
        <v>10</v>
      </c>
      <c r="F546" s="1">
        <v>1</v>
      </c>
      <c r="G546" s="1">
        <v>2</v>
      </c>
      <c r="H546" s="1">
        <v>48</v>
      </c>
      <c r="I546" s="1">
        <f t="shared" si="2"/>
        <v>46</v>
      </c>
      <c r="J546" s="8">
        <f>(I546+I547+I548+I570+I569+I568+I557+I558+I559)/9</f>
        <v>42.444444444444443</v>
      </c>
      <c r="K546" s="8">
        <f>AVERAGE(I546:I570)</f>
        <v>41.24</v>
      </c>
    </row>
    <row r="547" spans="1:11" x14ac:dyDescent="0.25">
      <c r="C547" s="1">
        <v>18</v>
      </c>
      <c r="D547" s="1">
        <v>2</v>
      </c>
      <c r="E547" s="1">
        <v>10</v>
      </c>
      <c r="F547" s="1">
        <v>2</v>
      </c>
      <c r="G547" s="1">
        <v>48</v>
      </c>
      <c r="H547" s="1">
        <v>93</v>
      </c>
      <c r="I547" s="1">
        <f t="shared" si="2"/>
        <v>45</v>
      </c>
    </row>
    <row r="548" spans="1:11" x14ac:dyDescent="0.25">
      <c r="C548" s="1">
        <v>18</v>
      </c>
      <c r="D548" s="1">
        <v>2</v>
      </c>
      <c r="E548" s="1">
        <v>10</v>
      </c>
      <c r="F548" s="1">
        <v>3</v>
      </c>
      <c r="G548" s="1">
        <v>93</v>
      </c>
      <c r="H548" s="1">
        <v>140</v>
      </c>
      <c r="I548" s="1">
        <f t="shared" si="2"/>
        <v>47</v>
      </c>
    </row>
    <row r="549" spans="1:11" x14ac:dyDescent="0.25">
      <c r="C549" s="1">
        <v>18</v>
      </c>
      <c r="D549" s="1">
        <v>2</v>
      </c>
      <c r="E549" s="1">
        <v>10</v>
      </c>
      <c r="F549" s="1">
        <v>4</v>
      </c>
      <c r="G549" s="1">
        <v>140</v>
      </c>
      <c r="H549" s="1">
        <v>182</v>
      </c>
      <c r="I549" s="1">
        <f t="shared" si="2"/>
        <v>42</v>
      </c>
    </row>
    <row r="550" spans="1:11" x14ac:dyDescent="0.25">
      <c r="C550" s="1">
        <v>18</v>
      </c>
      <c r="D550" s="1">
        <v>2</v>
      </c>
      <c r="E550" s="1">
        <v>10</v>
      </c>
      <c r="F550" s="1">
        <v>5</v>
      </c>
      <c r="G550" s="1">
        <v>182</v>
      </c>
      <c r="H550" s="1">
        <v>227</v>
      </c>
      <c r="I550" s="1">
        <f t="shared" si="2"/>
        <v>45</v>
      </c>
    </row>
    <row r="551" spans="1:11" x14ac:dyDescent="0.25">
      <c r="C551" s="1">
        <v>18</v>
      </c>
      <c r="D551" s="1">
        <v>2</v>
      </c>
      <c r="E551" s="1">
        <v>10</v>
      </c>
      <c r="F551" s="1">
        <v>6</v>
      </c>
      <c r="G551" s="1">
        <v>227</v>
      </c>
      <c r="H551" s="1">
        <v>273</v>
      </c>
      <c r="I551" s="1">
        <f t="shared" si="2"/>
        <v>46</v>
      </c>
    </row>
    <row r="552" spans="1:11" x14ac:dyDescent="0.25">
      <c r="C552" s="1">
        <v>18</v>
      </c>
      <c r="D552" s="1">
        <v>2</v>
      </c>
      <c r="E552" s="1">
        <v>10</v>
      </c>
      <c r="F552" s="1">
        <v>7</v>
      </c>
      <c r="G552" s="1">
        <v>273</v>
      </c>
      <c r="H552" s="1">
        <v>318</v>
      </c>
      <c r="I552" s="1">
        <f t="shared" si="2"/>
        <v>45</v>
      </c>
    </row>
    <row r="553" spans="1:11" x14ac:dyDescent="0.25">
      <c r="C553" s="1">
        <v>18</v>
      </c>
      <c r="D553" s="1">
        <v>2</v>
      </c>
      <c r="E553" s="1">
        <v>10</v>
      </c>
      <c r="F553" s="1">
        <v>8</v>
      </c>
      <c r="G553" s="1">
        <v>322</v>
      </c>
      <c r="H553" s="1">
        <v>367</v>
      </c>
      <c r="I553" s="1">
        <f t="shared" si="2"/>
        <v>45</v>
      </c>
    </row>
    <row r="554" spans="1:11" x14ac:dyDescent="0.25">
      <c r="C554" s="1">
        <v>18</v>
      </c>
      <c r="D554" s="1">
        <v>2</v>
      </c>
      <c r="E554" s="1">
        <v>10</v>
      </c>
      <c r="F554" s="1">
        <v>9</v>
      </c>
      <c r="G554" s="1">
        <v>367</v>
      </c>
      <c r="H554" s="1">
        <v>394</v>
      </c>
      <c r="I554" s="1">
        <f t="shared" si="2"/>
        <v>27</v>
      </c>
    </row>
    <row r="555" spans="1:11" x14ac:dyDescent="0.25">
      <c r="C555" s="1">
        <v>18</v>
      </c>
      <c r="D555" s="1">
        <v>2</v>
      </c>
      <c r="E555" s="1">
        <v>10</v>
      </c>
      <c r="F555" s="1">
        <v>10</v>
      </c>
      <c r="G555" s="1">
        <v>394</v>
      </c>
      <c r="H555" s="1">
        <v>427</v>
      </c>
      <c r="I555" s="1">
        <f t="shared" si="2"/>
        <v>33</v>
      </c>
    </row>
    <row r="556" spans="1:11" x14ac:dyDescent="0.25">
      <c r="C556" s="1">
        <v>18</v>
      </c>
      <c r="D556" s="1">
        <v>2</v>
      </c>
      <c r="E556" s="1">
        <v>10</v>
      </c>
      <c r="F556" s="1">
        <v>11</v>
      </c>
      <c r="G556" s="1">
        <v>427</v>
      </c>
      <c r="H556" s="1">
        <v>469</v>
      </c>
      <c r="I556" s="1">
        <f t="shared" si="2"/>
        <v>42</v>
      </c>
    </row>
    <row r="557" spans="1:11" x14ac:dyDescent="0.25">
      <c r="C557" s="1">
        <v>18</v>
      </c>
      <c r="D557" s="1">
        <v>2</v>
      </c>
      <c r="E557" s="1">
        <v>10</v>
      </c>
      <c r="F557" s="1">
        <v>12</v>
      </c>
      <c r="G557" s="1">
        <v>469</v>
      </c>
      <c r="H557" s="1">
        <v>498</v>
      </c>
      <c r="I557" s="1">
        <f t="shared" si="2"/>
        <v>29</v>
      </c>
    </row>
    <row r="558" spans="1:11" x14ac:dyDescent="0.25">
      <c r="C558" s="1">
        <v>18</v>
      </c>
      <c r="D558" s="1">
        <v>2</v>
      </c>
      <c r="E558" s="1">
        <v>10</v>
      </c>
      <c r="F558" s="1">
        <v>13</v>
      </c>
      <c r="G558" s="1">
        <v>498</v>
      </c>
      <c r="H558" s="1">
        <v>547</v>
      </c>
      <c r="I558" s="1">
        <f t="shared" si="2"/>
        <v>49</v>
      </c>
    </row>
    <row r="559" spans="1:11" x14ac:dyDescent="0.25">
      <c r="C559" s="1">
        <v>18</v>
      </c>
      <c r="D559" s="1">
        <v>2</v>
      </c>
      <c r="E559" s="1">
        <v>10</v>
      </c>
      <c r="F559" s="1">
        <v>14</v>
      </c>
      <c r="G559" s="1">
        <v>547</v>
      </c>
      <c r="H559" s="1">
        <v>587</v>
      </c>
      <c r="I559" s="1">
        <f t="shared" si="2"/>
        <v>40</v>
      </c>
    </row>
    <row r="560" spans="1:11" x14ac:dyDescent="0.25">
      <c r="C560" s="1">
        <v>18</v>
      </c>
      <c r="D560" s="1">
        <v>2</v>
      </c>
      <c r="E560" s="1">
        <v>10</v>
      </c>
      <c r="F560" s="1">
        <v>15</v>
      </c>
      <c r="G560" s="1">
        <v>594</v>
      </c>
      <c r="H560" s="1">
        <v>639</v>
      </c>
      <c r="I560" s="1">
        <f t="shared" si="2"/>
        <v>45</v>
      </c>
    </row>
    <row r="561" spans="1:11" x14ac:dyDescent="0.25">
      <c r="C561" s="1">
        <v>18</v>
      </c>
      <c r="D561" s="1">
        <v>2</v>
      </c>
      <c r="E561" s="1">
        <v>10</v>
      </c>
      <c r="F561" s="1">
        <v>16</v>
      </c>
      <c r="G561" s="1">
        <v>639</v>
      </c>
      <c r="H561" s="1">
        <v>681</v>
      </c>
      <c r="I561" s="1">
        <f t="shared" si="2"/>
        <v>42</v>
      </c>
    </row>
    <row r="562" spans="1:11" x14ac:dyDescent="0.25">
      <c r="C562" s="1">
        <v>18</v>
      </c>
      <c r="D562" s="1">
        <v>2</v>
      </c>
      <c r="E562" s="1">
        <v>10</v>
      </c>
      <c r="F562" s="1">
        <v>17</v>
      </c>
      <c r="G562" s="1">
        <v>681</v>
      </c>
      <c r="H562" s="1">
        <v>726</v>
      </c>
      <c r="I562" s="1">
        <f t="shared" si="2"/>
        <v>45</v>
      </c>
    </row>
    <row r="563" spans="1:11" x14ac:dyDescent="0.25">
      <c r="C563" s="1">
        <v>18</v>
      </c>
      <c r="D563" s="1">
        <v>2</v>
      </c>
      <c r="E563" s="1">
        <v>10</v>
      </c>
      <c r="F563" s="1">
        <v>18</v>
      </c>
      <c r="G563" s="1">
        <v>726</v>
      </c>
      <c r="H563" s="1">
        <v>765</v>
      </c>
      <c r="I563" s="1">
        <f t="shared" si="2"/>
        <v>39</v>
      </c>
    </row>
    <row r="564" spans="1:11" x14ac:dyDescent="0.25">
      <c r="C564" s="1">
        <v>18</v>
      </c>
      <c r="D564" s="1">
        <v>2</v>
      </c>
      <c r="E564" s="1">
        <v>10</v>
      </c>
      <c r="F564" s="1">
        <v>19</v>
      </c>
      <c r="G564" s="1">
        <v>765</v>
      </c>
      <c r="H564" s="1">
        <v>807</v>
      </c>
      <c r="I564" s="1">
        <f t="shared" si="2"/>
        <v>42</v>
      </c>
    </row>
    <row r="565" spans="1:11" x14ac:dyDescent="0.25">
      <c r="C565" s="1">
        <v>18</v>
      </c>
      <c r="D565" s="1">
        <v>2</v>
      </c>
      <c r="E565" s="1">
        <v>10</v>
      </c>
      <c r="F565" s="1">
        <v>20</v>
      </c>
      <c r="G565" s="1">
        <v>807</v>
      </c>
      <c r="H565" s="1">
        <v>839</v>
      </c>
      <c r="I565" s="1">
        <f t="shared" si="2"/>
        <v>32</v>
      </c>
    </row>
    <row r="566" spans="1:11" x14ac:dyDescent="0.25">
      <c r="C566" s="1">
        <v>18</v>
      </c>
      <c r="D566" s="1">
        <v>2</v>
      </c>
      <c r="E566" s="1">
        <v>10</v>
      </c>
      <c r="F566" s="1">
        <v>21</v>
      </c>
      <c r="G566" s="1">
        <v>839</v>
      </c>
      <c r="H566" s="1">
        <v>879</v>
      </c>
      <c r="I566" s="1">
        <f t="shared" si="2"/>
        <v>40</v>
      </c>
    </row>
    <row r="567" spans="1:11" x14ac:dyDescent="0.25">
      <c r="C567" s="1">
        <v>18</v>
      </c>
      <c r="D567" s="1">
        <v>2</v>
      </c>
      <c r="E567" s="1">
        <v>10</v>
      </c>
      <c r="F567" s="1">
        <v>22</v>
      </c>
      <c r="G567" s="1">
        <v>879</v>
      </c>
      <c r="H567" s="1">
        <v>918</v>
      </c>
      <c r="I567" s="1">
        <f t="shared" si="2"/>
        <v>39</v>
      </c>
    </row>
    <row r="568" spans="1:11" x14ac:dyDescent="0.25">
      <c r="C568" s="1">
        <v>18</v>
      </c>
      <c r="D568" s="1">
        <v>2</v>
      </c>
      <c r="E568" s="1">
        <v>10</v>
      </c>
      <c r="F568" s="1">
        <v>23</v>
      </c>
      <c r="G568" s="1">
        <v>918</v>
      </c>
      <c r="H568" s="1">
        <v>958</v>
      </c>
      <c r="I568" s="1">
        <f t="shared" si="2"/>
        <v>40</v>
      </c>
    </row>
    <row r="569" spans="1:11" x14ac:dyDescent="0.25">
      <c r="C569" s="1">
        <v>18</v>
      </c>
      <c r="D569" s="1">
        <v>2</v>
      </c>
      <c r="E569" s="1">
        <v>10</v>
      </c>
      <c r="F569" s="1">
        <v>24</v>
      </c>
      <c r="G569" s="1">
        <v>958</v>
      </c>
      <c r="H569" s="1">
        <v>1002</v>
      </c>
      <c r="I569" s="1">
        <f t="shared" si="2"/>
        <v>44</v>
      </c>
    </row>
    <row r="570" spans="1:11" x14ac:dyDescent="0.25">
      <c r="C570" s="1">
        <v>18</v>
      </c>
      <c r="D570" s="1">
        <v>2</v>
      </c>
      <c r="E570" s="1">
        <v>10</v>
      </c>
      <c r="F570" s="1">
        <v>25</v>
      </c>
      <c r="G570" s="1">
        <v>1002</v>
      </c>
      <c r="H570" s="1">
        <v>1044</v>
      </c>
      <c r="I570" s="1">
        <f t="shared" si="2"/>
        <v>42</v>
      </c>
    </row>
    <row r="571" spans="1:11" x14ac:dyDescent="0.25">
      <c r="A571" s="5">
        <v>2</v>
      </c>
      <c r="B571" s="2">
        <v>43894</v>
      </c>
      <c r="C571" s="1">
        <v>19</v>
      </c>
      <c r="D571" s="1">
        <v>2</v>
      </c>
      <c r="E571" s="1">
        <v>10</v>
      </c>
      <c r="F571" s="1">
        <v>1</v>
      </c>
      <c r="G571" s="1">
        <v>0</v>
      </c>
      <c r="H571" s="1">
        <v>35</v>
      </c>
      <c r="I571" s="1">
        <f t="shared" si="2"/>
        <v>35</v>
      </c>
      <c r="J571" s="8">
        <f>(I571+I572+I573+I595+I594+I593+I582+I583+I584)/9</f>
        <v>39.666666666666664</v>
      </c>
      <c r="K571" s="8">
        <f>AVERAGE(I571:I595)</f>
        <v>37.880000000000003</v>
      </c>
    </row>
    <row r="572" spans="1:11" x14ac:dyDescent="0.25">
      <c r="C572" s="1">
        <v>19</v>
      </c>
      <c r="D572" s="1">
        <v>2</v>
      </c>
      <c r="E572" s="1">
        <v>10</v>
      </c>
      <c r="F572" s="1">
        <v>2</v>
      </c>
      <c r="G572" s="1">
        <v>35</v>
      </c>
      <c r="H572" s="1">
        <v>76</v>
      </c>
      <c r="I572" s="1">
        <f t="shared" si="2"/>
        <v>41</v>
      </c>
    </row>
    <row r="573" spans="1:11" x14ac:dyDescent="0.25">
      <c r="C573" s="1">
        <v>19</v>
      </c>
      <c r="D573" s="1">
        <v>2</v>
      </c>
      <c r="E573" s="1">
        <v>10</v>
      </c>
      <c r="F573" s="1">
        <v>3</v>
      </c>
      <c r="G573" s="1">
        <v>76</v>
      </c>
      <c r="H573" s="1">
        <v>125</v>
      </c>
      <c r="I573" s="1">
        <f t="shared" si="2"/>
        <v>49</v>
      </c>
    </row>
    <row r="574" spans="1:11" x14ac:dyDescent="0.25">
      <c r="C574" s="1">
        <v>19</v>
      </c>
      <c r="D574" s="1">
        <v>2</v>
      </c>
      <c r="E574" s="1">
        <v>10</v>
      </c>
      <c r="F574" s="1">
        <v>4</v>
      </c>
      <c r="G574" s="1">
        <v>125</v>
      </c>
      <c r="H574" s="1">
        <v>146</v>
      </c>
      <c r="I574" s="1">
        <f t="shared" si="2"/>
        <v>21</v>
      </c>
    </row>
    <row r="575" spans="1:11" x14ac:dyDescent="0.25">
      <c r="C575" s="1">
        <v>19</v>
      </c>
      <c r="D575" s="1">
        <v>2</v>
      </c>
      <c r="E575" s="1">
        <v>10</v>
      </c>
      <c r="F575" s="1">
        <v>5</v>
      </c>
      <c r="G575" s="1">
        <v>146</v>
      </c>
      <c r="H575" s="1">
        <v>190</v>
      </c>
      <c r="I575" s="1">
        <f t="shared" si="2"/>
        <v>44</v>
      </c>
    </row>
    <row r="576" spans="1:11" x14ac:dyDescent="0.25">
      <c r="C576" s="1">
        <v>19</v>
      </c>
      <c r="D576" s="1">
        <v>2</v>
      </c>
      <c r="E576" s="1">
        <v>10</v>
      </c>
      <c r="F576" s="1">
        <v>6</v>
      </c>
      <c r="G576" s="1">
        <v>190</v>
      </c>
      <c r="H576" s="1">
        <v>218</v>
      </c>
      <c r="I576" s="1">
        <f t="shared" si="2"/>
        <v>28</v>
      </c>
    </row>
    <row r="577" spans="3:9" x14ac:dyDescent="0.25">
      <c r="C577" s="1">
        <v>19</v>
      </c>
      <c r="D577" s="1">
        <v>2</v>
      </c>
      <c r="E577" s="1">
        <v>10</v>
      </c>
      <c r="F577" s="1">
        <v>7</v>
      </c>
      <c r="G577" s="1">
        <v>218</v>
      </c>
      <c r="H577" s="1">
        <v>261</v>
      </c>
      <c r="I577" s="1">
        <f t="shared" si="2"/>
        <v>43</v>
      </c>
    </row>
    <row r="578" spans="3:9" x14ac:dyDescent="0.25">
      <c r="C578" s="1">
        <v>19</v>
      </c>
      <c r="D578" s="1">
        <v>2</v>
      </c>
      <c r="E578" s="1">
        <v>10</v>
      </c>
      <c r="F578" s="1">
        <v>8</v>
      </c>
      <c r="G578" s="1">
        <v>261</v>
      </c>
      <c r="H578" s="1">
        <v>304</v>
      </c>
      <c r="I578" s="1">
        <f t="shared" si="2"/>
        <v>43</v>
      </c>
    </row>
    <row r="579" spans="3:9" x14ac:dyDescent="0.25">
      <c r="C579" s="1">
        <v>19</v>
      </c>
      <c r="D579" s="1">
        <v>2</v>
      </c>
      <c r="E579" s="1">
        <v>10</v>
      </c>
      <c r="F579" s="1">
        <v>9</v>
      </c>
      <c r="G579" s="1">
        <v>304</v>
      </c>
      <c r="H579" s="1">
        <v>352</v>
      </c>
      <c r="I579" s="1">
        <f t="shared" si="2"/>
        <v>48</v>
      </c>
    </row>
    <row r="580" spans="3:9" x14ac:dyDescent="0.25">
      <c r="C580" s="1">
        <v>19</v>
      </c>
      <c r="D580" s="1">
        <v>2</v>
      </c>
      <c r="E580" s="1">
        <v>10</v>
      </c>
      <c r="F580" s="1">
        <v>10</v>
      </c>
      <c r="G580" s="1">
        <v>352</v>
      </c>
      <c r="H580" s="1">
        <v>400</v>
      </c>
      <c r="I580" s="1">
        <f t="shared" si="2"/>
        <v>48</v>
      </c>
    </row>
    <row r="581" spans="3:9" x14ac:dyDescent="0.25">
      <c r="C581" s="1">
        <v>19</v>
      </c>
      <c r="D581" s="1">
        <v>2</v>
      </c>
      <c r="E581" s="1">
        <v>10</v>
      </c>
      <c r="F581" s="1">
        <v>11</v>
      </c>
      <c r="G581" s="1">
        <v>400</v>
      </c>
      <c r="H581" s="1">
        <v>435</v>
      </c>
      <c r="I581" s="1">
        <f t="shared" si="2"/>
        <v>35</v>
      </c>
    </row>
    <row r="582" spans="3:9" x14ac:dyDescent="0.25">
      <c r="C582" s="1">
        <v>19</v>
      </c>
      <c r="D582" s="1">
        <v>2</v>
      </c>
      <c r="E582" s="1">
        <v>10</v>
      </c>
      <c r="F582" s="1">
        <v>12</v>
      </c>
      <c r="G582" s="1">
        <v>435</v>
      </c>
      <c r="H582" s="1">
        <v>481</v>
      </c>
      <c r="I582" s="1">
        <f t="shared" si="2"/>
        <v>46</v>
      </c>
    </row>
    <row r="583" spans="3:9" x14ac:dyDescent="0.25">
      <c r="C583" s="1">
        <v>19</v>
      </c>
      <c r="D583" s="1">
        <v>2</v>
      </c>
      <c r="E583" s="1">
        <v>10</v>
      </c>
      <c r="F583" s="1">
        <v>13</v>
      </c>
      <c r="G583" s="1">
        <v>481</v>
      </c>
      <c r="H583" s="1">
        <v>515</v>
      </c>
      <c r="I583" s="1">
        <f t="shared" si="2"/>
        <v>34</v>
      </c>
    </row>
    <row r="584" spans="3:9" x14ac:dyDescent="0.25">
      <c r="C584" s="1">
        <v>19</v>
      </c>
      <c r="D584" s="1">
        <v>2</v>
      </c>
      <c r="E584" s="1">
        <v>10</v>
      </c>
      <c r="F584" s="1">
        <v>14</v>
      </c>
      <c r="G584" s="1">
        <v>515</v>
      </c>
      <c r="H584" s="1">
        <v>560</v>
      </c>
      <c r="I584" s="1">
        <f t="shared" si="2"/>
        <v>45</v>
      </c>
    </row>
    <row r="585" spans="3:9" x14ac:dyDescent="0.25">
      <c r="C585" s="1">
        <v>19</v>
      </c>
      <c r="D585" s="1">
        <v>2</v>
      </c>
      <c r="E585" s="1">
        <v>10</v>
      </c>
      <c r="F585" s="1">
        <v>15</v>
      </c>
      <c r="G585" s="1">
        <v>560</v>
      </c>
      <c r="H585" s="1">
        <v>604</v>
      </c>
      <c r="I585" s="1">
        <f t="shared" si="2"/>
        <v>44</v>
      </c>
    </row>
    <row r="586" spans="3:9" x14ac:dyDescent="0.25">
      <c r="C586" s="1">
        <v>19</v>
      </c>
      <c r="D586" s="1">
        <v>2</v>
      </c>
      <c r="E586" s="1">
        <v>10</v>
      </c>
      <c r="F586" s="1">
        <v>16</v>
      </c>
      <c r="G586" s="1">
        <v>604</v>
      </c>
      <c r="H586" s="1">
        <v>619</v>
      </c>
      <c r="I586" s="1">
        <f t="shared" si="2"/>
        <v>15</v>
      </c>
    </row>
    <row r="587" spans="3:9" x14ac:dyDescent="0.25">
      <c r="C587" s="1">
        <v>19</v>
      </c>
      <c r="D587" s="1">
        <v>2</v>
      </c>
      <c r="E587" s="1">
        <v>10</v>
      </c>
      <c r="F587" s="1">
        <v>17</v>
      </c>
      <c r="G587" s="1">
        <v>619</v>
      </c>
      <c r="H587" s="1">
        <v>664</v>
      </c>
      <c r="I587" s="1">
        <f t="shared" si="2"/>
        <v>45</v>
      </c>
    </row>
    <row r="588" spans="3:9" x14ac:dyDescent="0.25">
      <c r="C588" s="1">
        <v>19</v>
      </c>
      <c r="D588" s="1">
        <v>2</v>
      </c>
      <c r="E588" s="1">
        <v>10</v>
      </c>
      <c r="F588" s="1">
        <v>18</v>
      </c>
      <c r="G588" s="1">
        <v>664</v>
      </c>
      <c r="H588" s="1">
        <v>704</v>
      </c>
      <c r="I588" s="1">
        <f t="shared" si="2"/>
        <v>40</v>
      </c>
    </row>
    <row r="589" spans="3:9" x14ac:dyDescent="0.25">
      <c r="C589" s="1">
        <v>19</v>
      </c>
      <c r="D589" s="1">
        <v>2</v>
      </c>
      <c r="E589" s="1">
        <v>10</v>
      </c>
      <c r="F589" s="1">
        <v>19</v>
      </c>
      <c r="G589" s="1">
        <v>704</v>
      </c>
      <c r="H589" s="1">
        <v>720</v>
      </c>
      <c r="I589" s="1">
        <f t="shared" si="2"/>
        <v>16</v>
      </c>
    </row>
    <row r="590" spans="3:9" x14ac:dyDescent="0.25">
      <c r="C590" s="1">
        <v>19</v>
      </c>
      <c r="D590" s="1">
        <v>2</v>
      </c>
      <c r="E590" s="1">
        <v>10</v>
      </c>
      <c r="F590" s="1">
        <v>20</v>
      </c>
      <c r="G590" s="1">
        <v>720</v>
      </c>
      <c r="H590" s="1">
        <v>762</v>
      </c>
      <c r="I590" s="1">
        <f t="shared" si="2"/>
        <v>42</v>
      </c>
    </row>
    <row r="591" spans="3:9" x14ac:dyDescent="0.25">
      <c r="C591" s="1">
        <v>19</v>
      </c>
      <c r="D591" s="1">
        <v>2</v>
      </c>
      <c r="E591" s="1">
        <v>10</v>
      </c>
      <c r="F591" s="1">
        <v>21</v>
      </c>
      <c r="G591" s="1">
        <v>762</v>
      </c>
      <c r="H591" s="1">
        <v>806</v>
      </c>
      <c r="I591" s="1">
        <f t="shared" si="2"/>
        <v>44</v>
      </c>
    </row>
    <row r="592" spans="3:9" x14ac:dyDescent="0.25">
      <c r="C592" s="1">
        <v>19</v>
      </c>
      <c r="D592" s="1">
        <v>2</v>
      </c>
      <c r="E592" s="1">
        <v>10</v>
      </c>
      <c r="F592" s="1">
        <v>22</v>
      </c>
      <c r="G592" s="1">
        <v>806</v>
      </c>
      <c r="H592" s="1">
        <v>840</v>
      </c>
      <c r="I592" s="1">
        <f t="shared" si="2"/>
        <v>34</v>
      </c>
    </row>
    <row r="593" spans="1:11" x14ac:dyDescent="0.25">
      <c r="C593" s="1">
        <v>19</v>
      </c>
      <c r="D593" s="1">
        <v>2</v>
      </c>
      <c r="E593" s="1">
        <v>10</v>
      </c>
      <c r="F593" s="1">
        <v>23</v>
      </c>
      <c r="G593" s="1">
        <v>840</v>
      </c>
      <c r="H593" s="1">
        <v>878</v>
      </c>
      <c r="I593" s="1">
        <f t="shared" si="2"/>
        <v>38</v>
      </c>
    </row>
    <row r="594" spans="1:11" x14ac:dyDescent="0.25">
      <c r="C594" s="1">
        <v>19</v>
      </c>
      <c r="D594" s="1">
        <v>2</v>
      </c>
      <c r="E594" s="1">
        <v>10</v>
      </c>
      <c r="F594" s="1">
        <v>24</v>
      </c>
      <c r="G594" s="1">
        <v>878</v>
      </c>
      <c r="H594" s="1">
        <v>915</v>
      </c>
      <c r="I594" s="1">
        <f t="shared" si="2"/>
        <v>37</v>
      </c>
    </row>
    <row r="595" spans="1:11" x14ac:dyDescent="0.25">
      <c r="C595" s="1">
        <v>19</v>
      </c>
      <c r="D595" s="1">
        <v>2</v>
      </c>
      <c r="E595" s="1">
        <v>10</v>
      </c>
      <c r="F595" s="1">
        <v>25</v>
      </c>
      <c r="G595" s="1">
        <v>915</v>
      </c>
      <c r="H595" s="1">
        <v>947</v>
      </c>
      <c r="I595" s="1">
        <f t="shared" si="2"/>
        <v>32</v>
      </c>
    </row>
    <row r="596" spans="1:11" x14ac:dyDescent="0.25">
      <c r="A596" s="5">
        <v>2</v>
      </c>
      <c r="B596" s="2">
        <v>43892</v>
      </c>
      <c r="C596" s="1">
        <v>20</v>
      </c>
      <c r="D596" s="1">
        <v>2</v>
      </c>
      <c r="E596" s="1">
        <v>10</v>
      </c>
      <c r="F596" s="1">
        <v>1</v>
      </c>
      <c r="G596" s="1">
        <v>3</v>
      </c>
      <c r="H596" s="1">
        <v>46</v>
      </c>
      <c r="I596" s="1">
        <f t="shared" si="2"/>
        <v>43</v>
      </c>
      <c r="J596" s="8">
        <f>(I596+I597+I598+I620+I619+I618+I607+I608+I609)/9</f>
        <v>49.555555555555557</v>
      </c>
      <c r="K596" s="8">
        <f>AVERAGE(I596:I620)</f>
        <v>48.88</v>
      </c>
    </row>
    <row r="597" spans="1:11" x14ac:dyDescent="0.25">
      <c r="C597" s="1">
        <v>20</v>
      </c>
      <c r="D597" s="1">
        <v>2</v>
      </c>
      <c r="E597" s="1">
        <v>10</v>
      </c>
      <c r="F597" s="1">
        <v>2</v>
      </c>
      <c r="G597" s="1">
        <v>50</v>
      </c>
      <c r="H597" s="1">
        <v>95</v>
      </c>
      <c r="I597" s="1">
        <f t="shared" si="2"/>
        <v>45</v>
      </c>
    </row>
    <row r="598" spans="1:11" x14ac:dyDescent="0.25">
      <c r="C598" s="1">
        <v>20</v>
      </c>
      <c r="D598" s="1">
        <v>2</v>
      </c>
      <c r="E598" s="1">
        <v>10</v>
      </c>
      <c r="F598" s="1">
        <v>3</v>
      </c>
      <c r="G598" s="1">
        <v>95</v>
      </c>
      <c r="H598" s="1">
        <v>151</v>
      </c>
      <c r="I598" s="1">
        <f t="shared" si="2"/>
        <v>56</v>
      </c>
    </row>
    <row r="599" spans="1:11" x14ac:dyDescent="0.25">
      <c r="C599" s="1">
        <v>20</v>
      </c>
      <c r="D599" s="1">
        <v>2</v>
      </c>
      <c r="E599" s="1">
        <v>10</v>
      </c>
      <c r="F599" s="1">
        <v>4</v>
      </c>
      <c r="G599" s="1">
        <v>151</v>
      </c>
      <c r="H599" s="1">
        <v>200</v>
      </c>
      <c r="I599" s="1">
        <f t="shared" si="2"/>
        <v>49</v>
      </c>
    </row>
    <row r="600" spans="1:11" x14ac:dyDescent="0.25">
      <c r="C600" s="1">
        <v>20</v>
      </c>
      <c r="D600" s="1">
        <v>2</v>
      </c>
      <c r="E600" s="1">
        <v>10</v>
      </c>
      <c r="F600" s="1">
        <v>5</v>
      </c>
      <c r="G600" s="1">
        <v>200</v>
      </c>
      <c r="H600" s="1">
        <v>250</v>
      </c>
      <c r="I600" s="1">
        <f t="shared" si="2"/>
        <v>50</v>
      </c>
    </row>
    <row r="601" spans="1:11" x14ac:dyDescent="0.25">
      <c r="C601" s="1">
        <v>20</v>
      </c>
      <c r="D601" s="1">
        <v>2</v>
      </c>
      <c r="E601" s="1">
        <v>10</v>
      </c>
      <c r="F601" s="1">
        <v>6</v>
      </c>
      <c r="G601" s="1">
        <v>250</v>
      </c>
      <c r="H601" s="1">
        <v>302</v>
      </c>
      <c r="I601" s="1">
        <f t="shared" si="2"/>
        <v>52</v>
      </c>
    </row>
    <row r="602" spans="1:11" x14ac:dyDescent="0.25">
      <c r="C602" s="1">
        <v>20</v>
      </c>
      <c r="D602" s="1">
        <v>2</v>
      </c>
      <c r="E602" s="1">
        <v>10</v>
      </c>
      <c r="F602" s="1">
        <v>7</v>
      </c>
      <c r="G602" s="1">
        <v>302</v>
      </c>
      <c r="H602" s="1">
        <v>356</v>
      </c>
      <c r="I602" s="1">
        <f t="shared" si="2"/>
        <v>54</v>
      </c>
    </row>
    <row r="603" spans="1:11" x14ac:dyDescent="0.25">
      <c r="C603" s="1">
        <v>20</v>
      </c>
      <c r="D603" s="1">
        <v>2</v>
      </c>
      <c r="E603" s="1">
        <v>10</v>
      </c>
      <c r="F603" s="1">
        <v>8</v>
      </c>
      <c r="G603" s="1">
        <v>356</v>
      </c>
      <c r="H603" s="1">
        <v>407</v>
      </c>
      <c r="I603" s="1">
        <f t="shared" si="2"/>
        <v>51</v>
      </c>
    </row>
    <row r="604" spans="1:11" x14ac:dyDescent="0.25">
      <c r="C604" s="1">
        <v>20</v>
      </c>
      <c r="D604" s="1">
        <v>2</v>
      </c>
      <c r="E604" s="1">
        <v>10</v>
      </c>
      <c r="F604" s="1">
        <v>9</v>
      </c>
      <c r="G604" s="1">
        <v>407</v>
      </c>
      <c r="H604" s="1">
        <v>450</v>
      </c>
      <c r="I604" s="1">
        <f t="shared" si="2"/>
        <v>43</v>
      </c>
    </row>
    <row r="605" spans="1:11" x14ac:dyDescent="0.25">
      <c r="C605" s="1">
        <v>20</v>
      </c>
      <c r="D605" s="1">
        <v>2</v>
      </c>
      <c r="E605" s="1">
        <v>10</v>
      </c>
      <c r="F605" s="1">
        <v>10</v>
      </c>
      <c r="G605" s="1">
        <v>450</v>
      </c>
      <c r="H605" s="1">
        <v>501</v>
      </c>
      <c r="I605" s="1">
        <f t="shared" si="2"/>
        <v>51</v>
      </c>
    </row>
    <row r="606" spans="1:11" x14ac:dyDescent="0.25">
      <c r="C606" s="1">
        <v>20</v>
      </c>
      <c r="D606" s="1">
        <v>2</v>
      </c>
      <c r="E606" s="1">
        <v>10</v>
      </c>
      <c r="F606" s="1">
        <v>11</v>
      </c>
      <c r="G606" s="1">
        <v>501</v>
      </c>
      <c r="H606" s="1">
        <v>548</v>
      </c>
      <c r="I606" s="1">
        <f t="shared" si="2"/>
        <v>47</v>
      </c>
    </row>
    <row r="607" spans="1:11" x14ac:dyDescent="0.25">
      <c r="C607" s="1">
        <v>20</v>
      </c>
      <c r="D607" s="1">
        <v>2</v>
      </c>
      <c r="E607" s="1">
        <v>10</v>
      </c>
      <c r="F607" s="1">
        <v>12</v>
      </c>
      <c r="G607" s="1">
        <v>548</v>
      </c>
      <c r="H607" s="1">
        <v>594</v>
      </c>
      <c r="I607" s="1">
        <f t="shared" si="2"/>
        <v>46</v>
      </c>
    </row>
    <row r="608" spans="1:11" x14ac:dyDescent="0.25">
      <c r="C608" s="1">
        <v>20</v>
      </c>
      <c r="D608" s="1">
        <v>2</v>
      </c>
      <c r="E608" s="1">
        <v>10</v>
      </c>
      <c r="F608" s="1">
        <v>13</v>
      </c>
      <c r="G608" s="1">
        <v>594</v>
      </c>
      <c r="H608" s="1">
        <v>647</v>
      </c>
      <c r="I608" s="1">
        <f t="shared" si="2"/>
        <v>53</v>
      </c>
    </row>
    <row r="609" spans="1:11" x14ac:dyDescent="0.25">
      <c r="C609" s="1">
        <v>20</v>
      </c>
      <c r="D609" s="1">
        <v>2</v>
      </c>
      <c r="E609" s="1">
        <v>10</v>
      </c>
      <c r="F609" s="1">
        <v>14</v>
      </c>
      <c r="G609" s="1">
        <v>647</v>
      </c>
      <c r="H609" s="1">
        <v>697</v>
      </c>
      <c r="I609" s="1">
        <f t="shared" si="2"/>
        <v>50</v>
      </c>
    </row>
    <row r="610" spans="1:11" x14ac:dyDescent="0.25">
      <c r="C610" s="1">
        <v>20</v>
      </c>
      <c r="D610" s="1">
        <v>2</v>
      </c>
      <c r="E610" s="1">
        <v>10</v>
      </c>
      <c r="F610" s="1">
        <v>15</v>
      </c>
      <c r="G610" s="1">
        <v>697</v>
      </c>
      <c r="H610" s="1">
        <v>755</v>
      </c>
      <c r="I610" s="1">
        <f t="shared" si="2"/>
        <v>58</v>
      </c>
    </row>
    <row r="611" spans="1:11" x14ac:dyDescent="0.25">
      <c r="C611" s="1">
        <v>20</v>
      </c>
      <c r="D611" s="1">
        <v>2</v>
      </c>
      <c r="E611" s="1">
        <v>10</v>
      </c>
      <c r="F611" s="1">
        <v>16</v>
      </c>
      <c r="G611" s="1">
        <v>755</v>
      </c>
      <c r="H611" s="1">
        <v>804</v>
      </c>
      <c r="I611" s="1">
        <f t="shared" si="2"/>
        <v>49</v>
      </c>
    </row>
    <row r="612" spans="1:11" x14ac:dyDescent="0.25">
      <c r="C612" s="1">
        <v>20</v>
      </c>
      <c r="D612" s="1">
        <v>2</v>
      </c>
      <c r="E612" s="1">
        <v>10</v>
      </c>
      <c r="F612" s="1">
        <v>17</v>
      </c>
      <c r="G612" s="1">
        <v>804</v>
      </c>
      <c r="H612" s="1">
        <v>857</v>
      </c>
      <c r="I612" s="1">
        <f t="shared" si="2"/>
        <v>53</v>
      </c>
    </row>
    <row r="613" spans="1:11" x14ac:dyDescent="0.25">
      <c r="C613" s="1">
        <v>20</v>
      </c>
      <c r="D613" s="1">
        <v>2</v>
      </c>
      <c r="E613" s="1">
        <v>10</v>
      </c>
      <c r="F613" s="1">
        <v>18</v>
      </c>
      <c r="G613" s="1">
        <v>857</v>
      </c>
      <c r="H613" s="1">
        <v>891</v>
      </c>
      <c r="I613" s="1">
        <f t="shared" si="2"/>
        <v>34</v>
      </c>
    </row>
    <row r="614" spans="1:11" x14ac:dyDescent="0.25">
      <c r="C614" s="1">
        <v>20</v>
      </c>
      <c r="D614" s="1">
        <v>2</v>
      </c>
      <c r="E614" s="1">
        <v>10</v>
      </c>
      <c r="F614" s="1">
        <v>19</v>
      </c>
      <c r="G614" s="1">
        <v>891</v>
      </c>
      <c r="H614" s="1">
        <v>937</v>
      </c>
      <c r="I614" s="1">
        <f t="shared" si="2"/>
        <v>46</v>
      </c>
    </row>
    <row r="615" spans="1:11" x14ac:dyDescent="0.25">
      <c r="C615" s="1">
        <v>20</v>
      </c>
      <c r="D615" s="1">
        <v>2</v>
      </c>
      <c r="E615" s="1">
        <v>10</v>
      </c>
      <c r="F615" s="1">
        <v>20</v>
      </c>
      <c r="G615" s="1">
        <v>940</v>
      </c>
      <c r="H615" s="1">
        <v>987</v>
      </c>
      <c r="I615" s="1">
        <f t="shared" si="2"/>
        <v>47</v>
      </c>
    </row>
    <row r="616" spans="1:11" x14ac:dyDescent="0.25">
      <c r="C616" s="1">
        <v>20</v>
      </c>
      <c r="D616" s="1">
        <v>2</v>
      </c>
      <c r="E616" s="1">
        <v>10</v>
      </c>
      <c r="F616" s="1">
        <v>21</v>
      </c>
      <c r="G616" s="1">
        <v>990</v>
      </c>
      <c r="H616" s="1">
        <v>1043</v>
      </c>
      <c r="I616" s="1">
        <f t="shared" si="2"/>
        <v>53</v>
      </c>
    </row>
    <row r="617" spans="1:11" x14ac:dyDescent="0.25">
      <c r="C617" s="1">
        <v>20</v>
      </c>
      <c r="D617" s="1">
        <v>2</v>
      </c>
      <c r="E617" s="1">
        <v>10</v>
      </c>
      <c r="F617" s="1">
        <v>22</v>
      </c>
      <c r="G617" s="1">
        <v>1043</v>
      </c>
      <c r="H617" s="1">
        <v>1082</v>
      </c>
      <c r="I617" s="1">
        <f t="shared" si="2"/>
        <v>39</v>
      </c>
    </row>
    <row r="618" spans="1:11" x14ac:dyDescent="0.25">
      <c r="C618" s="1">
        <v>20</v>
      </c>
      <c r="D618" s="1">
        <v>2</v>
      </c>
      <c r="E618" s="1">
        <v>10</v>
      </c>
      <c r="F618" s="1">
        <v>23</v>
      </c>
      <c r="G618" s="1">
        <v>1082</v>
      </c>
      <c r="H618" s="1">
        <v>1131</v>
      </c>
      <c r="I618" s="1">
        <f t="shared" si="2"/>
        <v>49</v>
      </c>
    </row>
    <row r="619" spans="1:11" x14ac:dyDescent="0.25">
      <c r="C619" s="1">
        <v>20</v>
      </c>
      <c r="D619" s="1">
        <v>2</v>
      </c>
      <c r="E619" s="1">
        <v>10</v>
      </c>
      <c r="F619" s="1">
        <v>24</v>
      </c>
      <c r="G619" s="1">
        <v>1131</v>
      </c>
      <c r="H619" s="1">
        <v>1183</v>
      </c>
      <c r="I619" s="1">
        <f t="shared" si="2"/>
        <v>52</v>
      </c>
    </row>
    <row r="620" spans="1:11" x14ac:dyDescent="0.25">
      <c r="C620" s="1">
        <v>20</v>
      </c>
      <c r="D620" s="1">
        <v>2</v>
      </c>
      <c r="E620" s="1">
        <v>10</v>
      </c>
      <c r="F620" s="1">
        <v>25</v>
      </c>
      <c r="G620" s="1">
        <v>1183</v>
      </c>
      <c r="H620" s="1">
        <v>1235</v>
      </c>
      <c r="I620" s="1">
        <f t="shared" si="2"/>
        <v>52</v>
      </c>
    </row>
    <row r="621" spans="1:11" x14ac:dyDescent="0.25">
      <c r="A621" s="5">
        <v>1</v>
      </c>
      <c r="B621" s="2">
        <v>43957</v>
      </c>
      <c r="C621" s="1">
        <v>21</v>
      </c>
      <c r="D621" s="1">
        <v>2</v>
      </c>
      <c r="E621" s="1">
        <v>10</v>
      </c>
      <c r="F621" s="1">
        <v>1</v>
      </c>
      <c r="G621" s="1">
        <v>0</v>
      </c>
      <c r="H621" s="1">
        <v>42</v>
      </c>
      <c r="I621" s="1">
        <f t="shared" si="2"/>
        <v>42</v>
      </c>
      <c r="J621" s="8">
        <f>(I621+I622+I623+I645+I644+I643+I632+I633+I634)/9</f>
        <v>34.777777777777779</v>
      </c>
      <c r="K621" s="8">
        <f>AVERAGE(I621:I645)</f>
        <v>35.08</v>
      </c>
    </row>
    <row r="622" spans="1:11" x14ac:dyDescent="0.25">
      <c r="C622" s="1">
        <v>21</v>
      </c>
      <c r="D622" s="1">
        <v>2</v>
      </c>
      <c r="E622" s="1">
        <v>10</v>
      </c>
      <c r="F622" s="1">
        <v>2</v>
      </c>
      <c r="G622" s="1">
        <v>43</v>
      </c>
      <c r="H622" s="1">
        <v>43</v>
      </c>
      <c r="I622" s="1">
        <f t="shared" si="2"/>
        <v>0</v>
      </c>
    </row>
    <row r="623" spans="1:11" x14ac:dyDescent="0.25">
      <c r="C623" s="1">
        <v>21</v>
      </c>
      <c r="D623" s="1">
        <v>2</v>
      </c>
      <c r="E623" s="1">
        <v>10</v>
      </c>
      <c r="F623" s="1">
        <v>3</v>
      </c>
      <c r="G623" s="1">
        <v>43</v>
      </c>
      <c r="H623" s="1">
        <v>78</v>
      </c>
      <c r="I623" s="1">
        <f t="shared" si="2"/>
        <v>35</v>
      </c>
    </row>
    <row r="624" spans="1:11" x14ac:dyDescent="0.25">
      <c r="C624" s="1">
        <v>21</v>
      </c>
      <c r="D624" s="1">
        <v>2</v>
      </c>
      <c r="E624" s="1">
        <v>10</v>
      </c>
      <c r="F624" s="1">
        <v>4</v>
      </c>
      <c r="G624" s="1">
        <v>78</v>
      </c>
      <c r="H624" s="1">
        <v>104</v>
      </c>
      <c r="I624" s="1">
        <f t="shared" si="2"/>
        <v>26</v>
      </c>
    </row>
    <row r="625" spans="3:9" x14ac:dyDescent="0.25">
      <c r="C625" s="1">
        <v>21</v>
      </c>
      <c r="D625" s="1">
        <v>2</v>
      </c>
      <c r="E625" s="1">
        <v>10</v>
      </c>
      <c r="F625" s="1">
        <v>5</v>
      </c>
      <c r="G625" s="1">
        <v>106</v>
      </c>
      <c r="H625" s="1">
        <v>130</v>
      </c>
      <c r="I625" s="1">
        <f t="shared" si="2"/>
        <v>24</v>
      </c>
    </row>
    <row r="626" spans="3:9" x14ac:dyDescent="0.25">
      <c r="C626" s="1">
        <v>21</v>
      </c>
      <c r="D626" s="1">
        <v>2</v>
      </c>
      <c r="E626" s="1">
        <v>10</v>
      </c>
      <c r="F626" s="1">
        <v>6</v>
      </c>
      <c r="G626" s="1">
        <v>141</v>
      </c>
      <c r="H626" s="1">
        <v>163</v>
      </c>
      <c r="I626" s="1">
        <f t="shared" si="2"/>
        <v>22</v>
      </c>
    </row>
    <row r="627" spans="3:9" x14ac:dyDescent="0.25">
      <c r="C627" s="1">
        <v>21</v>
      </c>
      <c r="D627" s="1">
        <v>2</v>
      </c>
      <c r="E627" s="1">
        <v>10</v>
      </c>
      <c r="F627" s="1">
        <v>7</v>
      </c>
      <c r="G627" s="1">
        <v>163</v>
      </c>
      <c r="H627" s="1">
        <v>188</v>
      </c>
      <c r="I627" s="1">
        <f t="shared" si="2"/>
        <v>25</v>
      </c>
    </row>
    <row r="628" spans="3:9" x14ac:dyDescent="0.25">
      <c r="C628" s="1">
        <v>21</v>
      </c>
      <c r="D628" s="1">
        <v>2</v>
      </c>
      <c r="E628" s="1">
        <v>10</v>
      </c>
      <c r="F628" s="1">
        <v>8</v>
      </c>
      <c r="G628" s="1">
        <v>188</v>
      </c>
      <c r="H628" s="1">
        <v>230</v>
      </c>
      <c r="I628" s="1">
        <f t="shared" si="2"/>
        <v>42</v>
      </c>
    </row>
    <row r="629" spans="3:9" x14ac:dyDescent="0.25">
      <c r="C629" s="1">
        <v>21</v>
      </c>
      <c r="D629" s="1">
        <v>2</v>
      </c>
      <c r="E629" s="1">
        <v>10</v>
      </c>
      <c r="F629" s="1">
        <v>9</v>
      </c>
      <c r="G629" s="1">
        <v>230</v>
      </c>
      <c r="H629" s="1">
        <v>276</v>
      </c>
      <c r="I629" s="1">
        <f t="shared" si="2"/>
        <v>46</v>
      </c>
    </row>
    <row r="630" spans="3:9" x14ac:dyDescent="0.25">
      <c r="C630" s="1">
        <v>21</v>
      </c>
      <c r="D630" s="1">
        <v>2</v>
      </c>
      <c r="E630" s="1">
        <v>10</v>
      </c>
      <c r="F630" s="1">
        <v>10</v>
      </c>
      <c r="G630" s="1">
        <v>277</v>
      </c>
      <c r="H630" s="1">
        <v>312</v>
      </c>
      <c r="I630" s="1">
        <f t="shared" si="2"/>
        <v>35</v>
      </c>
    </row>
    <row r="631" spans="3:9" x14ac:dyDescent="0.25">
      <c r="C631" s="1">
        <v>21</v>
      </c>
      <c r="D631" s="1">
        <v>2</v>
      </c>
      <c r="E631" s="1">
        <v>10</v>
      </c>
      <c r="F631" s="1">
        <v>11</v>
      </c>
      <c r="G631" s="1">
        <v>313</v>
      </c>
      <c r="H631" s="1">
        <v>351</v>
      </c>
      <c r="I631" s="1">
        <f t="shared" si="2"/>
        <v>38</v>
      </c>
    </row>
    <row r="632" spans="3:9" x14ac:dyDescent="0.25">
      <c r="C632" s="1">
        <v>21</v>
      </c>
      <c r="D632" s="1">
        <v>2</v>
      </c>
      <c r="E632" s="1">
        <v>10</v>
      </c>
      <c r="F632" s="1">
        <v>12</v>
      </c>
      <c r="G632" s="1">
        <v>354</v>
      </c>
      <c r="H632" s="1">
        <v>397</v>
      </c>
      <c r="I632" s="1">
        <f t="shared" si="2"/>
        <v>43</v>
      </c>
    </row>
    <row r="633" spans="3:9" x14ac:dyDescent="0.25">
      <c r="C633" s="1">
        <v>21</v>
      </c>
      <c r="D633" s="1">
        <v>2</v>
      </c>
      <c r="E633" s="1">
        <v>10</v>
      </c>
      <c r="F633" s="1">
        <v>13</v>
      </c>
      <c r="G633" s="1">
        <v>398</v>
      </c>
      <c r="H633" s="1">
        <v>444</v>
      </c>
      <c r="I633" s="1">
        <f t="shared" si="2"/>
        <v>46</v>
      </c>
    </row>
    <row r="634" spans="3:9" x14ac:dyDescent="0.25">
      <c r="C634" s="1">
        <v>21</v>
      </c>
      <c r="D634" s="1">
        <v>2</v>
      </c>
      <c r="E634" s="1">
        <v>10</v>
      </c>
      <c r="F634" s="1">
        <v>14</v>
      </c>
      <c r="G634" s="1">
        <v>444</v>
      </c>
      <c r="H634" s="1">
        <v>484</v>
      </c>
      <c r="I634" s="1">
        <f t="shared" si="2"/>
        <v>40</v>
      </c>
    </row>
    <row r="635" spans="3:9" x14ac:dyDescent="0.25">
      <c r="C635" s="1">
        <v>21</v>
      </c>
      <c r="D635" s="1">
        <v>2</v>
      </c>
      <c r="E635" s="1">
        <v>10</v>
      </c>
      <c r="F635" s="1">
        <v>15</v>
      </c>
      <c r="G635" s="1">
        <v>487</v>
      </c>
      <c r="H635" s="1">
        <v>529</v>
      </c>
      <c r="I635" s="1">
        <f t="shared" si="2"/>
        <v>42</v>
      </c>
    </row>
    <row r="636" spans="3:9" x14ac:dyDescent="0.25">
      <c r="C636" s="1">
        <v>21</v>
      </c>
      <c r="D636" s="1">
        <v>2</v>
      </c>
      <c r="E636" s="1">
        <v>10</v>
      </c>
      <c r="F636" s="1">
        <v>16</v>
      </c>
      <c r="G636" s="1">
        <v>540</v>
      </c>
      <c r="H636" s="1">
        <v>585</v>
      </c>
      <c r="I636" s="1">
        <f t="shared" si="2"/>
        <v>45</v>
      </c>
    </row>
    <row r="637" spans="3:9" x14ac:dyDescent="0.25">
      <c r="C637" s="1">
        <v>21</v>
      </c>
      <c r="D637" s="1">
        <v>2</v>
      </c>
      <c r="E637" s="1">
        <v>10</v>
      </c>
      <c r="F637" s="1">
        <v>17</v>
      </c>
      <c r="G637" s="1">
        <v>590</v>
      </c>
      <c r="H637" s="1">
        <v>637</v>
      </c>
      <c r="I637" s="1">
        <f t="shared" si="2"/>
        <v>47</v>
      </c>
    </row>
    <row r="638" spans="3:9" x14ac:dyDescent="0.25">
      <c r="C638" s="1">
        <v>21</v>
      </c>
      <c r="D638" s="1">
        <v>2</v>
      </c>
      <c r="E638" s="1">
        <v>10</v>
      </c>
      <c r="F638" s="1">
        <v>18</v>
      </c>
      <c r="G638" s="1">
        <v>637</v>
      </c>
      <c r="H638" s="1">
        <v>664</v>
      </c>
      <c r="I638" s="1">
        <f t="shared" si="2"/>
        <v>27</v>
      </c>
    </row>
    <row r="639" spans="3:9" x14ac:dyDescent="0.25">
      <c r="C639" s="1">
        <v>21</v>
      </c>
      <c r="D639" s="1">
        <v>2</v>
      </c>
      <c r="E639" s="1">
        <v>10</v>
      </c>
      <c r="F639" s="1">
        <v>19</v>
      </c>
      <c r="G639" s="1">
        <v>664</v>
      </c>
      <c r="H639" s="1">
        <v>711</v>
      </c>
      <c r="I639" s="1">
        <f t="shared" si="2"/>
        <v>47</v>
      </c>
    </row>
    <row r="640" spans="3:9" x14ac:dyDescent="0.25">
      <c r="C640" s="1">
        <v>21</v>
      </c>
      <c r="D640" s="1">
        <v>2</v>
      </c>
      <c r="E640" s="1">
        <v>10</v>
      </c>
      <c r="F640" s="1">
        <v>20</v>
      </c>
      <c r="G640" s="1">
        <v>711</v>
      </c>
      <c r="H640" s="1">
        <v>750</v>
      </c>
      <c r="I640" s="1">
        <f t="shared" si="2"/>
        <v>39</v>
      </c>
    </row>
    <row r="641" spans="1:11" x14ac:dyDescent="0.25">
      <c r="C641" s="1">
        <v>21</v>
      </c>
      <c r="D641" s="1">
        <v>2</v>
      </c>
      <c r="E641" s="1">
        <v>10</v>
      </c>
      <c r="F641" s="1">
        <v>21</v>
      </c>
      <c r="G641" s="1">
        <v>753</v>
      </c>
      <c r="H641" s="1">
        <v>772</v>
      </c>
      <c r="I641" s="1">
        <f t="shared" si="2"/>
        <v>19</v>
      </c>
    </row>
    <row r="642" spans="1:11" x14ac:dyDescent="0.25">
      <c r="C642" s="1">
        <v>21</v>
      </c>
      <c r="D642" s="1">
        <v>2</v>
      </c>
      <c r="E642" s="1">
        <v>10</v>
      </c>
      <c r="F642" s="1">
        <v>22</v>
      </c>
      <c r="G642" s="1">
        <v>772</v>
      </c>
      <c r="H642" s="1">
        <v>812</v>
      </c>
      <c r="I642" s="1">
        <f t="shared" si="2"/>
        <v>40</v>
      </c>
    </row>
    <row r="643" spans="1:11" x14ac:dyDescent="0.25">
      <c r="C643" s="1">
        <v>21</v>
      </c>
      <c r="D643" s="1">
        <v>2</v>
      </c>
      <c r="E643" s="1">
        <v>10</v>
      </c>
      <c r="F643" s="1">
        <v>23</v>
      </c>
      <c r="G643" s="1">
        <v>812</v>
      </c>
      <c r="H643" s="1">
        <v>842</v>
      </c>
      <c r="I643" s="1">
        <f t="shared" si="2"/>
        <v>30</v>
      </c>
    </row>
    <row r="644" spans="1:11" x14ac:dyDescent="0.25">
      <c r="C644" s="1">
        <v>21</v>
      </c>
      <c r="D644" s="1">
        <v>2</v>
      </c>
      <c r="E644" s="1">
        <v>10</v>
      </c>
      <c r="F644" s="1">
        <v>24</v>
      </c>
      <c r="G644" s="1">
        <v>842</v>
      </c>
      <c r="H644" s="1">
        <v>881</v>
      </c>
      <c r="I644" s="1">
        <f t="shared" si="2"/>
        <v>39</v>
      </c>
    </row>
    <row r="645" spans="1:11" x14ac:dyDescent="0.25">
      <c r="C645" s="1">
        <v>21</v>
      </c>
      <c r="D645" s="1">
        <v>2</v>
      </c>
      <c r="E645" s="1">
        <v>10</v>
      </c>
      <c r="F645" s="1">
        <v>25</v>
      </c>
      <c r="G645" s="1">
        <v>881</v>
      </c>
      <c r="H645" s="1">
        <v>919</v>
      </c>
      <c r="I645" s="1">
        <f t="shared" si="2"/>
        <v>38</v>
      </c>
    </row>
    <row r="646" spans="1:11" x14ac:dyDescent="0.25">
      <c r="A646" s="5">
        <v>1</v>
      </c>
      <c r="B646" s="2">
        <v>43955</v>
      </c>
      <c r="C646" s="1">
        <v>22</v>
      </c>
      <c r="D646" s="1">
        <v>1</v>
      </c>
      <c r="E646" s="1">
        <v>10</v>
      </c>
      <c r="F646" s="1">
        <v>1</v>
      </c>
      <c r="G646" s="1">
        <v>6</v>
      </c>
      <c r="H646" s="1">
        <v>48</v>
      </c>
      <c r="I646" s="1">
        <f t="shared" si="2"/>
        <v>42</v>
      </c>
      <c r="J646" s="8">
        <f>(I646+I647+I648+I670+I669+I668+I657+I658+I659)/9</f>
        <v>38.555555555555557</v>
      </c>
      <c r="K646" s="8">
        <f>AVERAGE(I646:I670)</f>
        <v>37.6</v>
      </c>
    </row>
    <row r="647" spans="1:11" x14ac:dyDescent="0.25">
      <c r="C647" s="1">
        <v>22</v>
      </c>
      <c r="D647" s="1">
        <v>1</v>
      </c>
      <c r="E647" s="1">
        <v>10</v>
      </c>
      <c r="F647" s="1">
        <v>2</v>
      </c>
      <c r="G647" s="1">
        <v>48</v>
      </c>
      <c r="H647" s="1">
        <v>90</v>
      </c>
      <c r="I647" s="1">
        <f t="shared" si="2"/>
        <v>42</v>
      </c>
    </row>
    <row r="648" spans="1:11" x14ac:dyDescent="0.25">
      <c r="C648" s="1">
        <v>22</v>
      </c>
      <c r="D648" s="1">
        <v>1</v>
      </c>
      <c r="E648" s="1">
        <v>10</v>
      </c>
      <c r="F648" s="1">
        <v>3</v>
      </c>
      <c r="G648" s="1">
        <v>90</v>
      </c>
      <c r="H648" s="1">
        <v>91</v>
      </c>
      <c r="I648" s="1">
        <f t="shared" si="2"/>
        <v>1</v>
      </c>
    </row>
    <row r="649" spans="1:11" x14ac:dyDescent="0.25">
      <c r="C649" s="1">
        <v>22</v>
      </c>
      <c r="D649" s="1">
        <v>1</v>
      </c>
      <c r="E649" s="1">
        <v>10</v>
      </c>
      <c r="F649" s="1">
        <v>4</v>
      </c>
      <c r="G649" s="1">
        <v>91</v>
      </c>
      <c r="H649" s="1">
        <v>134</v>
      </c>
      <c r="I649" s="1">
        <f t="shared" si="2"/>
        <v>43</v>
      </c>
    </row>
    <row r="650" spans="1:11" x14ac:dyDescent="0.25">
      <c r="C650" s="1">
        <v>22</v>
      </c>
      <c r="D650" s="1">
        <v>1</v>
      </c>
      <c r="E650" s="1">
        <v>10</v>
      </c>
      <c r="F650" s="1">
        <v>5</v>
      </c>
      <c r="G650" s="1">
        <v>134</v>
      </c>
      <c r="H650" s="1">
        <v>182</v>
      </c>
      <c r="I650" s="1">
        <f t="shared" si="2"/>
        <v>48</v>
      </c>
    </row>
    <row r="651" spans="1:11" x14ac:dyDescent="0.25">
      <c r="C651" s="1">
        <v>22</v>
      </c>
      <c r="D651" s="1">
        <v>1</v>
      </c>
      <c r="E651" s="1">
        <v>10</v>
      </c>
      <c r="F651" s="1">
        <v>6</v>
      </c>
      <c r="G651" s="1">
        <v>182</v>
      </c>
      <c r="H651" s="1">
        <v>205</v>
      </c>
      <c r="I651" s="1">
        <f t="shared" si="2"/>
        <v>23</v>
      </c>
    </row>
    <row r="652" spans="1:11" x14ac:dyDescent="0.25">
      <c r="C652" s="1">
        <v>22</v>
      </c>
      <c r="D652" s="1">
        <v>1</v>
      </c>
      <c r="E652" s="1">
        <v>10</v>
      </c>
      <c r="F652" s="1">
        <v>7</v>
      </c>
      <c r="G652" s="1">
        <v>205</v>
      </c>
      <c r="H652" s="1">
        <v>251</v>
      </c>
      <c r="I652" s="1">
        <f t="shared" si="2"/>
        <v>46</v>
      </c>
    </row>
    <row r="653" spans="1:11" x14ac:dyDescent="0.25">
      <c r="C653" s="1">
        <v>22</v>
      </c>
      <c r="D653" s="1">
        <v>1</v>
      </c>
      <c r="E653" s="1">
        <v>10</v>
      </c>
      <c r="F653" s="1">
        <v>8</v>
      </c>
      <c r="G653" s="1">
        <v>251</v>
      </c>
      <c r="H653" s="1">
        <v>292</v>
      </c>
      <c r="I653" s="1">
        <f t="shared" si="2"/>
        <v>41</v>
      </c>
    </row>
    <row r="654" spans="1:11" x14ac:dyDescent="0.25">
      <c r="C654" s="1">
        <v>22</v>
      </c>
      <c r="D654" s="1">
        <v>1</v>
      </c>
      <c r="E654" s="1">
        <v>10</v>
      </c>
      <c r="F654" s="1">
        <v>9</v>
      </c>
      <c r="G654" s="1">
        <v>292</v>
      </c>
      <c r="H654" s="1">
        <v>326</v>
      </c>
      <c r="I654" s="1">
        <f t="shared" ref="I654:I908" si="3">H654-G654</f>
        <v>34</v>
      </c>
    </row>
    <row r="655" spans="1:11" x14ac:dyDescent="0.25">
      <c r="C655" s="1">
        <v>22</v>
      </c>
      <c r="D655" s="1">
        <v>1</v>
      </c>
      <c r="E655" s="1">
        <v>10</v>
      </c>
      <c r="F655" s="1">
        <v>10</v>
      </c>
      <c r="G655" s="1">
        <v>326</v>
      </c>
      <c r="H655" s="1">
        <v>357</v>
      </c>
      <c r="I655" s="1">
        <f t="shared" si="3"/>
        <v>31</v>
      </c>
    </row>
    <row r="656" spans="1:11" x14ac:dyDescent="0.25">
      <c r="C656" s="1">
        <v>22</v>
      </c>
      <c r="D656" s="1">
        <v>1</v>
      </c>
      <c r="E656" s="1">
        <v>10</v>
      </c>
      <c r="F656" s="1">
        <v>11</v>
      </c>
      <c r="G656" s="1">
        <v>357</v>
      </c>
      <c r="H656" s="1">
        <v>404</v>
      </c>
      <c r="I656" s="1">
        <f t="shared" si="3"/>
        <v>47</v>
      </c>
    </row>
    <row r="657" spans="1:11" x14ac:dyDescent="0.25">
      <c r="C657" s="1">
        <v>22</v>
      </c>
      <c r="D657" s="1">
        <v>1</v>
      </c>
      <c r="E657" s="1">
        <v>10</v>
      </c>
      <c r="F657" s="1">
        <v>12</v>
      </c>
      <c r="G657" s="1">
        <v>404</v>
      </c>
      <c r="H657" s="1">
        <v>440</v>
      </c>
      <c r="I657" s="1">
        <f t="shared" si="3"/>
        <v>36</v>
      </c>
    </row>
    <row r="658" spans="1:11" x14ac:dyDescent="0.25">
      <c r="C658" s="1">
        <v>22</v>
      </c>
      <c r="D658" s="1">
        <v>1</v>
      </c>
      <c r="E658" s="1">
        <v>10</v>
      </c>
      <c r="F658" s="1">
        <v>13</v>
      </c>
      <c r="G658" s="1">
        <v>440</v>
      </c>
      <c r="H658" s="1">
        <v>479</v>
      </c>
      <c r="I658" s="1">
        <f t="shared" si="3"/>
        <v>39</v>
      </c>
    </row>
    <row r="659" spans="1:11" x14ac:dyDescent="0.25">
      <c r="C659" s="1">
        <v>22</v>
      </c>
      <c r="D659" s="1">
        <v>1</v>
      </c>
      <c r="E659" s="1">
        <v>10</v>
      </c>
      <c r="F659" s="1">
        <v>14</v>
      </c>
      <c r="G659" s="1">
        <v>498</v>
      </c>
      <c r="H659" s="1">
        <v>553</v>
      </c>
      <c r="I659" s="1">
        <f t="shared" si="3"/>
        <v>55</v>
      </c>
    </row>
    <row r="660" spans="1:11" x14ac:dyDescent="0.25">
      <c r="C660" s="1">
        <v>22</v>
      </c>
      <c r="D660" s="1">
        <v>1</v>
      </c>
      <c r="E660" s="1">
        <v>10</v>
      </c>
      <c r="F660" s="1">
        <v>15</v>
      </c>
      <c r="G660" s="1">
        <v>553</v>
      </c>
      <c r="H660" s="1">
        <v>586</v>
      </c>
      <c r="I660" s="1">
        <f t="shared" si="3"/>
        <v>33</v>
      </c>
    </row>
    <row r="661" spans="1:11" x14ac:dyDescent="0.25">
      <c r="C661" s="1">
        <v>22</v>
      </c>
      <c r="D661" s="1">
        <v>1</v>
      </c>
      <c r="E661" s="1">
        <v>10</v>
      </c>
      <c r="F661" s="1">
        <v>16</v>
      </c>
      <c r="G661" s="1">
        <v>586</v>
      </c>
      <c r="H661" s="1">
        <v>624</v>
      </c>
      <c r="I661" s="1">
        <f t="shared" si="3"/>
        <v>38</v>
      </c>
    </row>
    <row r="662" spans="1:11" x14ac:dyDescent="0.25">
      <c r="C662" s="1">
        <v>22</v>
      </c>
      <c r="D662" s="1">
        <v>1</v>
      </c>
      <c r="E662" s="1">
        <v>10</v>
      </c>
      <c r="F662" s="1">
        <v>17</v>
      </c>
      <c r="G662" s="1">
        <v>624</v>
      </c>
      <c r="H662" s="1">
        <v>639</v>
      </c>
      <c r="I662" s="1">
        <f t="shared" si="3"/>
        <v>15</v>
      </c>
    </row>
    <row r="663" spans="1:11" x14ac:dyDescent="0.25">
      <c r="C663" s="1">
        <v>22</v>
      </c>
      <c r="D663" s="1">
        <v>1</v>
      </c>
      <c r="E663" s="1">
        <v>10</v>
      </c>
      <c r="F663" s="1">
        <v>18</v>
      </c>
      <c r="G663" s="1">
        <v>639</v>
      </c>
      <c r="H663" s="1">
        <v>675</v>
      </c>
      <c r="I663" s="1">
        <f t="shared" si="3"/>
        <v>36</v>
      </c>
    </row>
    <row r="664" spans="1:11" x14ac:dyDescent="0.25">
      <c r="C664" s="1">
        <v>22</v>
      </c>
      <c r="D664" s="1">
        <v>1</v>
      </c>
      <c r="E664" s="1">
        <v>10</v>
      </c>
      <c r="F664" s="1">
        <v>19</v>
      </c>
      <c r="G664" s="1">
        <v>675</v>
      </c>
      <c r="H664" s="1">
        <v>719</v>
      </c>
      <c r="I664" s="1">
        <f t="shared" si="3"/>
        <v>44</v>
      </c>
    </row>
    <row r="665" spans="1:11" x14ac:dyDescent="0.25">
      <c r="C665" s="1">
        <v>22</v>
      </c>
      <c r="D665" s="1">
        <v>1</v>
      </c>
      <c r="E665" s="1">
        <v>10</v>
      </c>
      <c r="F665" s="1">
        <v>20</v>
      </c>
      <c r="G665" s="1">
        <v>719</v>
      </c>
      <c r="H665" s="1">
        <v>763</v>
      </c>
      <c r="I665" s="1">
        <f t="shared" si="3"/>
        <v>44</v>
      </c>
    </row>
    <row r="666" spans="1:11" x14ac:dyDescent="0.25">
      <c r="C666" s="1">
        <v>22</v>
      </c>
      <c r="D666" s="1">
        <v>1</v>
      </c>
      <c r="E666" s="1">
        <v>10</v>
      </c>
      <c r="F666" s="1">
        <v>21</v>
      </c>
      <c r="G666" s="1">
        <v>763</v>
      </c>
      <c r="H666" s="1">
        <v>789</v>
      </c>
      <c r="I666" s="1">
        <f t="shared" si="3"/>
        <v>26</v>
      </c>
    </row>
    <row r="667" spans="1:11" x14ac:dyDescent="0.25">
      <c r="C667" s="1">
        <v>22</v>
      </c>
      <c r="D667" s="1">
        <v>1</v>
      </c>
      <c r="E667" s="1">
        <v>10</v>
      </c>
      <c r="F667" s="1">
        <v>22</v>
      </c>
      <c r="G667" s="1">
        <v>789</v>
      </c>
      <c r="H667" s="1">
        <v>833</v>
      </c>
      <c r="I667" s="1">
        <f t="shared" si="3"/>
        <v>44</v>
      </c>
    </row>
    <row r="668" spans="1:11" x14ac:dyDescent="0.25">
      <c r="C668" s="1">
        <v>22</v>
      </c>
      <c r="D668" s="1">
        <v>1</v>
      </c>
      <c r="E668" s="1">
        <v>10</v>
      </c>
      <c r="F668" s="1">
        <v>23</v>
      </c>
      <c r="G668" s="1">
        <v>833</v>
      </c>
      <c r="H668" s="1">
        <v>877</v>
      </c>
      <c r="I668" s="1">
        <f t="shared" si="3"/>
        <v>44</v>
      </c>
    </row>
    <row r="669" spans="1:11" x14ac:dyDescent="0.25">
      <c r="C669" s="1">
        <v>22</v>
      </c>
      <c r="D669" s="1">
        <v>1</v>
      </c>
      <c r="E669" s="1">
        <v>10</v>
      </c>
      <c r="F669" s="1">
        <v>24</v>
      </c>
      <c r="G669" s="1">
        <v>877</v>
      </c>
      <c r="H669" s="1">
        <v>921</v>
      </c>
      <c r="I669" s="1">
        <f t="shared" si="3"/>
        <v>44</v>
      </c>
    </row>
    <row r="670" spans="1:11" x14ac:dyDescent="0.25">
      <c r="C670" s="1">
        <v>22</v>
      </c>
      <c r="D670" s="1">
        <v>1</v>
      </c>
      <c r="E670" s="1">
        <v>10</v>
      </c>
      <c r="F670" s="1">
        <v>25</v>
      </c>
      <c r="G670" s="1">
        <v>936</v>
      </c>
      <c r="H670" s="1">
        <v>980</v>
      </c>
      <c r="I670" s="1">
        <f t="shared" si="3"/>
        <v>44</v>
      </c>
    </row>
    <row r="671" spans="1:11" x14ac:dyDescent="0.25">
      <c r="A671" s="5">
        <v>1</v>
      </c>
      <c r="B671" s="2">
        <v>43959</v>
      </c>
      <c r="C671" s="1">
        <v>23</v>
      </c>
      <c r="D671" s="1">
        <v>2</v>
      </c>
      <c r="E671" s="1">
        <v>10</v>
      </c>
      <c r="F671" s="1">
        <v>1</v>
      </c>
      <c r="G671" s="1">
        <v>3</v>
      </c>
      <c r="H671" s="1">
        <v>3</v>
      </c>
      <c r="I671" s="1">
        <f t="shared" si="3"/>
        <v>0</v>
      </c>
      <c r="J671" s="8">
        <f>(I671+I672+I673+I695+I694+I693+I683+I684+I682)/9</f>
        <v>18.333333333333332</v>
      </c>
      <c r="K671" s="8">
        <f>AVERAGE(I671:I695)</f>
        <v>19.399999999999999</v>
      </c>
    </row>
    <row r="672" spans="1:11" x14ac:dyDescent="0.25">
      <c r="C672" s="1">
        <v>23</v>
      </c>
      <c r="D672" s="1">
        <v>2</v>
      </c>
      <c r="E672" s="1">
        <v>10</v>
      </c>
      <c r="F672" s="1">
        <v>2</v>
      </c>
      <c r="G672" s="1">
        <v>3</v>
      </c>
      <c r="H672" s="1">
        <v>3</v>
      </c>
      <c r="I672" s="1">
        <f t="shared" si="3"/>
        <v>0</v>
      </c>
    </row>
    <row r="673" spans="3:9" x14ac:dyDescent="0.25">
      <c r="C673" s="1">
        <v>23</v>
      </c>
      <c r="D673" s="1">
        <v>2</v>
      </c>
      <c r="E673" s="1">
        <v>10</v>
      </c>
      <c r="F673" s="1">
        <v>3</v>
      </c>
      <c r="G673" s="1">
        <v>3</v>
      </c>
      <c r="H673" s="1">
        <v>13</v>
      </c>
      <c r="I673" s="1">
        <f t="shared" si="3"/>
        <v>10</v>
      </c>
    </row>
    <row r="674" spans="3:9" x14ac:dyDescent="0.25">
      <c r="C674" s="1">
        <v>23</v>
      </c>
      <c r="D674" s="1">
        <v>2</v>
      </c>
      <c r="E674" s="1">
        <v>10</v>
      </c>
      <c r="F674" s="1">
        <v>4</v>
      </c>
      <c r="G674" s="1">
        <v>13</v>
      </c>
      <c r="H674" s="1">
        <v>17</v>
      </c>
      <c r="I674" s="1">
        <f t="shared" si="3"/>
        <v>4</v>
      </c>
    </row>
    <row r="675" spans="3:9" x14ac:dyDescent="0.25">
      <c r="C675" s="1">
        <v>23</v>
      </c>
      <c r="D675" s="1">
        <v>2</v>
      </c>
      <c r="E675" s="1">
        <v>10</v>
      </c>
      <c r="F675" s="1">
        <v>5</v>
      </c>
      <c r="G675" s="1">
        <v>17</v>
      </c>
      <c r="H675" s="1">
        <v>17</v>
      </c>
      <c r="I675" s="1">
        <f t="shared" si="3"/>
        <v>0</v>
      </c>
    </row>
    <row r="676" spans="3:9" x14ac:dyDescent="0.25">
      <c r="C676" s="1">
        <v>23</v>
      </c>
      <c r="D676" s="1">
        <v>2</v>
      </c>
      <c r="E676" s="1">
        <v>10</v>
      </c>
      <c r="F676" s="1">
        <v>6</v>
      </c>
      <c r="G676" s="1">
        <v>17</v>
      </c>
      <c r="H676" s="1">
        <v>19</v>
      </c>
      <c r="I676" s="1">
        <f t="shared" si="3"/>
        <v>2</v>
      </c>
    </row>
    <row r="677" spans="3:9" x14ac:dyDescent="0.25">
      <c r="C677" s="1">
        <v>23</v>
      </c>
      <c r="D677" s="1">
        <v>2</v>
      </c>
      <c r="E677" s="1">
        <v>10</v>
      </c>
      <c r="F677" s="1">
        <v>7</v>
      </c>
      <c r="G677" s="1">
        <v>19</v>
      </c>
      <c r="H677" s="1">
        <v>19</v>
      </c>
      <c r="I677" s="1">
        <f t="shared" si="3"/>
        <v>0</v>
      </c>
    </row>
    <row r="678" spans="3:9" x14ac:dyDescent="0.25">
      <c r="C678" s="1">
        <v>23</v>
      </c>
      <c r="D678" s="1">
        <v>2</v>
      </c>
      <c r="E678" s="1">
        <v>10</v>
      </c>
      <c r="F678" s="1">
        <v>8</v>
      </c>
      <c r="G678" s="1">
        <v>19</v>
      </c>
      <c r="H678" s="1">
        <v>19</v>
      </c>
      <c r="I678" s="1">
        <f t="shared" si="3"/>
        <v>0</v>
      </c>
    </row>
    <row r="679" spans="3:9" x14ac:dyDescent="0.25">
      <c r="C679" s="1">
        <v>23</v>
      </c>
      <c r="D679" s="1">
        <v>2</v>
      </c>
      <c r="E679" s="1">
        <v>10</v>
      </c>
      <c r="F679" s="1">
        <v>9</v>
      </c>
      <c r="G679" s="1">
        <v>19</v>
      </c>
      <c r="H679" s="1">
        <v>22</v>
      </c>
      <c r="I679" s="1">
        <f t="shared" si="3"/>
        <v>3</v>
      </c>
    </row>
    <row r="680" spans="3:9" x14ac:dyDescent="0.25">
      <c r="C680" s="1">
        <v>23</v>
      </c>
      <c r="D680" s="1">
        <v>2</v>
      </c>
      <c r="E680" s="1">
        <v>10</v>
      </c>
      <c r="F680" s="1">
        <v>10</v>
      </c>
      <c r="G680" s="1">
        <v>24</v>
      </c>
      <c r="H680" s="1">
        <v>25</v>
      </c>
      <c r="I680" s="1">
        <f t="shared" si="3"/>
        <v>1</v>
      </c>
    </row>
    <row r="681" spans="3:9" x14ac:dyDescent="0.25">
      <c r="C681" s="1">
        <v>23</v>
      </c>
      <c r="D681" s="1">
        <v>2</v>
      </c>
      <c r="E681" s="1">
        <v>10</v>
      </c>
      <c r="F681" s="1">
        <v>11</v>
      </c>
      <c r="G681" s="1">
        <v>25</v>
      </c>
      <c r="H681" s="1">
        <v>30</v>
      </c>
      <c r="I681" s="1">
        <f t="shared" si="3"/>
        <v>5</v>
      </c>
    </row>
    <row r="682" spans="3:9" x14ac:dyDescent="0.25">
      <c r="C682" s="1">
        <v>23</v>
      </c>
      <c r="D682" s="1">
        <v>2</v>
      </c>
      <c r="E682" s="1">
        <v>10</v>
      </c>
      <c r="F682" s="1">
        <v>12</v>
      </c>
      <c r="G682" s="1">
        <v>30</v>
      </c>
      <c r="H682" s="1">
        <v>30</v>
      </c>
      <c r="I682" s="1">
        <f t="shared" si="3"/>
        <v>0</v>
      </c>
    </row>
    <row r="683" spans="3:9" x14ac:dyDescent="0.25">
      <c r="C683" s="1">
        <v>23</v>
      </c>
      <c r="D683" s="1">
        <v>2</v>
      </c>
      <c r="E683" s="1">
        <v>10</v>
      </c>
      <c r="F683" s="1">
        <v>13</v>
      </c>
      <c r="G683" s="1">
        <v>30</v>
      </c>
      <c r="H683" s="1">
        <v>32</v>
      </c>
      <c r="I683" s="1">
        <f t="shared" si="3"/>
        <v>2</v>
      </c>
    </row>
    <row r="684" spans="3:9" x14ac:dyDescent="0.25">
      <c r="C684" s="1">
        <v>23</v>
      </c>
      <c r="D684" s="1">
        <v>2</v>
      </c>
      <c r="E684" s="1">
        <v>10</v>
      </c>
      <c r="F684" s="1">
        <v>14</v>
      </c>
      <c r="G684" s="1">
        <v>32</v>
      </c>
      <c r="H684" s="1">
        <v>58</v>
      </c>
      <c r="I684" s="1">
        <f t="shared" si="3"/>
        <v>26</v>
      </c>
    </row>
    <row r="685" spans="3:9" x14ac:dyDescent="0.25">
      <c r="C685" s="1">
        <v>23</v>
      </c>
      <c r="D685" s="1">
        <v>2</v>
      </c>
      <c r="E685" s="1">
        <v>10</v>
      </c>
      <c r="F685" s="1">
        <v>15</v>
      </c>
      <c r="G685" s="1">
        <v>58</v>
      </c>
      <c r="H685" s="1">
        <v>96</v>
      </c>
      <c r="I685" s="1">
        <f t="shared" si="3"/>
        <v>38</v>
      </c>
    </row>
    <row r="686" spans="3:9" x14ac:dyDescent="0.25">
      <c r="C686" s="1">
        <v>23</v>
      </c>
      <c r="D686" s="1">
        <v>2</v>
      </c>
      <c r="E686" s="1">
        <v>10</v>
      </c>
      <c r="F686" s="1">
        <v>16</v>
      </c>
      <c r="G686" s="1">
        <v>97</v>
      </c>
      <c r="H686" s="1">
        <v>127</v>
      </c>
      <c r="I686" s="1">
        <f t="shared" si="3"/>
        <v>30</v>
      </c>
    </row>
    <row r="687" spans="3:9" x14ac:dyDescent="0.25">
      <c r="C687" s="1">
        <v>23</v>
      </c>
      <c r="D687" s="1">
        <v>2</v>
      </c>
      <c r="E687" s="1">
        <v>10</v>
      </c>
      <c r="F687" s="1">
        <v>17</v>
      </c>
      <c r="G687" s="1">
        <v>137</v>
      </c>
      <c r="H687" s="1">
        <v>185</v>
      </c>
      <c r="I687" s="1">
        <f t="shared" si="3"/>
        <v>48</v>
      </c>
    </row>
    <row r="688" spans="3:9" x14ac:dyDescent="0.25">
      <c r="C688" s="1">
        <v>23</v>
      </c>
      <c r="D688" s="1">
        <v>2</v>
      </c>
      <c r="E688" s="1">
        <v>10</v>
      </c>
      <c r="F688" s="1">
        <v>18</v>
      </c>
      <c r="G688" s="1">
        <v>197</v>
      </c>
      <c r="H688" s="1">
        <v>226</v>
      </c>
      <c r="I688" s="1">
        <f t="shared" si="3"/>
        <v>29</v>
      </c>
    </row>
    <row r="689" spans="1:11" x14ac:dyDescent="0.25">
      <c r="C689" s="1">
        <v>23</v>
      </c>
      <c r="D689" s="1">
        <v>2</v>
      </c>
      <c r="E689" s="1">
        <v>10</v>
      </c>
      <c r="F689" s="1">
        <v>19</v>
      </c>
      <c r="G689" s="1">
        <v>227</v>
      </c>
      <c r="H689" s="1">
        <v>261</v>
      </c>
      <c r="I689" s="1">
        <f t="shared" si="3"/>
        <v>34</v>
      </c>
    </row>
    <row r="690" spans="1:11" x14ac:dyDescent="0.25">
      <c r="C690" s="1">
        <v>23</v>
      </c>
      <c r="D690" s="1">
        <v>2</v>
      </c>
      <c r="E690" s="1">
        <v>10</v>
      </c>
      <c r="F690" s="1">
        <v>20</v>
      </c>
      <c r="G690" s="1">
        <v>261</v>
      </c>
      <c r="H690" s="1">
        <v>301</v>
      </c>
      <c r="I690" s="1">
        <f t="shared" si="3"/>
        <v>40</v>
      </c>
    </row>
    <row r="691" spans="1:11" x14ac:dyDescent="0.25">
      <c r="C691" s="1">
        <v>23</v>
      </c>
      <c r="D691" s="1">
        <v>2</v>
      </c>
      <c r="E691" s="1">
        <v>10</v>
      </c>
      <c r="F691" s="1">
        <v>21</v>
      </c>
      <c r="G691" s="1">
        <v>309</v>
      </c>
      <c r="H691" s="1">
        <v>351</v>
      </c>
      <c r="I691" s="1">
        <f t="shared" si="3"/>
        <v>42</v>
      </c>
    </row>
    <row r="692" spans="1:11" x14ac:dyDescent="0.25">
      <c r="C692" s="1">
        <v>23</v>
      </c>
      <c r="D692" s="1">
        <v>2</v>
      </c>
      <c r="E692" s="1">
        <v>10</v>
      </c>
      <c r="F692" s="1">
        <v>22</v>
      </c>
      <c r="G692" s="1">
        <v>351</v>
      </c>
      <c r="H692" s="1">
        <v>395</v>
      </c>
      <c r="I692" s="1">
        <f t="shared" si="3"/>
        <v>44</v>
      </c>
    </row>
    <row r="693" spans="1:11" x14ac:dyDescent="0.25">
      <c r="C693" s="1">
        <v>23</v>
      </c>
      <c r="D693" s="1">
        <v>2</v>
      </c>
      <c r="E693" s="1">
        <v>10</v>
      </c>
      <c r="F693" s="1">
        <v>23</v>
      </c>
      <c r="G693" s="1">
        <v>396</v>
      </c>
      <c r="H693" s="1">
        <v>439</v>
      </c>
      <c r="I693" s="1">
        <f t="shared" si="3"/>
        <v>43</v>
      </c>
    </row>
    <row r="694" spans="1:11" x14ac:dyDescent="0.25">
      <c r="C694" s="1">
        <v>23</v>
      </c>
      <c r="D694" s="1">
        <v>2</v>
      </c>
      <c r="E694" s="1">
        <v>10</v>
      </c>
      <c r="F694" s="1">
        <v>24</v>
      </c>
      <c r="G694" s="1">
        <v>445</v>
      </c>
      <c r="H694" s="1">
        <v>491</v>
      </c>
      <c r="I694" s="1">
        <f t="shared" si="3"/>
        <v>46</v>
      </c>
    </row>
    <row r="695" spans="1:11" x14ac:dyDescent="0.25">
      <c r="C695" s="1">
        <v>23</v>
      </c>
      <c r="D695" s="1">
        <v>2</v>
      </c>
      <c r="E695" s="1">
        <v>10</v>
      </c>
      <c r="F695" s="1">
        <v>25</v>
      </c>
      <c r="G695" s="1">
        <v>491</v>
      </c>
      <c r="H695" s="1">
        <v>529</v>
      </c>
      <c r="I695" s="1">
        <f t="shared" si="3"/>
        <v>38</v>
      </c>
    </row>
    <row r="696" spans="1:11" x14ac:dyDescent="0.25">
      <c r="A696" s="5">
        <v>1</v>
      </c>
      <c r="B696" s="2">
        <v>43957</v>
      </c>
      <c r="C696" s="1">
        <v>24</v>
      </c>
      <c r="D696" s="1">
        <v>1</v>
      </c>
      <c r="E696" s="1">
        <v>10</v>
      </c>
      <c r="F696" s="1">
        <v>1</v>
      </c>
      <c r="G696" s="1">
        <v>0</v>
      </c>
      <c r="H696" s="1">
        <v>25</v>
      </c>
      <c r="I696" s="1">
        <f t="shared" si="3"/>
        <v>25</v>
      </c>
      <c r="J696" s="8">
        <f>(I696+I697+I698+I720+I719+I718+I708+I707+I709)/9</f>
        <v>42.555555555555557</v>
      </c>
      <c r="K696" s="8">
        <f>AVERAGE(I696:I720)</f>
        <v>38.4</v>
      </c>
    </row>
    <row r="697" spans="1:11" x14ac:dyDescent="0.25">
      <c r="C697" s="1">
        <v>24</v>
      </c>
      <c r="D697" s="1">
        <v>1</v>
      </c>
      <c r="E697" s="1">
        <v>10</v>
      </c>
      <c r="F697" s="1">
        <v>2</v>
      </c>
      <c r="G697" s="1">
        <v>25</v>
      </c>
      <c r="H697" s="1">
        <v>72</v>
      </c>
      <c r="I697" s="1">
        <f t="shared" si="3"/>
        <v>47</v>
      </c>
    </row>
    <row r="698" spans="1:11" x14ac:dyDescent="0.25">
      <c r="C698" s="1">
        <v>24</v>
      </c>
      <c r="D698" s="1">
        <v>1</v>
      </c>
      <c r="E698" s="1">
        <v>10</v>
      </c>
      <c r="F698" s="1">
        <v>3</v>
      </c>
      <c r="G698" s="1">
        <v>73</v>
      </c>
      <c r="H698" s="1">
        <v>126</v>
      </c>
      <c r="I698" s="1">
        <f t="shared" si="3"/>
        <v>53</v>
      </c>
    </row>
    <row r="699" spans="1:11" x14ac:dyDescent="0.25">
      <c r="C699" s="1">
        <v>24</v>
      </c>
      <c r="D699" s="1">
        <v>1</v>
      </c>
      <c r="E699" s="1">
        <v>10</v>
      </c>
      <c r="F699" s="1">
        <v>4</v>
      </c>
      <c r="G699" s="1">
        <v>126</v>
      </c>
      <c r="H699" s="1">
        <v>163</v>
      </c>
      <c r="I699" s="1">
        <f t="shared" si="3"/>
        <v>37</v>
      </c>
    </row>
    <row r="700" spans="1:11" x14ac:dyDescent="0.25">
      <c r="C700" s="1">
        <v>24</v>
      </c>
      <c r="D700" s="1">
        <v>1</v>
      </c>
      <c r="E700" s="1">
        <v>10</v>
      </c>
      <c r="F700" s="1">
        <v>5</v>
      </c>
      <c r="G700" s="1">
        <v>164</v>
      </c>
      <c r="H700" s="1">
        <v>210</v>
      </c>
      <c r="I700" s="1">
        <f t="shared" si="3"/>
        <v>46</v>
      </c>
    </row>
    <row r="701" spans="1:11" x14ac:dyDescent="0.25">
      <c r="C701" s="1">
        <v>24</v>
      </c>
      <c r="D701" s="1">
        <v>1</v>
      </c>
      <c r="E701" s="1">
        <v>10</v>
      </c>
      <c r="F701" s="1">
        <v>6</v>
      </c>
      <c r="G701" s="1">
        <v>210</v>
      </c>
      <c r="H701" s="1">
        <v>249</v>
      </c>
      <c r="I701" s="1">
        <f t="shared" si="3"/>
        <v>39</v>
      </c>
    </row>
    <row r="702" spans="1:11" x14ac:dyDescent="0.25">
      <c r="C702" s="1">
        <v>24</v>
      </c>
      <c r="D702" s="1">
        <v>1</v>
      </c>
      <c r="E702" s="1">
        <v>10</v>
      </c>
      <c r="F702" s="1">
        <v>7</v>
      </c>
      <c r="G702" s="1">
        <v>249</v>
      </c>
      <c r="H702" s="1">
        <v>290</v>
      </c>
      <c r="I702" s="1">
        <f t="shared" si="3"/>
        <v>41</v>
      </c>
    </row>
    <row r="703" spans="1:11" x14ac:dyDescent="0.25">
      <c r="C703" s="1">
        <v>24</v>
      </c>
      <c r="D703" s="1">
        <v>1</v>
      </c>
      <c r="E703" s="1">
        <v>10</v>
      </c>
      <c r="F703" s="1">
        <v>8</v>
      </c>
      <c r="G703" s="1">
        <v>291</v>
      </c>
      <c r="H703" s="1">
        <v>323</v>
      </c>
      <c r="I703" s="1">
        <f t="shared" si="3"/>
        <v>32</v>
      </c>
    </row>
    <row r="704" spans="1:11" x14ac:dyDescent="0.25">
      <c r="C704" s="1">
        <v>24</v>
      </c>
      <c r="D704" s="1">
        <v>1</v>
      </c>
      <c r="E704" s="1">
        <v>10</v>
      </c>
      <c r="F704" s="1">
        <v>9</v>
      </c>
      <c r="G704" s="1">
        <v>323</v>
      </c>
      <c r="H704" s="1">
        <v>366</v>
      </c>
      <c r="I704" s="1">
        <f t="shared" si="3"/>
        <v>43</v>
      </c>
    </row>
    <row r="705" spans="3:9" x14ac:dyDescent="0.25">
      <c r="C705" s="1">
        <v>24</v>
      </c>
      <c r="D705" s="1">
        <v>1</v>
      </c>
      <c r="E705" s="1">
        <v>10</v>
      </c>
      <c r="F705" s="1">
        <v>10</v>
      </c>
      <c r="G705" s="1">
        <v>368</v>
      </c>
      <c r="H705" s="1">
        <v>392</v>
      </c>
      <c r="I705" s="1">
        <f t="shared" si="3"/>
        <v>24</v>
      </c>
    </row>
    <row r="706" spans="3:9" x14ac:dyDescent="0.25">
      <c r="C706" s="1">
        <v>24</v>
      </c>
      <c r="D706" s="1">
        <v>1</v>
      </c>
      <c r="E706" s="1">
        <v>10</v>
      </c>
      <c r="F706" s="1">
        <v>11</v>
      </c>
      <c r="G706" s="1">
        <v>392</v>
      </c>
      <c r="H706" s="1">
        <v>429</v>
      </c>
      <c r="I706" s="1">
        <f t="shared" si="3"/>
        <v>37</v>
      </c>
    </row>
    <row r="707" spans="3:9" x14ac:dyDescent="0.25">
      <c r="C707" s="1">
        <v>24</v>
      </c>
      <c r="D707" s="1">
        <v>1</v>
      </c>
      <c r="E707" s="1">
        <v>10</v>
      </c>
      <c r="F707" s="1">
        <v>12</v>
      </c>
      <c r="G707" s="1">
        <v>429</v>
      </c>
      <c r="H707" s="1">
        <v>459</v>
      </c>
      <c r="I707" s="1">
        <f t="shared" si="3"/>
        <v>30</v>
      </c>
    </row>
    <row r="708" spans="3:9" x14ac:dyDescent="0.25">
      <c r="C708" s="1">
        <v>24</v>
      </c>
      <c r="D708" s="1">
        <v>1</v>
      </c>
      <c r="E708" s="1">
        <v>10</v>
      </c>
      <c r="F708" s="1">
        <v>13</v>
      </c>
      <c r="G708" s="1">
        <v>459</v>
      </c>
      <c r="H708" s="1">
        <v>505</v>
      </c>
      <c r="I708" s="1">
        <f t="shared" si="3"/>
        <v>46</v>
      </c>
    </row>
    <row r="709" spans="3:9" x14ac:dyDescent="0.25">
      <c r="C709" s="1">
        <v>24</v>
      </c>
      <c r="D709" s="1">
        <v>1</v>
      </c>
      <c r="E709" s="1">
        <v>10</v>
      </c>
      <c r="F709" s="1">
        <v>14</v>
      </c>
      <c r="G709" s="1">
        <v>505</v>
      </c>
      <c r="H709" s="1">
        <v>578</v>
      </c>
      <c r="I709" s="1">
        <f t="shared" si="3"/>
        <v>73</v>
      </c>
    </row>
    <row r="710" spans="3:9" x14ac:dyDescent="0.25">
      <c r="C710" s="1">
        <v>24</v>
      </c>
      <c r="D710" s="1">
        <v>1</v>
      </c>
      <c r="E710" s="1">
        <v>10</v>
      </c>
      <c r="F710" s="1">
        <v>15</v>
      </c>
      <c r="G710" s="1">
        <v>548</v>
      </c>
      <c r="H710" s="1">
        <v>596</v>
      </c>
      <c r="I710" s="1">
        <f t="shared" si="3"/>
        <v>48</v>
      </c>
    </row>
    <row r="711" spans="3:9" x14ac:dyDescent="0.25">
      <c r="C711" s="1">
        <v>24</v>
      </c>
      <c r="D711" s="1">
        <v>1</v>
      </c>
      <c r="E711" s="1">
        <v>10</v>
      </c>
      <c r="F711" s="1">
        <v>16</v>
      </c>
      <c r="G711" s="1">
        <v>596</v>
      </c>
      <c r="H711" s="1">
        <v>635</v>
      </c>
      <c r="I711" s="1">
        <f t="shared" si="3"/>
        <v>39</v>
      </c>
    </row>
    <row r="712" spans="3:9" x14ac:dyDescent="0.25">
      <c r="C712" s="1">
        <v>24</v>
      </c>
      <c r="D712" s="1">
        <v>1</v>
      </c>
      <c r="E712" s="1">
        <v>10</v>
      </c>
      <c r="F712" s="1">
        <v>17</v>
      </c>
      <c r="G712" s="1">
        <v>635</v>
      </c>
      <c r="H712" s="1">
        <v>663</v>
      </c>
      <c r="I712" s="1">
        <f t="shared" si="3"/>
        <v>28</v>
      </c>
    </row>
    <row r="713" spans="3:9" x14ac:dyDescent="0.25">
      <c r="C713" s="1">
        <v>24</v>
      </c>
      <c r="D713" s="1">
        <v>1</v>
      </c>
      <c r="E713" s="1">
        <v>10</v>
      </c>
      <c r="F713" s="1">
        <v>18</v>
      </c>
      <c r="G713" s="1">
        <v>663</v>
      </c>
      <c r="H713" s="1">
        <v>702</v>
      </c>
      <c r="I713" s="1">
        <f t="shared" si="3"/>
        <v>39</v>
      </c>
    </row>
    <row r="714" spans="3:9" x14ac:dyDescent="0.25">
      <c r="C714" s="1">
        <v>24</v>
      </c>
      <c r="D714" s="1">
        <v>1</v>
      </c>
      <c r="E714" s="1">
        <v>10</v>
      </c>
      <c r="F714" s="1">
        <v>19</v>
      </c>
      <c r="G714" s="1">
        <v>702</v>
      </c>
      <c r="H714" s="1">
        <v>740</v>
      </c>
      <c r="I714" s="1">
        <f t="shared" si="3"/>
        <v>38</v>
      </c>
    </row>
    <row r="715" spans="3:9" x14ac:dyDescent="0.25">
      <c r="C715" s="1">
        <v>24</v>
      </c>
      <c r="D715" s="1">
        <v>1</v>
      </c>
      <c r="E715" s="1">
        <v>10</v>
      </c>
      <c r="F715" s="1">
        <v>20</v>
      </c>
      <c r="G715" s="1">
        <v>740</v>
      </c>
      <c r="H715" s="1">
        <v>771</v>
      </c>
      <c r="I715" s="1">
        <f t="shared" si="3"/>
        <v>31</v>
      </c>
    </row>
    <row r="716" spans="3:9" x14ac:dyDescent="0.25">
      <c r="C716" s="1">
        <v>24</v>
      </c>
      <c r="D716" s="1">
        <v>1</v>
      </c>
      <c r="E716" s="1">
        <v>10</v>
      </c>
      <c r="F716" s="1">
        <v>21</v>
      </c>
      <c r="G716" s="1">
        <v>771</v>
      </c>
      <c r="H716" s="1">
        <v>804</v>
      </c>
      <c r="I716" s="1">
        <f t="shared" si="3"/>
        <v>33</v>
      </c>
    </row>
    <row r="717" spans="3:9" x14ac:dyDescent="0.25">
      <c r="C717" s="1">
        <v>24</v>
      </c>
      <c r="D717" s="1">
        <v>1</v>
      </c>
      <c r="E717" s="1">
        <v>10</v>
      </c>
      <c r="F717" s="1">
        <v>22</v>
      </c>
      <c r="G717" s="1">
        <v>804</v>
      </c>
      <c r="H717" s="1">
        <v>826</v>
      </c>
      <c r="I717" s="1">
        <f t="shared" si="3"/>
        <v>22</v>
      </c>
    </row>
    <row r="718" spans="3:9" x14ac:dyDescent="0.25">
      <c r="C718" s="1">
        <v>24</v>
      </c>
      <c r="D718" s="1">
        <v>1</v>
      </c>
      <c r="E718" s="1">
        <v>10</v>
      </c>
      <c r="F718" s="1">
        <v>23</v>
      </c>
      <c r="G718" s="1">
        <v>826</v>
      </c>
      <c r="H718" s="1">
        <v>872</v>
      </c>
      <c r="I718" s="1">
        <f t="shared" si="3"/>
        <v>46</v>
      </c>
    </row>
    <row r="719" spans="3:9" x14ac:dyDescent="0.25">
      <c r="C719" s="1">
        <v>24</v>
      </c>
      <c r="D719" s="1">
        <v>1</v>
      </c>
      <c r="E719" s="1">
        <v>10</v>
      </c>
      <c r="F719" s="1">
        <v>24</v>
      </c>
      <c r="G719" s="1">
        <v>874</v>
      </c>
      <c r="H719" s="1">
        <v>903</v>
      </c>
      <c r="I719" s="1">
        <f t="shared" si="3"/>
        <v>29</v>
      </c>
    </row>
    <row r="720" spans="3:9" x14ac:dyDescent="0.25">
      <c r="C720" s="1">
        <v>24</v>
      </c>
      <c r="D720" s="1">
        <v>1</v>
      </c>
      <c r="E720" s="1">
        <v>10</v>
      </c>
      <c r="F720" s="1">
        <v>25</v>
      </c>
      <c r="G720" s="1">
        <v>906</v>
      </c>
      <c r="H720" s="1">
        <v>940</v>
      </c>
      <c r="I720" s="1">
        <f t="shared" si="3"/>
        <v>34</v>
      </c>
    </row>
    <row r="721" spans="1:11" x14ac:dyDescent="0.25">
      <c r="A721" s="5">
        <v>1</v>
      </c>
      <c r="B721" s="2">
        <v>43955</v>
      </c>
      <c r="C721" s="1">
        <v>25</v>
      </c>
      <c r="D721" s="1">
        <v>1</v>
      </c>
      <c r="E721" s="1">
        <v>10</v>
      </c>
      <c r="F721" s="1">
        <v>1</v>
      </c>
      <c r="G721" s="1">
        <v>5</v>
      </c>
      <c r="H721" s="1">
        <v>31</v>
      </c>
      <c r="I721" s="1">
        <f t="shared" si="3"/>
        <v>26</v>
      </c>
      <c r="J721" s="8">
        <f>(I721+I722+I723+I745+I744+I743+I732+I733+I734)/9</f>
        <v>26.111111111111111</v>
      </c>
      <c r="K721" s="8">
        <f>AVERAGE(I721:I745)</f>
        <v>30.32</v>
      </c>
    </row>
    <row r="722" spans="1:11" x14ac:dyDescent="0.25">
      <c r="C722" s="1">
        <v>25</v>
      </c>
      <c r="D722" s="1">
        <v>1</v>
      </c>
      <c r="E722" s="1">
        <v>10</v>
      </c>
      <c r="F722" s="1">
        <v>2</v>
      </c>
      <c r="G722" s="1">
        <v>31</v>
      </c>
      <c r="H722" s="1">
        <v>77</v>
      </c>
      <c r="I722" s="1">
        <f t="shared" si="3"/>
        <v>46</v>
      </c>
    </row>
    <row r="723" spans="1:11" x14ac:dyDescent="0.25">
      <c r="C723" s="1">
        <v>25</v>
      </c>
      <c r="D723" s="1">
        <v>1</v>
      </c>
      <c r="E723" s="1">
        <v>10</v>
      </c>
      <c r="F723" s="1">
        <v>3</v>
      </c>
      <c r="G723" s="1">
        <v>77</v>
      </c>
      <c r="H723" s="1">
        <v>87</v>
      </c>
      <c r="I723" s="1">
        <f t="shared" si="3"/>
        <v>10</v>
      </c>
    </row>
    <row r="724" spans="1:11" x14ac:dyDescent="0.25">
      <c r="C724" s="1">
        <v>25</v>
      </c>
      <c r="D724" s="1">
        <v>1</v>
      </c>
      <c r="E724" s="1">
        <v>10</v>
      </c>
      <c r="F724" s="1">
        <v>4</v>
      </c>
      <c r="G724" s="1">
        <v>87</v>
      </c>
      <c r="H724" s="1">
        <v>118</v>
      </c>
      <c r="I724" s="1">
        <f t="shared" si="3"/>
        <v>31</v>
      </c>
    </row>
    <row r="725" spans="1:11" x14ac:dyDescent="0.25">
      <c r="C725" s="1">
        <v>25</v>
      </c>
      <c r="D725" s="1">
        <v>1</v>
      </c>
      <c r="E725" s="1">
        <v>10</v>
      </c>
      <c r="F725" s="1">
        <v>5</v>
      </c>
      <c r="G725" s="1">
        <v>118</v>
      </c>
      <c r="H725" s="1">
        <v>158</v>
      </c>
      <c r="I725" s="1">
        <f t="shared" si="3"/>
        <v>40</v>
      </c>
    </row>
    <row r="726" spans="1:11" x14ac:dyDescent="0.25">
      <c r="C726" s="1">
        <v>25</v>
      </c>
      <c r="D726" s="1">
        <v>1</v>
      </c>
      <c r="E726" s="1">
        <v>10</v>
      </c>
      <c r="F726" s="1">
        <v>6</v>
      </c>
      <c r="G726" s="1">
        <v>158</v>
      </c>
      <c r="H726" s="1">
        <v>161</v>
      </c>
      <c r="I726" s="1">
        <f t="shared" si="3"/>
        <v>3</v>
      </c>
    </row>
    <row r="727" spans="1:11" x14ac:dyDescent="0.25">
      <c r="C727" s="1">
        <v>25</v>
      </c>
      <c r="D727" s="1">
        <v>1</v>
      </c>
      <c r="E727" s="1">
        <v>10</v>
      </c>
      <c r="F727" s="1">
        <v>7</v>
      </c>
      <c r="G727" s="1">
        <v>161</v>
      </c>
      <c r="H727" s="1">
        <v>211</v>
      </c>
      <c r="I727" s="1">
        <f t="shared" si="3"/>
        <v>50</v>
      </c>
    </row>
    <row r="728" spans="1:11" x14ac:dyDescent="0.25">
      <c r="C728" s="1">
        <v>25</v>
      </c>
      <c r="D728" s="1">
        <v>1</v>
      </c>
      <c r="E728" s="1">
        <v>10</v>
      </c>
      <c r="F728" s="1">
        <v>8</v>
      </c>
      <c r="G728" s="1">
        <v>211</v>
      </c>
      <c r="H728" s="1">
        <v>258</v>
      </c>
      <c r="I728" s="1">
        <f t="shared" si="3"/>
        <v>47</v>
      </c>
    </row>
    <row r="729" spans="1:11" x14ac:dyDescent="0.25">
      <c r="C729" s="1">
        <v>25</v>
      </c>
      <c r="D729" s="1">
        <v>1</v>
      </c>
      <c r="E729" s="1">
        <v>10</v>
      </c>
      <c r="F729" s="1">
        <v>9</v>
      </c>
      <c r="G729" s="1">
        <v>258</v>
      </c>
      <c r="H729" s="1">
        <v>295</v>
      </c>
      <c r="I729" s="1">
        <f t="shared" si="3"/>
        <v>37</v>
      </c>
    </row>
    <row r="730" spans="1:11" x14ac:dyDescent="0.25">
      <c r="C730" s="1">
        <v>25</v>
      </c>
      <c r="D730" s="1">
        <v>1</v>
      </c>
      <c r="E730" s="1">
        <v>10</v>
      </c>
      <c r="F730" s="1">
        <v>10</v>
      </c>
      <c r="G730" s="1">
        <v>295</v>
      </c>
      <c r="H730" s="1">
        <v>338</v>
      </c>
      <c r="I730" s="1">
        <f t="shared" si="3"/>
        <v>43</v>
      </c>
    </row>
    <row r="731" spans="1:11" x14ac:dyDescent="0.25">
      <c r="C731" s="1">
        <v>25</v>
      </c>
      <c r="D731" s="1">
        <v>1</v>
      </c>
      <c r="E731" s="1">
        <v>10</v>
      </c>
      <c r="F731" s="1">
        <v>11</v>
      </c>
      <c r="G731" s="1">
        <v>338</v>
      </c>
      <c r="H731" s="1">
        <v>381</v>
      </c>
      <c r="I731" s="1">
        <f t="shared" si="3"/>
        <v>43</v>
      </c>
    </row>
    <row r="732" spans="1:11" x14ac:dyDescent="0.25">
      <c r="C732" s="1">
        <v>25</v>
      </c>
      <c r="D732" s="1">
        <v>1</v>
      </c>
      <c r="E732" s="1">
        <v>10</v>
      </c>
      <c r="F732" s="1">
        <v>12</v>
      </c>
      <c r="G732" s="1">
        <v>383</v>
      </c>
      <c r="H732" s="1">
        <v>432</v>
      </c>
      <c r="I732" s="1">
        <f t="shared" si="3"/>
        <v>49</v>
      </c>
    </row>
    <row r="733" spans="1:11" x14ac:dyDescent="0.25">
      <c r="C733" s="1">
        <v>25</v>
      </c>
      <c r="D733" s="1">
        <v>1</v>
      </c>
      <c r="E733" s="1">
        <v>10</v>
      </c>
      <c r="F733" s="1">
        <v>13</v>
      </c>
      <c r="G733" s="1">
        <v>432</v>
      </c>
      <c r="H733" s="1">
        <v>469</v>
      </c>
      <c r="I733" s="1">
        <f t="shared" si="3"/>
        <v>37</v>
      </c>
    </row>
    <row r="734" spans="1:11" x14ac:dyDescent="0.25">
      <c r="C734" s="1">
        <v>25</v>
      </c>
      <c r="D734" s="1">
        <v>1</v>
      </c>
      <c r="E734" s="1">
        <v>10</v>
      </c>
      <c r="F734" s="1">
        <v>14</v>
      </c>
      <c r="G734" s="1">
        <v>470</v>
      </c>
      <c r="H734" s="1">
        <v>518</v>
      </c>
      <c r="I734" s="1">
        <f t="shared" si="3"/>
        <v>48</v>
      </c>
    </row>
    <row r="735" spans="1:11" x14ac:dyDescent="0.25">
      <c r="C735" s="1">
        <v>25</v>
      </c>
      <c r="D735" s="1">
        <v>1</v>
      </c>
      <c r="E735" s="1">
        <v>10</v>
      </c>
      <c r="F735" s="1">
        <v>15</v>
      </c>
      <c r="G735" s="1">
        <v>518</v>
      </c>
      <c r="H735" s="1">
        <v>540</v>
      </c>
      <c r="I735" s="1">
        <f t="shared" si="3"/>
        <v>22</v>
      </c>
    </row>
    <row r="736" spans="1:11" x14ac:dyDescent="0.25">
      <c r="C736" s="1">
        <v>25</v>
      </c>
      <c r="D736" s="1">
        <v>1</v>
      </c>
      <c r="E736" s="1">
        <v>10</v>
      </c>
      <c r="F736" s="1">
        <v>16</v>
      </c>
      <c r="G736" s="1">
        <v>542</v>
      </c>
      <c r="H736" s="1">
        <v>593</v>
      </c>
      <c r="I736" s="1">
        <f t="shared" si="3"/>
        <v>51</v>
      </c>
    </row>
    <row r="737" spans="1:11" x14ac:dyDescent="0.25">
      <c r="C737" s="1">
        <v>25</v>
      </c>
      <c r="D737" s="1">
        <v>1</v>
      </c>
      <c r="E737" s="1">
        <v>10</v>
      </c>
      <c r="F737" s="1">
        <v>17</v>
      </c>
      <c r="G737" s="1">
        <v>596</v>
      </c>
      <c r="H737" s="1">
        <v>638</v>
      </c>
      <c r="I737" s="1">
        <f t="shared" si="3"/>
        <v>42</v>
      </c>
    </row>
    <row r="738" spans="1:11" x14ac:dyDescent="0.25">
      <c r="C738" s="1">
        <v>25</v>
      </c>
      <c r="D738" s="1">
        <v>1</v>
      </c>
      <c r="E738" s="1">
        <v>10</v>
      </c>
      <c r="F738" s="1">
        <v>18</v>
      </c>
      <c r="G738" s="1">
        <v>638</v>
      </c>
      <c r="H738" s="1">
        <v>680</v>
      </c>
      <c r="I738" s="1">
        <f t="shared" si="3"/>
        <v>42</v>
      </c>
    </row>
    <row r="739" spans="1:11" x14ac:dyDescent="0.25">
      <c r="C739" s="1">
        <v>25</v>
      </c>
      <c r="D739" s="1">
        <v>1</v>
      </c>
      <c r="E739" s="1">
        <v>10</v>
      </c>
      <c r="F739" s="1">
        <v>19</v>
      </c>
      <c r="G739" s="1">
        <v>680</v>
      </c>
      <c r="H739" s="1">
        <v>710</v>
      </c>
      <c r="I739" s="1">
        <f t="shared" si="3"/>
        <v>30</v>
      </c>
    </row>
    <row r="740" spans="1:11" x14ac:dyDescent="0.25">
      <c r="C740" s="1">
        <v>25</v>
      </c>
      <c r="D740" s="1">
        <v>1</v>
      </c>
      <c r="E740" s="1">
        <v>10</v>
      </c>
      <c r="F740" s="1">
        <v>20</v>
      </c>
      <c r="G740" s="1">
        <v>710</v>
      </c>
      <c r="H740" s="1">
        <v>741</v>
      </c>
      <c r="I740" s="1">
        <f t="shared" si="3"/>
        <v>31</v>
      </c>
    </row>
    <row r="741" spans="1:11" x14ac:dyDescent="0.25">
      <c r="C741" s="1">
        <v>25</v>
      </c>
      <c r="D741" s="1">
        <v>1</v>
      </c>
      <c r="E741" s="1">
        <v>10</v>
      </c>
      <c r="F741" s="1">
        <v>21</v>
      </c>
      <c r="G741" s="1">
        <v>741</v>
      </c>
      <c r="H741" s="1">
        <v>752</v>
      </c>
      <c r="I741" s="1">
        <f t="shared" si="3"/>
        <v>11</v>
      </c>
    </row>
    <row r="742" spans="1:11" x14ac:dyDescent="0.25">
      <c r="C742" s="1">
        <v>25</v>
      </c>
      <c r="D742" s="1">
        <v>1</v>
      </c>
      <c r="E742" s="1">
        <v>10</v>
      </c>
      <c r="F742" s="1">
        <v>22</v>
      </c>
      <c r="G742" s="1">
        <v>752</v>
      </c>
      <c r="H742" s="1">
        <v>752</v>
      </c>
      <c r="I742" s="1">
        <f t="shared" si="3"/>
        <v>0</v>
      </c>
    </row>
    <row r="743" spans="1:11" x14ac:dyDescent="0.25">
      <c r="C743" s="1">
        <v>25</v>
      </c>
      <c r="D743" s="1">
        <v>1</v>
      </c>
      <c r="E743" s="1">
        <v>10</v>
      </c>
      <c r="F743" s="1">
        <v>23</v>
      </c>
      <c r="G743" s="1">
        <v>752</v>
      </c>
      <c r="H743" s="1">
        <v>762</v>
      </c>
      <c r="I743" s="1">
        <f t="shared" si="3"/>
        <v>10</v>
      </c>
    </row>
    <row r="744" spans="1:11" x14ac:dyDescent="0.25">
      <c r="C744" s="1">
        <v>25</v>
      </c>
      <c r="D744" s="1">
        <v>1</v>
      </c>
      <c r="E744" s="1">
        <v>10</v>
      </c>
      <c r="F744" s="1">
        <v>24</v>
      </c>
      <c r="G744" s="1">
        <v>762</v>
      </c>
      <c r="H744" s="1">
        <v>771</v>
      </c>
      <c r="I744" s="1">
        <f t="shared" si="3"/>
        <v>9</v>
      </c>
    </row>
    <row r="745" spans="1:11" x14ac:dyDescent="0.25">
      <c r="C745" s="1">
        <v>25</v>
      </c>
      <c r="D745" s="1">
        <v>1</v>
      </c>
      <c r="E745" s="1">
        <v>10</v>
      </c>
      <c r="F745" s="1">
        <v>25</v>
      </c>
      <c r="G745" s="1">
        <v>771</v>
      </c>
      <c r="H745" s="1">
        <v>771</v>
      </c>
      <c r="I745" s="1">
        <f t="shared" si="3"/>
        <v>0</v>
      </c>
    </row>
    <row r="746" spans="1:11" x14ac:dyDescent="0.25">
      <c r="A746" s="5">
        <v>1</v>
      </c>
      <c r="B746" s="2">
        <v>43959</v>
      </c>
      <c r="C746" s="1">
        <v>26</v>
      </c>
      <c r="D746" s="1">
        <v>2</v>
      </c>
      <c r="E746" s="1">
        <v>10</v>
      </c>
      <c r="F746" s="1">
        <v>1</v>
      </c>
      <c r="G746" s="1">
        <v>0</v>
      </c>
      <c r="H746" s="1">
        <v>0</v>
      </c>
      <c r="I746" s="1">
        <f t="shared" si="3"/>
        <v>0</v>
      </c>
      <c r="J746" s="8">
        <f>(I746+I747+I748+I760+I759+I758+I753+I754+I752)/9</f>
        <v>13.666666666666666</v>
      </c>
      <c r="K746" s="8">
        <f>AVERAGE(I746:I760)</f>
        <v>15.333333333333334</v>
      </c>
    </row>
    <row r="747" spans="1:11" x14ac:dyDescent="0.25">
      <c r="C747" s="1">
        <v>26</v>
      </c>
      <c r="D747" s="1">
        <v>2</v>
      </c>
      <c r="E747" s="1">
        <v>10</v>
      </c>
      <c r="F747" s="1">
        <v>2</v>
      </c>
      <c r="G747" s="1">
        <v>0</v>
      </c>
      <c r="H747" s="1">
        <v>0</v>
      </c>
      <c r="I747" s="1">
        <f t="shared" si="3"/>
        <v>0</v>
      </c>
    </row>
    <row r="748" spans="1:11" x14ac:dyDescent="0.25">
      <c r="C748" s="1">
        <v>26</v>
      </c>
      <c r="D748" s="1">
        <v>2</v>
      </c>
      <c r="E748" s="1">
        <v>10</v>
      </c>
      <c r="F748" s="1">
        <v>3</v>
      </c>
      <c r="G748" s="1">
        <v>0</v>
      </c>
      <c r="H748" s="1">
        <v>28</v>
      </c>
      <c r="I748" s="1">
        <f t="shared" si="3"/>
        <v>28</v>
      </c>
    </row>
    <row r="749" spans="1:11" x14ac:dyDescent="0.25">
      <c r="C749" s="1">
        <v>26</v>
      </c>
      <c r="D749" s="1">
        <v>2</v>
      </c>
      <c r="E749" s="1">
        <v>10</v>
      </c>
      <c r="F749" s="1">
        <v>4</v>
      </c>
      <c r="G749" s="1">
        <v>28</v>
      </c>
      <c r="H749" s="1">
        <v>50</v>
      </c>
      <c r="I749" s="1">
        <f t="shared" si="3"/>
        <v>22</v>
      </c>
    </row>
    <row r="750" spans="1:11" x14ac:dyDescent="0.25">
      <c r="C750" s="1">
        <v>26</v>
      </c>
      <c r="D750" s="1">
        <v>2</v>
      </c>
      <c r="E750" s="1">
        <v>10</v>
      </c>
      <c r="F750" s="1">
        <v>5</v>
      </c>
      <c r="G750" s="1">
        <v>55</v>
      </c>
      <c r="H750" s="1">
        <v>91</v>
      </c>
      <c r="I750" s="1">
        <f t="shared" si="3"/>
        <v>36</v>
      </c>
    </row>
    <row r="751" spans="1:11" x14ac:dyDescent="0.25">
      <c r="C751" s="1">
        <v>26</v>
      </c>
      <c r="D751" s="1">
        <v>2</v>
      </c>
      <c r="E751" s="1">
        <v>10</v>
      </c>
      <c r="F751" s="1">
        <v>6</v>
      </c>
      <c r="G751" s="1">
        <v>91</v>
      </c>
      <c r="H751" s="1">
        <v>98</v>
      </c>
      <c r="I751" s="1">
        <f t="shared" si="3"/>
        <v>7</v>
      </c>
    </row>
    <row r="752" spans="1:11" x14ac:dyDescent="0.25">
      <c r="C752" s="1">
        <v>26</v>
      </c>
      <c r="D752" s="1">
        <v>2</v>
      </c>
      <c r="E752" s="1">
        <v>10</v>
      </c>
      <c r="F752" s="1">
        <v>7</v>
      </c>
      <c r="G752" s="1">
        <v>101</v>
      </c>
      <c r="H752" s="1">
        <v>101</v>
      </c>
      <c r="I752" s="1">
        <f t="shared" si="3"/>
        <v>0</v>
      </c>
    </row>
    <row r="753" spans="1:11" x14ac:dyDescent="0.25">
      <c r="C753" s="1">
        <v>26</v>
      </c>
      <c r="D753" s="1">
        <v>2</v>
      </c>
      <c r="E753" s="1">
        <v>10</v>
      </c>
      <c r="F753" s="1">
        <v>8</v>
      </c>
      <c r="G753" s="1">
        <v>108</v>
      </c>
      <c r="H753" s="1">
        <v>153</v>
      </c>
      <c r="I753" s="1">
        <f t="shared" si="3"/>
        <v>45</v>
      </c>
    </row>
    <row r="754" spans="1:11" x14ac:dyDescent="0.25">
      <c r="C754" s="1">
        <v>26</v>
      </c>
      <c r="D754" s="1">
        <v>2</v>
      </c>
      <c r="E754" s="1">
        <v>10</v>
      </c>
      <c r="F754" s="1">
        <v>9</v>
      </c>
      <c r="G754" s="1">
        <v>154</v>
      </c>
      <c r="H754" s="1">
        <v>154</v>
      </c>
      <c r="I754" s="1">
        <f t="shared" si="3"/>
        <v>0</v>
      </c>
    </row>
    <row r="755" spans="1:11" x14ac:dyDescent="0.25">
      <c r="C755" s="1">
        <v>26</v>
      </c>
      <c r="D755" s="1">
        <v>2</v>
      </c>
      <c r="E755" s="1">
        <v>10</v>
      </c>
      <c r="F755" s="1">
        <v>10</v>
      </c>
      <c r="G755" s="1">
        <v>154</v>
      </c>
      <c r="H755" s="1">
        <v>169</v>
      </c>
      <c r="I755" s="1">
        <f t="shared" si="3"/>
        <v>15</v>
      </c>
    </row>
    <row r="756" spans="1:11" x14ac:dyDescent="0.25">
      <c r="C756" s="1">
        <v>26</v>
      </c>
      <c r="D756" s="1">
        <v>2</v>
      </c>
      <c r="E756" s="1">
        <v>10</v>
      </c>
      <c r="F756" s="1">
        <v>11</v>
      </c>
      <c r="G756" s="1">
        <v>169</v>
      </c>
      <c r="H756" s="1">
        <v>196</v>
      </c>
      <c r="I756" s="1">
        <f t="shared" si="3"/>
        <v>27</v>
      </c>
    </row>
    <row r="757" spans="1:11" x14ac:dyDescent="0.25">
      <c r="C757" s="1">
        <v>26</v>
      </c>
      <c r="D757" s="1">
        <v>2</v>
      </c>
      <c r="E757" s="1">
        <v>10</v>
      </c>
      <c r="F757" s="1">
        <v>12</v>
      </c>
      <c r="G757" s="1">
        <v>197</v>
      </c>
      <c r="H757" s="1">
        <v>197</v>
      </c>
      <c r="I757" s="1">
        <f t="shared" si="3"/>
        <v>0</v>
      </c>
    </row>
    <row r="758" spans="1:11" x14ac:dyDescent="0.25">
      <c r="C758" s="1">
        <v>26</v>
      </c>
      <c r="D758" s="1">
        <v>2</v>
      </c>
      <c r="E758" s="1">
        <v>10</v>
      </c>
      <c r="F758" s="1">
        <v>13</v>
      </c>
      <c r="G758" s="1">
        <v>197</v>
      </c>
      <c r="H758" s="1">
        <v>215</v>
      </c>
      <c r="I758" s="1">
        <f t="shared" si="3"/>
        <v>18</v>
      </c>
    </row>
    <row r="759" spans="1:11" x14ac:dyDescent="0.25">
      <c r="C759" s="1">
        <v>26</v>
      </c>
      <c r="D759" s="1">
        <v>2</v>
      </c>
      <c r="E759" s="1">
        <v>10</v>
      </c>
      <c r="F759" s="1">
        <v>14</v>
      </c>
      <c r="G759" s="1">
        <v>215</v>
      </c>
      <c r="H759" s="1">
        <v>234</v>
      </c>
      <c r="I759" s="1">
        <f t="shared" si="3"/>
        <v>19</v>
      </c>
    </row>
    <row r="760" spans="1:11" x14ac:dyDescent="0.25">
      <c r="C760" s="1">
        <v>26</v>
      </c>
      <c r="D760" s="1">
        <v>2</v>
      </c>
      <c r="E760" s="1">
        <v>10</v>
      </c>
      <c r="F760" s="1">
        <v>15</v>
      </c>
      <c r="G760" s="1">
        <v>234</v>
      </c>
      <c r="H760" s="1">
        <v>247</v>
      </c>
      <c r="I760" s="1">
        <f t="shared" si="3"/>
        <v>13</v>
      </c>
    </row>
    <row r="761" spans="1:11" x14ac:dyDescent="0.25">
      <c r="A761" s="5">
        <v>2</v>
      </c>
      <c r="B761" s="2">
        <v>43971</v>
      </c>
      <c r="C761" s="1">
        <v>21</v>
      </c>
      <c r="D761" s="1">
        <v>2</v>
      </c>
      <c r="E761" s="1">
        <v>10</v>
      </c>
      <c r="F761" s="1">
        <v>1</v>
      </c>
      <c r="G761" s="1">
        <v>3</v>
      </c>
      <c r="H761" s="1">
        <v>53</v>
      </c>
      <c r="I761" s="1">
        <f t="shared" si="3"/>
        <v>50</v>
      </c>
      <c r="J761" s="8">
        <f>(I761+I762+I763+I785+I784+I783+I772+I773+I774)/9</f>
        <v>47.777777777777779</v>
      </c>
      <c r="K761" s="8">
        <f>AVERAGE(I761:I785)</f>
        <v>45.84</v>
      </c>
    </row>
    <row r="762" spans="1:11" x14ac:dyDescent="0.25">
      <c r="C762" s="1">
        <v>21</v>
      </c>
      <c r="D762" s="1">
        <v>2</v>
      </c>
      <c r="E762" s="1">
        <v>10</v>
      </c>
      <c r="F762" s="1">
        <v>2</v>
      </c>
      <c r="G762" s="1">
        <v>53</v>
      </c>
      <c r="H762" s="1">
        <v>102</v>
      </c>
      <c r="I762" s="1">
        <f t="shared" si="3"/>
        <v>49</v>
      </c>
    </row>
    <row r="763" spans="1:11" x14ac:dyDescent="0.25">
      <c r="C763" s="1">
        <v>21</v>
      </c>
      <c r="D763" s="1">
        <v>2</v>
      </c>
      <c r="E763" s="1">
        <v>10</v>
      </c>
      <c r="F763" s="1">
        <v>3</v>
      </c>
      <c r="G763" s="1">
        <v>102</v>
      </c>
      <c r="H763" s="1">
        <v>148</v>
      </c>
      <c r="I763" s="1">
        <f t="shared" si="3"/>
        <v>46</v>
      </c>
    </row>
    <row r="764" spans="1:11" x14ac:dyDescent="0.25">
      <c r="C764" s="1">
        <v>21</v>
      </c>
      <c r="D764" s="1">
        <v>2</v>
      </c>
      <c r="E764" s="1">
        <v>10</v>
      </c>
      <c r="F764" s="1">
        <v>4</v>
      </c>
      <c r="G764" s="1">
        <v>148</v>
      </c>
      <c r="H764" s="1">
        <v>198</v>
      </c>
      <c r="I764" s="1">
        <f t="shared" si="3"/>
        <v>50</v>
      </c>
    </row>
    <row r="765" spans="1:11" x14ac:dyDescent="0.25">
      <c r="C765" s="1">
        <v>21</v>
      </c>
      <c r="D765" s="1">
        <v>2</v>
      </c>
      <c r="E765" s="1">
        <v>10</v>
      </c>
      <c r="F765" s="1">
        <v>5</v>
      </c>
      <c r="G765" s="1">
        <v>198</v>
      </c>
      <c r="H765" s="1">
        <v>240</v>
      </c>
      <c r="I765" s="1">
        <f t="shared" si="3"/>
        <v>42</v>
      </c>
    </row>
    <row r="766" spans="1:11" x14ac:dyDescent="0.25">
      <c r="C766" s="1">
        <v>21</v>
      </c>
      <c r="D766" s="1">
        <v>2</v>
      </c>
      <c r="E766" s="1">
        <v>10</v>
      </c>
      <c r="F766" s="1">
        <v>6</v>
      </c>
      <c r="G766" s="1">
        <v>241</v>
      </c>
      <c r="H766" s="1">
        <v>286</v>
      </c>
      <c r="I766" s="1">
        <f t="shared" si="3"/>
        <v>45</v>
      </c>
    </row>
    <row r="767" spans="1:11" x14ac:dyDescent="0.25">
      <c r="C767" s="1">
        <v>21</v>
      </c>
      <c r="D767" s="1">
        <v>2</v>
      </c>
      <c r="E767" s="1">
        <v>10</v>
      </c>
      <c r="F767" s="1">
        <v>7</v>
      </c>
      <c r="G767" s="1">
        <v>286</v>
      </c>
      <c r="H767" s="1">
        <v>332</v>
      </c>
      <c r="I767" s="1">
        <f t="shared" si="3"/>
        <v>46</v>
      </c>
    </row>
    <row r="768" spans="1:11" x14ac:dyDescent="0.25">
      <c r="C768" s="1">
        <v>21</v>
      </c>
      <c r="D768" s="1">
        <v>2</v>
      </c>
      <c r="E768" s="1">
        <v>10</v>
      </c>
      <c r="F768" s="1">
        <v>8</v>
      </c>
      <c r="G768" s="1">
        <v>332</v>
      </c>
      <c r="H768" s="1">
        <v>376</v>
      </c>
      <c r="I768" s="1">
        <f t="shared" si="3"/>
        <v>44</v>
      </c>
    </row>
    <row r="769" spans="3:9" x14ac:dyDescent="0.25">
      <c r="C769" s="1">
        <v>21</v>
      </c>
      <c r="D769" s="1">
        <v>2</v>
      </c>
      <c r="E769" s="1">
        <v>10</v>
      </c>
      <c r="F769" s="1">
        <v>9</v>
      </c>
      <c r="G769" s="1">
        <v>376</v>
      </c>
      <c r="H769" s="1">
        <v>416</v>
      </c>
      <c r="I769" s="1">
        <f t="shared" si="3"/>
        <v>40</v>
      </c>
    </row>
    <row r="770" spans="3:9" x14ac:dyDescent="0.25">
      <c r="C770" s="1">
        <v>21</v>
      </c>
      <c r="D770" s="1">
        <v>2</v>
      </c>
      <c r="E770" s="1">
        <v>10</v>
      </c>
      <c r="F770" s="1">
        <v>10</v>
      </c>
      <c r="G770" s="1">
        <v>416</v>
      </c>
      <c r="H770" s="1">
        <v>466</v>
      </c>
      <c r="I770" s="1">
        <f t="shared" si="3"/>
        <v>50</v>
      </c>
    </row>
    <row r="771" spans="3:9" x14ac:dyDescent="0.25">
      <c r="C771" s="1">
        <v>21</v>
      </c>
      <c r="D771" s="1">
        <v>2</v>
      </c>
      <c r="E771" s="1">
        <v>10</v>
      </c>
      <c r="F771" s="1">
        <v>11</v>
      </c>
      <c r="G771" s="1">
        <v>466</v>
      </c>
      <c r="H771" s="1">
        <v>504</v>
      </c>
      <c r="I771" s="1">
        <f t="shared" si="3"/>
        <v>38</v>
      </c>
    </row>
    <row r="772" spans="3:9" x14ac:dyDescent="0.25">
      <c r="C772" s="1">
        <v>21</v>
      </c>
      <c r="D772" s="1">
        <v>2</v>
      </c>
      <c r="E772" s="1">
        <v>10</v>
      </c>
      <c r="F772" s="1">
        <v>12</v>
      </c>
      <c r="G772" s="1">
        <v>509</v>
      </c>
      <c r="H772" s="1">
        <v>556</v>
      </c>
      <c r="I772" s="1">
        <f t="shared" si="3"/>
        <v>47</v>
      </c>
    </row>
    <row r="773" spans="3:9" x14ac:dyDescent="0.25">
      <c r="C773" s="1">
        <v>21</v>
      </c>
      <c r="D773" s="1">
        <v>2</v>
      </c>
      <c r="E773" s="1">
        <v>10</v>
      </c>
      <c r="F773" s="1">
        <v>13</v>
      </c>
      <c r="G773" s="1">
        <v>556</v>
      </c>
      <c r="H773" s="1">
        <v>607</v>
      </c>
      <c r="I773" s="1">
        <f t="shared" si="3"/>
        <v>51</v>
      </c>
    </row>
    <row r="774" spans="3:9" x14ac:dyDescent="0.25">
      <c r="C774" s="1">
        <v>21</v>
      </c>
      <c r="D774" s="1">
        <v>2</v>
      </c>
      <c r="E774" s="1">
        <v>10</v>
      </c>
      <c r="F774" s="1">
        <v>14</v>
      </c>
      <c r="G774" s="1">
        <v>607</v>
      </c>
      <c r="H774" s="1">
        <v>663</v>
      </c>
      <c r="I774" s="1">
        <f t="shared" si="3"/>
        <v>56</v>
      </c>
    </row>
    <row r="775" spans="3:9" x14ac:dyDescent="0.25">
      <c r="C775" s="1">
        <v>21</v>
      </c>
      <c r="D775" s="1">
        <v>2</v>
      </c>
      <c r="E775" s="1">
        <v>10</v>
      </c>
      <c r="F775" s="1">
        <v>15</v>
      </c>
      <c r="G775" s="1">
        <v>663</v>
      </c>
      <c r="H775" s="1">
        <v>710</v>
      </c>
      <c r="I775" s="1">
        <f t="shared" si="3"/>
        <v>47</v>
      </c>
    </row>
    <row r="776" spans="3:9" x14ac:dyDescent="0.25">
      <c r="C776" s="1">
        <v>21</v>
      </c>
      <c r="D776" s="1">
        <v>2</v>
      </c>
      <c r="E776" s="1">
        <v>10</v>
      </c>
      <c r="F776" s="1">
        <v>16</v>
      </c>
      <c r="G776" s="1">
        <v>710</v>
      </c>
      <c r="H776" s="1">
        <v>750</v>
      </c>
      <c r="I776" s="1">
        <f t="shared" si="3"/>
        <v>40</v>
      </c>
    </row>
    <row r="777" spans="3:9" x14ac:dyDescent="0.25">
      <c r="C777" s="1">
        <v>21</v>
      </c>
      <c r="D777" s="1">
        <v>2</v>
      </c>
      <c r="E777" s="1">
        <v>10</v>
      </c>
      <c r="F777" s="1">
        <v>17</v>
      </c>
      <c r="G777" s="1">
        <v>750</v>
      </c>
      <c r="H777" s="1">
        <v>800</v>
      </c>
      <c r="I777" s="1">
        <f t="shared" si="3"/>
        <v>50</v>
      </c>
    </row>
    <row r="778" spans="3:9" x14ac:dyDescent="0.25">
      <c r="C778" s="1">
        <v>21</v>
      </c>
      <c r="D778" s="1">
        <v>2</v>
      </c>
      <c r="E778" s="1">
        <v>10</v>
      </c>
      <c r="F778" s="1">
        <v>18</v>
      </c>
      <c r="G778" s="1">
        <v>800</v>
      </c>
      <c r="H778" s="1">
        <v>839</v>
      </c>
      <c r="I778" s="1">
        <f t="shared" si="3"/>
        <v>39</v>
      </c>
    </row>
    <row r="779" spans="3:9" x14ac:dyDescent="0.25">
      <c r="C779" s="1">
        <v>21</v>
      </c>
      <c r="D779" s="1">
        <v>2</v>
      </c>
      <c r="E779" s="1">
        <v>10</v>
      </c>
      <c r="F779" s="1">
        <v>19</v>
      </c>
      <c r="G779" s="1">
        <v>839</v>
      </c>
      <c r="H779" s="1">
        <v>889</v>
      </c>
      <c r="I779" s="1">
        <f t="shared" si="3"/>
        <v>50</v>
      </c>
    </row>
    <row r="780" spans="3:9" x14ac:dyDescent="0.25">
      <c r="C780" s="1">
        <v>21</v>
      </c>
      <c r="D780" s="1">
        <v>2</v>
      </c>
      <c r="E780" s="1">
        <v>10</v>
      </c>
      <c r="F780" s="1">
        <v>20</v>
      </c>
      <c r="G780" s="1">
        <v>889</v>
      </c>
      <c r="H780" s="1">
        <v>935</v>
      </c>
      <c r="I780" s="1">
        <f t="shared" si="3"/>
        <v>46</v>
      </c>
    </row>
    <row r="781" spans="3:9" x14ac:dyDescent="0.25">
      <c r="C781" s="1">
        <v>21</v>
      </c>
      <c r="D781" s="1">
        <v>2</v>
      </c>
      <c r="E781" s="1">
        <v>10</v>
      </c>
      <c r="F781" s="1">
        <v>21</v>
      </c>
      <c r="G781" s="1">
        <v>935</v>
      </c>
      <c r="H781" s="1">
        <v>983</v>
      </c>
      <c r="I781" s="1">
        <f t="shared" si="3"/>
        <v>48</v>
      </c>
    </row>
    <row r="782" spans="3:9" x14ac:dyDescent="0.25">
      <c r="C782" s="1">
        <v>21</v>
      </c>
      <c r="D782" s="1">
        <v>2</v>
      </c>
      <c r="E782" s="1">
        <v>10</v>
      </c>
      <c r="F782" s="1">
        <v>22</v>
      </c>
      <c r="G782" s="1">
        <v>983</v>
      </c>
      <c r="H782" s="1">
        <v>1024</v>
      </c>
      <c r="I782" s="1">
        <f t="shared" si="3"/>
        <v>41</v>
      </c>
    </row>
    <row r="783" spans="3:9" x14ac:dyDescent="0.25">
      <c r="C783" s="1">
        <v>21</v>
      </c>
      <c r="D783" s="1">
        <v>2</v>
      </c>
      <c r="E783" s="1">
        <v>10</v>
      </c>
      <c r="F783" s="1">
        <v>23</v>
      </c>
      <c r="G783" s="1">
        <v>1024</v>
      </c>
      <c r="H783" s="1">
        <v>1061</v>
      </c>
      <c r="I783" s="1">
        <f t="shared" si="3"/>
        <v>37</v>
      </c>
    </row>
    <row r="784" spans="3:9" x14ac:dyDescent="0.25">
      <c r="C784" s="1">
        <v>21</v>
      </c>
      <c r="D784" s="1">
        <v>2</v>
      </c>
      <c r="E784" s="1">
        <v>10</v>
      </c>
      <c r="F784" s="1">
        <v>24</v>
      </c>
      <c r="G784" s="1">
        <v>1061</v>
      </c>
      <c r="H784" s="1">
        <v>1106</v>
      </c>
      <c r="I784" s="1">
        <f t="shared" si="3"/>
        <v>45</v>
      </c>
    </row>
    <row r="785" spans="1:11" x14ac:dyDescent="0.25">
      <c r="C785" s="1">
        <v>21</v>
      </c>
      <c r="D785" s="1">
        <v>2</v>
      </c>
      <c r="E785" s="1">
        <v>10</v>
      </c>
      <c r="F785" s="1">
        <v>25</v>
      </c>
      <c r="G785" s="1">
        <v>1106</v>
      </c>
      <c r="H785" s="1">
        <v>1155</v>
      </c>
      <c r="I785" s="1">
        <f t="shared" si="3"/>
        <v>49</v>
      </c>
    </row>
    <row r="786" spans="1:11" x14ac:dyDescent="0.25">
      <c r="A786" s="5">
        <v>2</v>
      </c>
      <c r="B786" s="2">
        <v>43966</v>
      </c>
      <c r="C786" s="1">
        <v>22</v>
      </c>
      <c r="D786" s="1">
        <v>1</v>
      </c>
      <c r="E786" s="1">
        <v>10</v>
      </c>
      <c r="F786" s="1">
        <v>1</v>
      </c>
      <c r="G786" s="1">
        <v>0</v>
      </c>
      <c r="H786" s="1">
        <v>49</v>
      </c>
      <c r="I786" s="1">
        <f t="shared" si="3"/>
        <v>49</v>
      </c>
      <c r="J786" s="8">
        <f>(I786+I787+I788+I810+I809+I808+I797+I798+I799)/9</f>
        <v>49.333333333333336</v>
      </c>
      <c r="K786" s="8">
        <f>AVERAGE(I786:I810)</f>
        <v>43.16</v>
      </c>
    </row>
    <row r="787" spans="1:11" x14ac:dyDescent="0.25">
      <c r="C787" s="1">
        <v>22</v>
      </c>
      <c r="D787" s="1">
        <v>1</v>
      </c>
      <c r="E787" s="1">
        <v>10</v>
      </c>
      <c r="F787" s="1">
        <v>2</v>
      </c>
      <c r="G787" s="1">
        <v>19</v>
      </c>
      <c r="H787" s="1">
        <v>94</v>
      </c>
      <c r="I787" s="1">
        <f t="shared" si="3"/>
        <v>75</v>
      </c>
    </row>
    <row r="788" spans="1:11" x14ac:dyDescent="0.25">
      <c r="C788" s="1">
        <v>22</v>
      </c>
      <c r="D788" s="1">
        <v>1</v>
      </c>
      <c r="E788" s="1">
        <v>10</v>
      </c>
      <c r="F788" s="1">
        <v>3</v>
      </c>
      <c r="G788" s="1">
        <v>94</v>
      </c>
      <c r="H788" s="1">
        <v>142</v>
      </c>
      <c r="I788" s="1">
        <f t="shared" si="3"/>
        <v>48</v>
      </c>
    </row>
    <row r="789" spans="1:11" x14ac:dyDescent="0.25">
      <c r="C789" s="1">
        <v>22</v>
      </c>
      <c r="D789" s="1">
        <v>1</v>
      </c>
      <c r="E789" s="1">
        <v>10</v>
      </c>
      <c r="F789" s="1">
        <v>4</v>
      </c>
      <c r="G789" s="1">
        <v>142</v>
      </c>
      <c r="H789" s="1">
        <v>195</v>
      </c>
      <c r="I789" s="1">
        <f t="shared" si="3"/>
        <v>53</v>
      </c>
    </row>
    <row r="790" spans="1:11" x14ac:dyDescent="0.25">
      <c r="C790" s="1">
        <v>22</v>
      </c>
      <c r="D790" s="1">
        <v>1</v>
      </c>
      <c r="E790" s="1">
        <v>10</v>
      </c>
      <c r="F790" s="1">
        <v>5</v>
      </c>
      <c r="G790" s="1">
        <v>195</v>
      </c>
      <c r="H790" s="1">
        <v>243</v>
      </c>
      <c r="I790" s="1">
        <f t="shared" si="3"/>
        <v>48</v>
      </c>
    </row>
    <row r="791" spans="1:11" x14ac:dyDescent="0.25">
      <c r="C791" s="1">
        <v>22</v>
      </c>
      <c r="D791" s="1">
        <v>1</v>
      </c>
      <c r="E791" s="1">
        <v>10</v>
      </c>
      <c r="F791" s="1">
        <v>6</v>
      </c>
      <c r="G791" s="1">
        <v>248</v>
      </c>
      <c r="H791" s="1">
        <v>296</v>
      </c>
      <c r="I791" s="1">
        <f t="shared" si="3"/>
        <v>48</v>
      </c>
    </row>
    <row r="792" spans="1:11" x14ac:dyDescent="0.25">
      <c r="C792" s="1">
        <v>22</v>
      </c>
      <c r="D792" s="1">
        <v>1</v>
      </c>
      <c r="E792" s="1">
        <v>10</v>
      </c>
      <c r="F792" s="1">
        <v>7</v>
      </c>
      <c r="G792" s="1">
        <v>296</v>
      </c>
      <c r="H792" s="1">
        <v>310</v>
      </c>
      <c r="I792" s="1">
        <f t="shared" si="3"/>
        <v>14</v>
      </c>
    </row>
    <row r="793" spans="1:11" x14ac:dyDescent="0.25">
      <c r="C793" s="1">
        <v>22</v>
      </c>
      <c r="D793" s="1">
        <v>1</v>
      </c>
      <c r="E793" s="1">
        <v>10</v>
      </c>
      <c r="F793" s="1">
        <v>8</v>
      </c>
      <c r="G793" s="1">
        <v>310</v>
      </c>
      <c r="H793" s="1">
        <v>363</v>
      </c>
      <c r="I793" s="1">
        <f t="shared" si="3"/>
        <v>53</v>
      </c>
    </row>
    <row r="794" spans="1:11" x14ac:dyDescent="0.25">
      <c r="C794" s="1">
        <v>22</v>
      </c>
      <c r="D794" s="1">
        <v>1</v>
      </c>
      <c r="E794" s="1">
        <v>10</v>
      </c>
      <c r="F794" s="1">
        <v>9</v>
      </c>
      <c r="G794" s="1">
        <v>364</v>
      </c>
      <c r="H794" s="1">
        <v>396</v>
      </c>
      <c r="I794" s="1">
        <f t="shared" si="3"/>
        <v>32</v>
      </c>
    </row>
    <row r="795" spans="1:11" x14ac:dyDescent="0.25">
      <c r="C795" s="1">
        <v>22</v>
      </c>
      <c r="D795" s="1">
        <v>1</v>
      </c>
      <c r="E795" s="1">
        <v>10</v>
      </c>
      <c r="F795" s="1">
        <v>10</v>
      </c>
      <c r="G795" s="1">
        <v>396</v>
      </c>
      <c r="H795" s="1">
        <v>420</v>
      </c>
      <c r="I795" s="1">
        <f t="shared" si="3"/>
        <v>24</v>
      </c>
    </row>
    <row r="796" spans="1:11" x14ac:dyDescent="0.25">
      <c r="C796" s="1">
        <v>22</v>
      </c>
      <c r="D796" s="1">
        <v>1</v>
      </c>
      <c r="E796" s="1">
        <v>10</v>
      </c>
      <c r="F796" s="1">
        <v>11</v>
      </c>
      <c r="G796" s="1">
        <v>424</v>
      </c>
      <c r="H796" s="1">
        <v>480</v>
      </c>
      <c r="I796" s="1">
        <f t="shared" si="3"/>
        <v>56</v>
      </c>
    </row>
    <row r="797" spans="1:11" x14ac:dyDescent="0.25">
      <c r="C797" s="1">
        <v>22</v>
      </c>
      <c r="D797" s="1">
        <v>1</v>
      </c>
      <c r="E797" s="1">
        <v>10</v>
      </c>
      <c r="F797" s="1">
        <v>12</v>
      </c>
      <c r="G797" s="1">
        <v>481</v>
      </c>
      <c r="H797" s="1">
        <v>530</v>
      </c>
      <c r="I797" s="1">
        <f t="shared" si="3"/>
        <v>49</v>
      </c>
    </row>
    <row r="798" spans="1:11" x14ac:dyDescent="0.25">
      <c r="C798" s="1">
        <v>22</v>
      </c>
      <c r="D798" s="1">
        <v>1</v>
      </c>
      <c r="E798" s="1">
        <v>10</v>
      </c>
      <c r="F798" s="1">
        <v>13</v>
      </c>
      <c r="G798" s="1">
        <v>530</v>
      </c>
      <c r="H798" s="1">
        <v>582</v>
      </c>
      <c r="I798" s="1">
        <f t="shared" si="3"/>
        <v>52</v>
      </c>
    </row>
    <row r="799" spans="1:11" x14ac:dyDescent="0.25">
      <c r="C799" s="1">
        <v>22</v>
      </c>
      <c r="D799" s="1">
        <v>1</v>
      </c>
      <c r="E799" s="1">
        <v>10</v>
      </c>
      <c r="F799" s="1">
        <v>14</v>
      </c>
      <c r="G799" s="1">
        <v>582</v>
      </c>
      <c r="H799" s="1">
        <v>618</v>
      </c>
      <c r="I799" s="1">
        <f t="shared" si="3"/>
        <v>36</v>
      </c>
    </row>
    <row r="800" spans="1:11" x14ac:dyDescent="0.25">
      <c r="C800" s="1">
        <v>22</v>
      </c>
      <c r="D800" s="1">
        <v>1</v>
      </c>
      <c r="E800" s="1">
        <v>10</v>
      </c>
      <c r="F800" s="1">
        <v>15</v>
      </c>
      <c r="G800" s="1">
        <v>621</v>
      </c>
      <c r="H800" s="1">
        <v>633</v>
      </c>
      <c r="I800" s="1">
        <f t="shared" si="3"/>
        <v>12</v>
      </c>
    </row>
    <row r="801" spans="1:11" x14ac:dyDescent="0.25">
      <c r="C801" s="1">
        <v>22</v>
      </c>
      <c r="D801" s="1">
        <v>1</v>
      </c>
      <c r="E801" s="1">
        <v>10</v>
      </c>
      <c r="F801" s="1">
        <v>16</v>
      </c>
      <c r="G801" s="1">
        <v>633</v>
      </c>
      <c r="H801" s="1">
        <v>668</v>
      </c>
      <c r="I801" s="1">
        <f t="shared" si="3"/>
        <v>35</v>
      </c>
    </row>
    <row r="802" spans="1:11" x14ac:dyDescent="0.25">
      <c r="C802" s="1">
        <v>22</v>
      </c>
      <c r="D802" s="1">
        <v>1</v>
      </c>
      <c r="E802" s="1">
        <v>10</v>
      </c>
      <c r="F802" s="1">
        <v>17</v>
      </c>
      <c r="G802" s="1">
        <v>668</v>
      </c>
      <c r="H802" s="1">
        <v>700</v>
      </c>
      <c r="I802" s="1">
        <f t="shared" si="3"/>
        <v>32</v>
      </c>
    </row>
    <row r="803" spans="1:11" x14ac:dyDescent="0.25">
      <c r="C803" s="1">
        <v>22</v>
      </c>
      <c r="D803" s="1">
        <v>1</v>
      </c>
      <c r="E803" s="1">
        <v>10</v>
      </c>
      <c r="F803" s="1">
        <v>18</v>
      </c>
      <c r="G803" s="1">
        <v>700</v>
      </c>
      <c r="H803" s="1">
        <v>752</v>
      </c>
      <c r="I803" s="1">
        <f t="shared" si="3"/>
        <v>52</v>
      </c>
    </row>
    <row r="804" spans="1:11" x14ac:dyDescent="0.25">
      <c r="C804" s="1">
        <v>22</v>
      </c>
      <c r="D804" s="1">
        <v>1</v>
      </c>
      <c r="E804" s="1">
        <v>10</v>
      </c>
      <c r="F804" s="1">
        <v>19</v>
      </c>
      <c r="G804" s="1">
        <v>752</v>
      </c>
      <c r="H804" s="1">
        <v>809</v>
      </c>
      <c r="I804" s="1">
        <f t="shared" si="3"/>
        <v>57</v>
      </c>
    </row>
    <row r="805" spans="1:11" x14ac:dyDescent="0.25">
      <c r="C805" s="1">
        <v>22</v>
      </c>
      <c r="D805" s="1">
        <v>1</v>
      </c>
      <c r="E805" s="1">
        <v>10</v>
      </c>
      <c r="F805" s="1">
        <v>20</v>
      </c>
      <c r="G805" s="1">
        <v>809</v>
      </c>
      <c r="H805" s="1">
        <v>839</v>
      </c>
      <c r="I805" s="1">
        <f t="shared" si="3"/>
        <v>30</v>
      </c>
    </row>
    <row r="806" spans="1:11" x14ac:dyDescent="0.25">
      <c r="C806" s="1">
        <v>22</v>
      </c>
      <c r="D806" s="1">
        <v>1</v>
      </c>
      <c r="E806" s="1">
        <v>10</v>
      </c>
      <c r="F806" s="1">
        <v>21</v>
      </c>
      <c r="G806" s="1">
        <v>841</v>
      </c>
      <c r="H806" s="1">
        <v>886</v>
      </c>
      <c r="I806" s="1">
        <f t="shared" si="3"/>
        <v>45</v>
      </c>
    </row>
    <row r="807" spans="1:11" x14ac:dyDescent="0.25">
      <c r="C807" s="1">
        <v>22</v>
      </c>
      <c r="D807" s="1">
        <v>1</v>
      </c>
      <c r="E807" s="1">
        <v>10</v>
      </c>
      <c r="F807" s="1">
        <v>22</v>
      </c>
      <c r="G807" s="1">
        <v>886</v>
      </c>
      <c r="H807" s="1">
        <v>930</v>
      </c>
      <c r="I807" s="1">
        <f t="shared" si="3"/>
        <v>44</v>
      </c>
    </row>
    <row r="808" spans="1:11" x14ac:dyDescent="0.25">
      <c r="C808" s="1">
        <v>22</v>
      </c>
      <c r="D808" s="1">
        <v>1</v>
      </c>
      <c r="E808" s="1">
        <v>10</v>
      </c>
      <c r="F808" s="1">
        <v>23</v>
      </c>
      <c r="G808" s="1">
        <v>930</v>
      </c>
      <c r="H808" s="1">
        <v>964</v>
      </c>
      <c r="I808" s="1">
        <f t="shared" si="3"/>
        <v>34</v>
      </c>
    </row>
    <row r="809" spans="1:11" x14ac:dyDescent="0.25">
      <c r="C809" s="1">
        <v>22</v>
      </c>
      <c r="D809" s="1">
        <v>1</v>
      </c>
      <c r="E809" s="1">
        <v>10</v>
      </c>
      <c r="F809" s="1">
        <v>24</v>
      </c>
      <c r="G809" s="1">
        <v>966</v>
      </c>
      <c r="H809" s="1">
        <v>1019</v>
      </c>
      <c r="I809" s="1">
        <f t="shared" si="3"/>
        <v>53</v>
      </c>
    </row>
    <row r="810" spans="1:11" x14ac:dyDescent="0.25">
      <c r="C810" s="1">
        <v>22</v>
      </c>
      <c r="D810" s="1">
        <v>1</v>
      </c>
      <c r="E810" s="1">
        <v>10</v>
      </c>
      <c r="F810" s="1">
        <v>25</v>
      </c>
      <c r="G810" s="1">
        <v>1022</v>
      </c>
      <c r="H810" s="1">
        <v>1070</v>
      </c>
      <c r="I810" s="1">
        <f t="shared" si="3"/>
        <v>48</v>
      </c>
    </row>
    <row r="811" spans="1:11" x14ac:dyDescent="0.25">
      <c r="A811" s="5">
        <v>2</v>
      </c>
      <c r="B811" s="2">
        <v>43968</v>
      </c>
      <c r="C811" s="1">
        <v>23</v>
      </c>
      <c r="D811" s="1">
        <v>2</v>
      </c>
      <c r="E811" s="1">
        <v>10</v>
      </c>
      <c r="F811" s="1">
        <v>1</v>
      </c>
      <c r="G811" s="1">
        <v>0</v>
      </c>
      <c r="H811" s="1">
        <v>40</v>
      </c>
      <c r="I811" s="1">
        <f t="shared" si="3"/>
        <v>40</v>
      </c>
      <c r="J811" s="8">
        <f>(I811+I812+I813+I835+I834+I833+I822+I823+I824)/9</f>
        <v>50.222222222222221</v>
      </c>
      <c r="K811" s="8">
        <f>AVERAGE(I811:I835)</f>
        <v>49</v>
      </c>
    </row>
    <row r="812" spans="1:11" x14ac:dyDescent="0.25">
      <c r="C812" s="1">
        <v>23</v>
      </c>
      <c r="D812" s="1">
        <v>2</v>
      </c>
      <c r="E812" s="1">
        <v>10</v>
      </c>
      <c r="F812" s="1">
        <v>2</v>
      </c>
      <c r="G812" s="1">
        <v>40</v>
      </c>
      <c r="H812" s="1">
        <v>106</v>
      </c>
      <c r="I812" s="1">
        <f t="shared" si="3"/>
        <v>66</v>
      </c>
    </row>
    <row r="813" spans="1:11" x14ac:dyDescent="0.25">
      <c r="C813" s="1">
        <v>23</v>
      </c>
      <c r="D813" s="1">
        <v>2</v>
      </c>
      <c r="E813" s="1">
        <v>10</v>
      </c>
      <c r="F813" s="1">
        <v>3</v>
      </c>
      <c r="G813" s="1">
        <v>106</v>
      </c>
      <c r="H813" s="1">
        <v>164</v>
      </c>
      <c r="I813" s="1">
        <f t="shared" si="3"/>
        <v>58</v>
      </c>
    </row>
    <row r="814" spans="1:11" x14ac:dyDescent="0.25">
      <c r="C814" s="1">
        <v>23</v>
      </c>
      <c r="D814" s="1">
        <v>2</v>
      </c>
      <c r="E814" s="1">
        <v>10</v>
      </c>
      <c r="F814" s="1">
        <v>4</v>
      </c>
      <c r="G814" s="1">
        <v>164</v>
      </c>
      <c r="H814" s="1">
        <v>216</v>
      </c>
      <c r="I814" s="1">
        <f t="shared" si="3"/>
        <v>52</v>
      </c>
    </row>
    <row r="815" spans="1:11" x14ac:dyDescent="0.25">
      <c r="C815" s="1">
        <v>23</v>
      </c>
      <c r="D815" s="1">
        <v>2</v>
      </c>
      <c r="E815" s="1">
        <v>10</v>
      </c>
      <c r="F815" s="1">
        <v>5</v>
      </c>
      <c r="G815" s="1">
        <v>216</v>
      </c>
      <c r="H815" s="1">
        <v>265</v>
      </c>
      <c r="I815" s="1">
        <f t="shared" si="3"/>
        <v>49</v>
      </c>
    </row>
    <row r="816" spans="1:11" x14ac:dyDescent="0.25">
      <c r="C816" s="1">
        <v>23</v>
      </c>
      <c r="D816" s="1">
        <v>2</v>
      </c>
      <c r="E816" s="1">
        <v>10</v>
      </c>
      <c r="F816" s="1">
        <v>6</v>
      </c>
      <c r="G816" s="1">
        <v>265</v>
      </c>
      <c r="H816" s="1">
        <v>305</v>
      </c>
      <c r="I816" s="1">
        <f t="shared" si="3"/>
        <v>40</v>
      </c>
    </row>
    <row r="817" spans="3:9" x14ac:dyDescent="0.25">
      <c r="C817" s="1">
        <v>23</v>
      </c>
      <c r="D817" s="1">
        <v>2</v>
      </c>
      <c r="E817" s="1">
        <v>10</v>
      </c>
      <c r="F817" s="1">
        <v>7</v>
      </c>
      <c r="G817" s="1">
        <v>305</v>
      </c>
      <c r="H817" s="1">
        <v>365</v>
      </c>
      <c r="I817" s="1">
        <f t="shared" si="3"/>
        <v>60</v>
      </c>
    </row>
    <row r="818" spans="3:9" x14ac:dyDescent="0.25">
      <c r="C818" s="1">
        <v>23</v>
      </c>
      <c r="D818" s="1">
        <v>2</v>
      </c>
      <c r="E818" s="1">
        <v>10</v>
      </c>
      <c r="F818" s="1">
        <v>8</v>
      </c>
      <c r="G818" s="1">
        <v>365</v>
      </c>
      <c r="H818" s="1">
        <v>414</v>
      </c>
      <c r="I818" s="1">
        <f t="shared" si="3"/>
        <v>49</v>
      </c>
    </row>
    <row r="819" spans="3:9" x14ac:dyDescent="0.25">
      <c r="C819" s="1">
        <v>23</v>
      </c>
      <c r="D819" s="1">
        <v>2</v>
      </c>
      <c r="E819" s="1">
        <v>10</v>
      </c>
      <c r="F819" s="1">
        <v>9</v>
      </c>
      <c r="G819" s="1">
        <v>415</v>
      </c>
      <c r="H819" s="1">
        <v>460</v>
      </c>
      <c r="I819" s="1">
        <f t="shared" si="3"/>
        <v>45</v>
      </c>
    </row>
    <row r="820" spans="3:9" x14ac:dyDescent="0.25">
      <c r="C820" s="1">
        <v>23</v>
      </c>
      <c r="D820" s="1">
        <v>2</v>
      </c>
      <c r="E820" s="1">
        <v>10</v>
      </c>
      <c r="F820" s="1">
        <v>10</v>
      </c>
      <c r="G820" s="1">
        <v>460</v>
      </c>
      <c r="H820" s="1">
        <v>504</v>
      </c>
      <c r="I820" s="1">
        <f t="shared" si="3"/>
        <v>44</v>
      </c>
    </row>
    <row r="821" spans="3:9" x14ac:dyDescent="0.25">
      <c r="C821" s="1">
        <v>23</v>
      </c>
      <c r="D821" s="1">
        <v>2</v>
      </c>
      <c r="E821" s="1">
        <v>10</v>
      </c>
      <c r="F821" s="1">
        <v>11</v>
      </c>
      <c r="G821" s="1">
        <v>504</v>
      </c>
      <c r="H821" s="1">
        <v>558</v>
      </c>
      <c r="I821" s="1">
        <f t="shared" si="3"/>
        <v>54</v>
      </c>
    </row>
    <row r="822" spans="3:9" x14ac:dyDescent="0.25">
      <c r="C822" s="1">
        <v>23</v>
      </c>
      <c r="D822" s="1">
        <v>2</v>
      </c>
      <c r="E822" s="1">
        <v>10</v>
      </c>
      <c r="F822" s="1">
        <v>12</v>
      </c>
      <c r="G822" s="1">
        <v>558</v>
      </c>
      <c r="H822" s="1">
        <v>612</v>
      </c>
      <c r="I822" s="1">
        <f t="shared" si="3"/>
        <v>54</v>
      </c>
    </row>
    <row r="823" spans="3:9" x14ac:dyDescent="0.25">
      <c r="C823" s="1">
        <v>23</v>
      </c>
      <c r="D823" s="1">
        <v>2</v>
      </c>
      <c r="E823" s="1">
        <v>10</v>
      </c>
      <c r="F823" s="1">
        <v>13</v>
      </c>
      <c r="G823" s="1">
        <v>615</v>
      </c>
      <c r="H823" s="1">
        <v>664</v>
      </c>
      <c r="I823" s="1">
        <f t="shared" si="3"/>
        <v>49</v>
      </c>
    </row>
    <row r="824" spans="3:9" x14ac:dyDescent="0.25">
      <c r="C824" s="1">
        <v>23</v>
      </c>
      <c r="D824" s="1">
        <v>2</v>
      </c>
      <c r="E824" s="1">
        <v>10</v>
      </c>
      <c r="F824" s="1">
        <v>14</v>
      </c>
      <c r="G824" s="1">
        <v>664</v>
      </c>
      <c r="H824" s="1">
        <v>711</v>
      </c>
      <c r="I824" s="1">
        <f t="shared" si="3"/>
        <v>47</v>
      </c>
    </row>
    <row r="825" spans="3:9" x14ac:dyDescent="0.25">
      <c r="C825" s="1">
        <v>23</v>
      </c>
      <c r="D825" s="1">
        <v>2</v>
      </c>
      <c r="E825" s="1">
        <v>10</v>
      </c>
      <c r="F825" s="1">
        <v>15</v>
      </c>
      <c r="G825" s="1">
        <v>711</v>
      </c>
      <c r="H825" s="1">
        <v>754</v>
      </c>
      <c r="I825" s="1">
        <f t="shared" si="3"/>
        <v>43</v>
      </c>
    </row>
    <row r="826" spans="3:9" x14ac:dyDescent="0.25">
      <c r="C826" s="1">
        <v>23</v>
      </c>
      <c r="D826" s="1">
        <v>2</v>
      </c>
      <c r="E826" s="1">
        <v>10</v>
      </c>
      <c r="F826" s="1">
        <v>16</v>
      </c>
      <c r="G826" s="1">
        <v>754</v>
      </c>
      <c r="H826" s="1">
        <v>801</v>
      </c>
      <c r="I826" s="1">
        <f t="shared" si="3"/>
        <v>47</v>
      </c>
    </row>
    <row r="827" spans="3:9" x14ac:dyDescent="0.25">
      <c r="C827" s="1">
        <v>23</v>
      </c>
      <c r="D827" s="1">
        <v>2</v>
      </c>
      <c r="E827" s="1">
        <v>10</v>
      </c>
      <c r="F827" s="1">
        <v>17</v>
      </c>
      <c r="G827" s="1">
        <v>803</v>
      </c>
      <c r="H827" s="1">
        <v>847</v>
      </c>
      <c r="I827" s="1">
        <f t="shared" si="3"/>
        <v>44</v>
      </c>
    </row>
    <row r="828" spans="3:9" x14ac:dyDescent="0.25">
      <c r="C828" s="1">
        <v>23</v>
      </c>
      <c r="D828" s="1">
        <v>2</v>
      </c>
      <c r="E828" s="1">
        <v>10</v>
      </c>
      <c r="F828" s="1">
        <v>18</v>
      </c>
      <c r="G828" s="1">
        <v>847</v>
      </c>
      <c r="H828" s="1">
        <v>892</v>
      </c>
      <c r="I828" s="1">
        <f t="shared" si="3"/>
        <v>45</v>
      </c>
    </row>
    <row r="829" spans="3:9" x14ac:dyDescent="0.25">
      <c r="C829" s="1">
        <v>23</v>
      </c>
      <c r="D829" s="1">
        <v>2</v>
      </c>
      <c r="E829" s="1">
        <v>10</v>
      </c>
      <c r="F829" s="1">
        <v>19</v>
      </c>
      <c r="G829" s="1">
        <v>892</v>
      </c>
      <c r="H829" s="1">
        <v>947</v>
      </c>
      <c r="I829" s="1">
        <f t="shared" si="3"/>
        <v>55</v>
      </c>
    </row>
    <row r="830" spans="3:9" x14ac:dyDescent="0.25">
      <c r="C830" s="1">
        <v>23</v>
      </c>
      <c r="D830" s="1">
        <v>2</v>
      </c>
      <c r="E830" s="1">
        <v>10</v>
      </c>
      <c r="F830" s="1">
        <v>20</v>
      </c>
      <c r="G830" s="1">
        <v>947</v>
      </c>
      <c r="H830" s="1">
        <v>1003</v>
      </c>
      <c r="I830" s="1">
        <f t="shared" si="3"/>
        <v>56</v>
      </c>
    </row>
    <row r="831" spans="3:9" x14ac:dyDescent="0.25">
      <c r="C831" s="1">
        <v>23</v>
      </c>
      <c r="D831" s="1">
        <v>2</v>
      </c>
      <c r="E831" s="1">
        <v>10</v>
      </c>
      <c r="F831" s="1">
        <v>21</v>
      </c>
      <c r="G831" s="1">
        <v>1003</v>
      </c>
      <c r="H831" s="1">
        <v>1052</v>
      </c>
      <c r="I831" s="1">
        <f t="shared" si="3"/>
        <v>49</v>
      </c>
    </row>
    <row r="832" spans="3:9" x14ac:dyDescent="0.25">
      <c r="C832" s="1">
        <v>23</v>
      </c>
      <c r="D832" s="1">
        <v>2</v>
      </c>
      <c r="E832" s="1">
        <v>10</v>
      </c>
      <c r="F832" s="1">
        <v>22</v>
      </c>
      <c r="G832" s="1">
        <v>1053</v>
      </c>
      <c r="H832" s="1">
        <v>1094</v>
      </c>
      <c r="I832" s="1">
        <f t="shared" si="3"/>
        <v>41</v>
      </c>
    </row>
    <row r="833" spans="1:11" x14ac:dyDescent="0.25">
      <c r="C833" s="1">
        <v>23</v>
      </c>
      <c r="D833" s="1">
        <v>2</v>
      </c>
      <c r="E833" s="1">
        <v>10</v>
      </c>
      <c r="F833" s="1">
        <v>23</v>
      </c>
      <c r="G833" s="1">
        <v>1098</v>
      </c>
      <c r="H833" s="1">
        <v>1140</v>
      </c>
      <c r="I833" s="1">
        <f t="shared" si="3"/>
        <v>42</v>
      </c>
    </row>
    <row r="834" spans="1:11" x14ac:dyDescent="0.25">
      <c r="C834" s="1">
        <v>23</v>
      </c>
      <c r="D834" s="1">
        <v>2</v>
      </c>
      <c r="E834" s="1">
        <v>10</v>
      </c>
      <c r="F834" s="1">
        <v>24</v>
      </c>
      <c r="G834" s="1">
        <v>1143</v>
      </c>
      <c r="H834" s="1">
        <v>1180</v>
      </c>
      <c r="I834" s="1">
        <f t="shared" si="3"/>
        <v>37</v>
      </c>
    </row>
    <row r="835" spans="1:11" x14ac:dyDescent="0.25">
      <c r="C835" s="1">
        <v>23</v>
      </c>
      <c r="D835" s="1">
        <v>2</v>
      </c>
      <c r="E835" s="1">
        <v>10</v>
      </c>
      <c r="F835" s="1">
        <v>25</v>
      </c>
      <c r="G835" s="1">
        <v>1180</v>
      </c>
      <c r="H835" s="1">
        <v>1239</v>
      </c>
      <c r="I835" s="1">
        <f t="shared" si="3"/>
        <v>59</v>
      </c>
    </row>
    <row r="836" spans="1:11" x14ac:dyDescent="0.25">
      <c r="A836" s="5">
        <v>2</v>
      </c>
      <c r="B836" s="2">
        <v>43962</v>
      </c>
      <c r="C836" s="1">
        <v>24</v>
      </c>
      <c r="D836" s="1">
        <v>1</v>
      </c>
      <c r="E836" s="1">
        <v>10</v>
      </c>
      <c r="F836" s="1">
        <v>1</v>
      </c>
      <c r="G836" s="1">
        <v>2</v>
      </c>
      <c r="H836" s="1">
        <v>43</v>
      </c>
      <c r="I836" s="1">
        <f t="shared" si="3"/>
        <v>41</v>
      </c>
      <c r="J836" s="8">
        <f>(I836+I837+I838+I860+I859+I858+I847+I848+I849)/9</f>
        <v>34.666666666666664</v>
      </c>
      <c r="K836" s="8">
        <f>AVERAGE(I836:I860)</f>
        <v>34.4</v>
      </c>
    </row>
    <row r="837" spans="1:11" x14ac:dyDescent="0.25">
      <c r="C837" s="1">
        <v>24</v>
      </c>
      <c r="D837" s="1">
        <v>1</v>
      </c>
      <c r="E837" s="1">
        <v>10</v>
      </c>
      <c r="F837" s="1">
        <v>2</v>
      </c>
      <c r="G837" s="1">
        <v>49</v>
      </c>
      <c r="H837" s="1">
        <v>92</v>
      </c>
      <c r="I837" s="1">
        <f t="shared" si="3"/>
        <v>43</v>
      </c>
    </row>
    <row r="838" spans="1:11" x14ac:dyDescent="0.25">
      <c r="C838" s="1">
        <v>24</v>
      </c>
      <c r="D838" s="1">
        <v>1</v>
      </c>
      <c r="E838" s="1">
        <v>10</v>
      </c>
      <c r="F838" s="1">
        <v>3</v>
      </c>
      <c r="G838" s="1">
        <v>92</v>
      </c>
      <c r="H838" s="1">
        <v>132</v>
      </c>
      <c r="I838" s="1">
        <f t="shared" si="3"/>
        <v>40</v>
      </c>
    </row>
    <row r="839" spans="1:11" x14ac:dyDescent="0.25">
      <c r="C839" s="1">
        <v>24</v>
      </c>
      <c r="D839" s="1">
        <v>1</v>
      </c>
      <c r="E839" s="1">
        <v>10</v>
      </c>
      <c r="F839" s="1">
        <v>4</v>
      </c>
      <c r="G839" s="1">
        <v>132</v>
      </c>
      <c r="H839" s="1">
        <v>171</v>
      </c>
      <c r="I839" s="1">
        <f t="shared" si="3"/>
        <v>39</v>
      </c>
    </row>
    <row r="840" spans="1:11" x14ac:dyDescent="0.25">
      <c r="C840" s="1">
        <v>24</v>
      </c>
      <c r="D840" s="1">
        <v>1</v>
      </c>
      <c r="E840" s="1">
        <v>10</v>
      </c>
      <c r="F840" s="1">
        <v>5</v>
      </c>
      <c r="G840" s="1">
        <v>171</v>
      </c>
      <c r="H840" s="1">
        <v>213</v>
      </c>
      <c r="I840" s="1">
        <f t="shared" si="3"/>
        <v>42</v>
      </c>
    </row>
    <row r="841" spans="1:11" x14ac:dyDescent="0.25">
      <c r="C841" s="1">
        <v>24</v>
      </c>
      <c r="D841" s="1">
        <v>1</v>
      </c>
      <c r="E841" s="1">
        <v>10</v>
      </c>
      <c r="F841" s="1">
        <v>6</v>
      </c>
      <c r="G841" s="1">
        <v>216</v>
      </c>
      <c r="H841" s="1">
        <v>259</v>
      </c>
      <c r="I841" s="1">
        <f t="shared" si="3"/>
        <v>43</v>
      </c>
    </row>
    <row r="842" spans="1:11" x14ac:dyDescent="0.25">
      <c r="C842" s="1">
        <v>24</v>
      </c>
      <c r="D842" s="1">
        <v>1</v>
      </c>
      <c r="E842" s="1">
        <v>10</v>
      </c>
      <c r="F842" s="1">
        <v>7</v>
      </c>
      <c r="G842" s="1">
        <v>259</v>
      </c>
      <c r="H842" s="1">
        <v>262</v>
      </c>
      <c r="I842" s="1">
        <f t="shared" si="3"/>
        <v>3</v>
      </c>
    </row>
    <row r="843" spans="1:11" x14ac:dyDescent="0.25">
      <c r="C843" s="1">
        <v>24</v>
      </c>
      <c r="D843" s="1">
        <v>1</v>
      </c>
      <c r="E843" s="1">
        <v>10</v>
      </c>
      <c r="F843" s="1">
        <v>8</v>
      </c>
      <c r="G843" s="1">
        <v>262</v>
      </c>
      <c r="H843" s="1">
        <v>305</v>
      </c>
      <c r="I843" s="1">
        <f t="shared" si="3"/>
        <v>43</v>
      </c>
    </row>
    <row r="844" spans="1:11" x14ac:dyDescent="0.25">
      <c r="C844" s="1">
        <v>24</v>
      </c>
      <c r="D844" s="1">
        <v>1</v>
      </c>
      <c r="E844" s="1">
        <v>10</v>
      </c>
      <c r="F844" s="1">
        <v>9</v>
      </c>
      <c r="G844" s="1">
        <v>305</v>
      </c>
      <c r="H844" s="1">
        <v>350</v>
      </c>
      <c r="I844" s="1">
        <f t="shared" si="3"/>
        <v>45</v>
      </c>
    </row>
    <row r="845" spans="1:11" x14ac:dyDescent="0.25">
      <c r="C845" s="1">
        <v>24</v>
      </c>
      <c r="D845" s="1">
        <v>1</v>
      </c>
      <c r="E845" s="1">
        <v>10</v>
      </c>
      <c r="F845" s="1">
        <v>10</v>
      </c>
      <c r="G845" s="1">
        <v>350</v>
      </c>
      <c r="H845" s="1">
        <v>364</v>
      </c>
      <c r="I845" s="1">
        <f t="shared" si="3"/>
        <v>14</v>
      </c>
    </row>
    <row r="846" spans="1:11" x14ac:dyDescent="0.25">
      <c r="C846" s="1">
        <v>24</v>
      </c>
      <c r="D846" s="1">
        <v>1</v>
      </c>
      <c r="E846" s="1">
        <v>10</v>
      </c>
      <c r="F846" s="1">
        <v>11</v>
      </c>
      <c r="G846" s="1">
        <v>364</v>
      </c>
      <c r="H846" s="1">
        <v>402</v>
      </c>
      <c r="I846" s="1">
        <f t="shared" si="3"/>
        <v>38</v>
      </c>
    </row>
    <row r="847" spans="1:11" x14ac:dyDescent="0.25">
      <c r="C847" s="1">
        <v>24</v>
      </c>
      <c r="D847" s="1">
        <v>1</v>
      </c>
      <c r="E847" s="1">
        <v>10</v>
      </c>
      <c r="F847" s="1">
        <v>12</v>
      </c>
      <c r="G847" s="1">
        <v>403</v>
      </c>
      <c r="H847" s="1">
        <v>441</v>
      </c>
      <c r="I847" s="1">
        <f t="shared" si="3"/>
        <v>38</v>
      </c>
    </row>
    <row r="848" spans="1:11" x14ac:dyDescent="0.25">
      <c r="C848" s="1">
        <v>24</v>
      </c>
      <c r="D848" s="1">
        <v>1</v>
      </c>
      <c r="E848" s="1">
        <v>10</v>
      </c>
      <c r="F848" s="1">
        <v>13</v>
      </c>
      <c r="G848" s="1">
        <v>441</v>
      </c>
      <c r="H848" s="1">
        <v>476</v>
      </c>
      <c r="I848" s="1">
        <f t="shared" si="3"/>
        <v>35</v>
      </c>
    </row>
    <row r="849" spans="1:11" x14ac:dyDescent="0.25">
      <c r="C849" s="1">
        <v>24</v>
      </c>
      <c r="D849" s="1">
        <v>1</v>
      </c>
      <c r="E849" s="1">
        <v>10</v>
      </c>
      <c r="F849" s="1">
        <v>14</v>
      </c>
      <c r="G849" s="1">
        <v>477</v>
      </c>
      <c r="H849" s="1">
        <v>513</v>
      </c>
      <c r="I849" s="1">
        <f t="shared" si="3"/>
        <v>36</v>
      </c>
    </row>
    <row r="850" spans="1:11" x14ac:dyDescent="0.25">
      <c r="C850" s="1">
        <v>24</v>
      </c>
      <c r="D850" s="1">
        <v>1</v>
      </c>
      <c r="E850" s="1">
        <v>10</v>
      </c>
      <c r="F850" s="1">
        <v>15</v>
      </c>
      <c r="G850" s="1">
        <v>513</v>
      </c>
      <c r="H850" s="1">
        <v>546</v>
      </c>
      <c r="I850" s="1">
        <f t="shared" si="3"/>
        <v>33</v>
      </c>
    </row>
    <row r="851" spans="1:11" x14ac:dyDescent="0.25">
      <c r="C851" s="1">
        <v>24</v>
      </c>
      <c r="D851" s="1">
        <v>1</v>
      </c>
      <c r="E851" s="1">
        <v>10</v>
      </c>
      <c r="F851" s="1">
        <v>16</v>
      </c>
      <c r="G851" s="1">
        <v>546</v>
      </c>
      <c r="H851" s="1">
        <v>586</v>
      </c>
      <c r="I851" s="1">
        <f t="shared" si="3"/>
        <v>40</v>
      </c>
    </row>
    <row r="852" spans="1:11" x14ac:dyDescent="0.25">
      <c r="C852" s="1">
        <v>24</v>
      </c>
      <c r="D852" s="1">
        <v>1</v>
      </c>
      <c r="E852" s="1">
        <v>10</v>
      </c>
      <c r="F852" s="1">
        <v>17</v>
      </c>
      <c r="G852" s="1">
        <v>586</v>
      </c>
      <c r="H852" s="1">
        <v>624</v>
      </c>
      <c r="I852" s="1">
        <f t="shared" si="3"/>
        <v>38</v>
      </c>
    </row>
    <row r="853" spans="1:11" x14ac:dyDescent="0.25">
      <c r="C853" s="1">
        <v>24</v>
      </c>
      <c r="D853" s="1">
        <v>1</v>
      </c>
      <c r="E853" s="1">
        <v>10</v>
      </c>
      <c r="F853" s="1">
        <v>18</v>
      </c>
      <c r="G853" s="1">
        <v>624</v>
      </c>
      <c r="H853" s="1">
        <v>656</v>
      </c>
      <c r="I853" s="1">
        <f t="shared" si="3"/>
        <v>32</v>
      </c>
    </row>
    <row r="854" spans="1:11" x14ac:dyDescent="0.25">
      <c r="C854" s="1">
        <v>24</v>
      </c>
      <c r="D854" s="1">
        <v>1</v>
      </c>
      <c r="E854" s="1">
        <v>10</v>
      </c>
      <c r="F854" s="1">
        <v>19</v>
      </c>
      <c r="G854" s="1">
        <v>656</v>
      </c>
      <c r="H854" s="1">
        <v>693</v>
      </c>
      <c r="I854" s="1">
        <f t="shared" si="3"/>
        <v>37</v>
      </c>
    </row>
    <row r="855" spans="1:11" x14ac:dyDescent="0.25">
      <c r="C855" s="1">
        <v>24</v>
      </c>
      <c r="D855" s="1">
        <v>1</v>
      </c>
      <c r="E855" s="1">
        <v>10</v>
      </c>
      <c r="F855" s="1">
        <v>20</v>
      </c>
      <c r="G855" s="1">
        <v>693</v>
      </c>
      <c r="H855" s="1">
        <v>722</v>
      </c>
      <c r="I855" s="1">
        <f t="shared" si="3"/>
        <v>29</v>
      </c>
    </row>
    <row r="856" spans="1:11" x14ac:dyDescent="0.25">
      <c r="C856" s="1">
        <v>24</v>
      </c>
      <c r="D856" s="1">
        <v>1</v>
      </c>
      <c r="E856" s="1">
        <v>10</v>
      </c>
      <c r="F856" s="1">
        <v>21</v>
      </c>
      <c r="G856" s="1">
        <v>722</v>
      </c>
      <c r="H856" s="1">
        <v>761</v>
      </c>
      <c r="I856" s="1">
        <f t="shared" si="3"/>
        <v>39</v>
      </c>
    </row>
    <row r="857" spans="1:11" x14ac:dyDescent="0.25">
      <c r="C857" s="1">
        <v>24</v>
      </c>
      <c r="D857" s="1">
        <v>1</v>
      </c>
      <c r="E857" s="1">
        <v>10</v>
      </c>
      <c r="F857" s="1">
        <v>22</v>
      </c>
      <c r="G857" s="1">
        <v>761</v>
      </c>
      <c r="H857" s="1">
        <v>794</v>
      </c>
      <c r="I857" s="1">
        <f t="shared" si="3"/>
        <v>33</v>
      </c>
    </row>
    <row r="858" spans="1:11" x14ac:dyDescent="0.25">
      <c r="C858" s="1">
        <v>24</v>
      </c>
      <c r="D858" s="1">
        <v>1</v>
      </c>
      <c r="E858" s="1">
        <v>10</v>
      </c>
      <c r="F858" s="1">
        <v>23</v>
      </c>
      <c r="G858" s="1">
        <v>794</v>
      </c>
      <c r="H858" s="1">
        <v>819</v>
      </c>
      <c r="I858" s="1">
        <f t="shared" si="3"/>
        <v>25</v>
      </c>
    </row>
    <row r="859" spans="1:11" x14ac:dyDescent="0.25">
      <c r="C859" s="1">
        <v>24</v>
      </c>
      <c r="D859" s="1">
        <v>1</v>
      </c>
      <c r="E859" s="1">
        <v>10</v>
      </c>
      <c r="F859" s="1">
        <v>24</v>
      </c>
      <c r="G859" s="1">
        <v>819</v>
      </c>
      <c r="H859" s="1">
        <v>848</v>
      </c>
      <c r="I859" s="1">
        <f t="shared" si="3"/>
        <v>29</v>
      </c>
    </row>
    <row r="860" spans="1:11" x14ac:dyDescent="0.25">
      <c r="C860" s="1">
        <v>24</v>
      </c>
      <c r="D860" s="1">
        <v>1</v>
      </c>
      <c r="E860" s="1">
        <v>10</v>
      </c>
      <c r="F860" s="1">
        <v>25</v>
      </c>
      <c r="G860" s="1">
        <v>848</v>
      </c>
      <c r="H860" s="1">
        <v>873</v>
      </c>
      <c r="I860" s="1">
        <f t="shared" si="3"/>
        <v>25</v>
      </c>
    </row>
    <row r="861" spans="1:11" x14ac:dyDescent="0.25">
      <c r="A861" s="5">
        <v>2</v>
      </c>
      <c r="B861" s="2">
        <v>43966</v>
      </c>
      <c r="C861" s="1">
        <v>25</v>
      </c>
      <c r="D861" s="1">
        <v>1</v>
      </c>
      <c r="E861" s="1">
        <v>10</v>
      </c>
      <c r="F861" s="1">
        <v>1</v>
      </c>
      <c r="G861" s="1">
        <v>0</v>
      </c>
      <c r="H861" s="1">
        <v>33</v>
      </c>
      <c r="I861" s="1">
        <f t="shared" si="3"/>
        <v>33</v>
      </c>
      <c r="J861" s="8">
        <f>(I861+I862+I863+I885+I884+I883+I872+I873+I874)/9</f>
        <v>42.888888888888886</v>
      </c>
      <c r="K861" s="8">
        <f>AVERAGE(I861:I885)</f>
        <v>43.4</v>
      </c>
    </row>
    <row r="862" spans="1:11" x14ac:dyDescent="0.25">
      <c r="C862" s="1">
        <v>25</v>
      </c>
      <c r="D862" s="1">
        <v>1</v>
      </c>
      <c r="E862" s="1">
        <v>10</v>
      </c>
      <c r="F862" s="1">
        <v>2</v>
      </c>
      <c r="G862" s="1">
        <v>34</v>
      </c>
      <c r="H862" s="1">
        <v>86</v>
      </c>
      <c r="I862" s="1">
        <f t="shared" si="3"/>
        <v>52</v>
      </c>
    </row>
    <row r="863" spans="1:11" x14ac:dyDescent="0.25">
      <c r="C863" s="1">
        <v>25</v>
      </c>
      <c r="D863" s="1">
        <v>1</v>
      </c>
      <c r="E863" s="1">
        <v>10</v>
      </c>
      <c r="F863" s="1">
        <v>3</v>
      </c>
      <c r="G863" s="1">
        <v>87</v>
      </c>
      <c r="H863" s="1">
        <v>121</v>
      </c>
      <c r="I863" s="1">
        <f t="shared" si="3"/>
        <v>34</v>
      </c>
    </row>
    <row r="864" spans="1:11" x14ac:dyDescent="0.25">
      <c r="C864" s="1">
        <v>25</v>
      </c>
      <c r="D864" s="1">
        <v>1</v>
      </c>
      <c r="E864" s="1">
        <v>10</v>
      </c>
      <c r="F864" s="1">
        <v>4</v>
      </c>
      <c r="G864" s="1">
        <v>121</v>
      </c>
      <c r="H864" s="1">
        <v>175</v>
      </c>
      <c r="I864" s="1">
        <f t="shared" si="3"/>
        <v>54</v>
      </c>
    </row>
    <row r="865" spans="3:9" x14ac:dyDescent="0.25">
      <c r="C865" s="1">
        <v>25</v>
      </c>
      <c r="D865" s="1">
        <v>1</v>
      </c>
      <c r="E865" s="1">
        <v>10</v>
      </c>
      <c r="F865" s="1">
        <v>5</v>
      </c>
      <c r="G865" s="1">
        <v>176</v>
      </c>
      <c r="H865" s="1">
        <v>214</v>
      </c>
      <c r="I865" s="1">
        <f t="shared" si="3"/>
        <v>38</v>
      </c>
    </row>
    <row r="866" spans="3:9" x14ac:dyDescent="0.25">
      <c r="C866" s="1">
        <v>25</v>
      </c>
      <c r="D866" s="1">
        <v>1</v>
      </c>
      <c r="E866" s="1">
        <v>10</v>
      </c>
      <c r="F866" s="1">
        <v>6</v>
      </c>
      <c r="G866" s="1">
        <v>218</v>
      </c>
      <c r="H866" s="1">
        <v>260</v>
      </c>
      <c r="I866" s="1">
        <f t="shared" si="3"/>
        <v>42</v>
      </c>
    </row>
    <row r="867" spans="3:9" x14ac:dyDescent="0.25">
      <c r="C867" s="1">
        <v>25</v>
      </c>
      <c r="D867" s="1">
        <v>1</v>
      </c>
      <c r="E867" s="1">
        <v>10</v>
      </c>
      <c r="F867" s="1">
        <v>7</v>
      </c>
      <c r="G867" s="1">
        <v>261</v>
      </c>
      <c r="H867" s="1">
        <v>305</v>
      </c>
      <c r="I867" s="1">
        <f t="shared" si="3"/>
        <v>44</v>
      </c>
    </row>
    <row r="868" spans="3:9" x14ac:dyDescent="0.25">
      <c r="C868" s="1">
        <v>25</v>
      </c>
      <c r="D868" s="1">
        <v>1</v>
      </c>
      <c r="E868" s="1">
        <v>10</v>
      </c>
      <c r="F868" s="1">
        <v>8</v>
      </c>
      <c r="G868" s="1">
        <v>324</v>
      </c>
      <c r="H868" s="1">
        <v>369</v>
      </c>
      <c r="I868" s="1">
        <f t="shared" si="3"/>
        <v>45</v>
      </c>
    </row>
    <row r="869" spans="3:9" x14ac:dyDescent="0.25">
      <c r="C869" s="1">
        <v>25</v>
      </c>
      <c r="D869" s="1">
        <v>1</v>
      </c>
      <c r="E869" s="1">
        <v>10</v>
      </c>
      <c r="F869" s="1">
        <v>9</v>
      </c>
      <c r="G869" s="1">
        <v>370</v>
      </c>
      <c r="H869" s="1">
        <v>420</v>
      </c>
      <c r="I869" s="1">
        <f t="shared" si="3"/>
        <v>50</v>
      </c>
    </row>
    <row r="870" spans="3:9" x14ac:dyDescent="0.25">
      <c r="C870" s="1">
        <v>25</v>
      </c>
      <c r="D870" s="1">
        <v>1</v>
      </c>
      <c r="E870" s="1">
        <v>10</v>
      </c>
      <c r="F870" s="1">
        <v>10</v>
      </c>
      <c r="G870" s="1">
        <v>422</v>
      </c>
      <c r="H870" s="1">
        <v>458</v>
      </c>
      <c r="I870" s="1">
        <f t="shared" si="3"/>
        <v>36</v>
      </c>
    </row>
    <row r="871" spans="3:9" x14ac:dyDescent="0.25">
      <c r="C871" s="1">
        <v>25</v>
      </c>
      <c r="D871" s="1">
        <v>1</v>
      </c>
      <c r="E871" s="1">
        <v>10</v>
      </c>
      <c r="F871" s="1">
        <v>11</v>
      </c>
      <c r="G871" s="1">
        <v>460</v>
      </c>
      <c r="H871" s="1">
        <v>505</v>
      </c>
      <c r="I871" s="1">
        <f t="shared" si="3"/>
        <v>45</v>
      </c>
    </row>
    <row r="872" spans="3:9" x14ac:dyDescent="0.25">
      <c r="C872" s="1">
        <v>25</v>
      </c>
      <c r="D872" s="1">
        <v>1</v>
      </c>
      <c r="E872" s="1">
        <v>10</v>
      </c>
      <c r="F872" s="1">
        <v>12</v>
      </c>
      <c r="G872" s="1">
        <v>506</v>
      </c>
      <c r="H872" s="1">
        <v>554</v>
      </c>
      <c r="I872" s="1">
        <f t="shared" si="3"/>
        <v>48</v>
      </c>
    </row>
    <row r="873" spans="3:9" x14ac:dyDescent="0.25">
      <c r="C873" s="1">
        <v>25</v>
      </c>
      <c r="D873" s="1">
        <v>1</v>
      </c>
      <c r="E873" s="1">
        <v>10</v>
      </c>
      <c r="F873" s="1">
        <v>13</v>
      </c>
      <c r="G873" s="1">
        <v>556</v>
      </c>
      <c r="H873" s="1">
        <v>601</v>
      </c>
      <c r="I873" s="1">
        <f t="shared" si="3"/>
        <v>45</v>
      </c>
    </row>
    <row r="874" spans="3:9" x14ac:dyDescent="0.25">
      <c r="C874" s="1">
        <v>25</v>
      </c>
      <c r="D874" s="1">
        <v>1</v>
      </c>
      <c r="E874" s="1">
        <v>10</v>
      </c>
      <c r="F874" s="1">
        <v>14</v>
      </c>
      <c r="G874" s="1">
        <v>603</v>
      </c>
      <c r="H874" s="1">
        <v>650</v>
      </c>
      <c r="I874" s="1">
        <f t="shared" si="3"/>
        <v>47</v>
      </c>
    </row>
    <row r="875" spans="3:9" x14ac:dyDescent="0.25">
      <c r="C875" s="1">
        <v>25</v>
      </c>
      <c r="D875" s="1">
        <v>1</v>
      </c>
      <c r="E875" s="1">
        <v>10</v>
      </c>
      <c r="F875" s="1">
        <v>15</v>
      </c>
      <c r="G875" s="1">
        <v>650</v>
      </c>
      <c r="H875" s="1">
        <v>695</v>
      </c>
      <c r="I875" s="1">
        <f t="shared" si="3"/>
        <v>45</v>
      </c>
    </row>
    <row r="876" spans="3:9" x14ac:dyDescent="0.25">
      <c r="C876" s="1">
        <v>25</v>
      </c>
      <c r="D876" s="1">
        <v>1</v>
      </c>
      <c r="E876" s="1">
        <v>10</v>
      </c>
      <c r="F876" s="1">
        <v>16</v>
      </c>
      <c r="G876" s="1">
        <v>697</v>
      </c>
      <c r="H876" s="1">
        <v>738</v>
      </c>
      <c r="I876" s="1">
        <f t="shared" si="3"/>
        <v>41</v>
      </c>
    </row>
    <row r="877" spans="3:9" x14ac:dyDescent="0.25">
      <c r="C877" s="1">
        <v>25</v>
      </c>
      <c r="D877" s="1">
        <v>1</v>
      </c>
      <c r="E877" s="1">
        <v>10</v>
      </c>
      <c r="F877" s="1">
        <v>17</v>
      </c>
      <c r="G877" s="1">
        <v>742</v>
      </c>
      <c r="H877" s="1">
        <v>791</v>
      </c>
      <c r="I877" s="1">
        <f t="shared" si="3"/>
        <v>49</v>
      </c>
    </row>
    <row r="878" spans="3:9" x14ac:dyDescent="0.25">
      <c r="C878" s="1">
        <v>25</v>
      </c>
      <c r="D878" s="1">
        <v>1</v>
      </c>
      <c r="E878" s="1">
        <v>10</v>
      </c>
      <c r="F878" s="1">
        <v>18</v>
      </c>
      <c r="G878" s="1">
        <v>792</v>
      </c>
      <c r="H878" s="1">
        <v>816</v>
      </c>
      <c r="I878" s="1">
        <f t="shared" si="3"/>
        <v>24</v>
      </c>
    </row>
    <row r="879" spans="3:9" x14ac:dyDescent="0.25">
      <c r="C879" s="1">
        <v>25</v>
      </c>
      <c r="D879" s="1">
        <v>1</v>
      </c>
      <c r="E879" s="1">
        <v>10</v>
      </c>
      <c r="F879" s="1">
        <v>19</v>
      </c>
      <c r="G879" s="1">
        <v>818</v>
      </c>
      <c r="H879" s="1">
        <v>868</v>
      </c>
      <c r="I879" s="1">
        <f t="shared" si="3"/>
        <v>50</v>
      </c>
    </row>
    <row r="880" spans="3:9" x14ac:dyDescent="0.25">
      <c r="C880" s="1">
        <v>25</v>
      </c>
      <c r="D880" s="1">
        <v>1</v>
      </c>
      <c r="E880" s="1">
        <v>10</v>
      </c>
      <c r="F880" s="1">
        <v>20</v>
      </c>
      <c r="G880" s="1">
        <v>868</v>
      </c>
      <c r="H880" s="1">
        <v>913</v>
      </c>
      <c r="I880" s="1">
        <f t="shared" si="3"/>
        <v>45</v>
      </c>
    </row>
    <row r="881" spans="1:11" x14ac:dyDescent="0.25">
      <c r="C881" s="1">
        <v>25</v>
      </c>
      <c r="D881" s="1">
        <v>1</v>
      </c>
      <c r="E881" s="1">
        <v>10</v>
      </c>
      <c r="F881" s="1">
        <v>21</v>
      </c>
      <c r="G881" s="1">
        <v>920</v>
      </c>
      <c r="H881" s="1">
        <v>963</v>
      </c>
      <c r="I881" s="1">
        <f t="shared" si="3"/>
        <v>43</v>
      </c>
    </row>
    <row r="882" spans="1:11" x14ac:dyDescent="0.25">
      <c r="C882" s="1">
        <v>25</v>
      </c>
      <c r="D882" s="1">
        <v>1</v>
      </c>
      <c r="E882" s="1">
        <v>10</v>
      </c>
      <c r="F882" s="1">
        <v>22</v>
      </c>
      <c r="G882" s="1">
        <v>965</v>
      </c>
      <c r="H882" s="1">
        <v>1013</v>
      </c>
      <c r="I882" s="1">
        <f t="shared" si="3"/>
        <v>48</v>
      </c>
    </row>
    <row r="883" spans="1:11" x14ac:dyDescent="0.25">
      <c r="C883" s="1">
        <v>25</v>
      </c>
      <c r="D883" s="1">
        <v>1</v>
      </c>
      <c r="E883" s="1">
        <v>10</v>
      </c>
      <c r="F883" s="1">
        <v>23</v>
      </c>
      <c r="G883" s="1">
        <v>1013</v>
      </c>
      <c r="H883" s="1">
        <v>1053</v>
      </c>
      <c r="I883" s="1">
        <f t="shared" si="3"/>
        <v>40</v>
      </c>
    </row>
    <row r="884" spans="1:11" x14ac:dyDescent="0.25">
      <c r="C884" s="1">
        <v>25</v>
      </c>
      <c r="D884" s="1">
        <v>1</v>
      </c>
      <c r="E884" s="1">
        <v>10</v>
      </c>
      <c r="F884" s="1">
        <v>24</v>
      </c>
      <c r="G884" s="1">
        <v>1056</v>
      </c>
      <c r="H884" s="1">
        <v>1097</v>
      </c>
      <c r="I884" s="1">
        <f t="shared" si="3"/>
        <v>41</v>
      </c>
    </row>
    <row r="885" spans="1:11" x14ac:dyDescent="0.25">
      <c r="C885" s="1">
        <v>25</v>
      </c>
      <c r="D885" s="1">
        <v>1</v>
      </c>
      <c r="E885" s="1">
        <v>10</v>
      </c>
      <c r="F885" s="1">
        <v>25</v>
      </c>
      <c r="G885" s="1">
        <v>1099</v>
      </c>
      <c r="H885" s="1">
        <v>1145</v>
      </c>
      <c r="I885" s="1">
        <f t="shared" si="3"/>
        <v>46</v>
      </c>
    </row>
    <row r="886" spans="1:11" x14ac:dyDescent="0.25">
      <c r="A886" s="5">
        <v>2</v>
      </c>
      <c r="B886" s="2">
        <v>43968</v>
      </c>
      <c r="C886" s="1">
        <v>26</v>
      </c>
      <c r="D886" s="1">
        <v>2</v>
      </c>
      <c r="E886" s="1">
        <v>10</v>
      </c>
      <c r="F886" s="1">
        <v>1</v>
      </c>
      <c r="G886" s="1">
        <v>0</v>
      </c>
      <c r="H886" s="1">
        <v>45</v>
      </c>
      <c r="I886" s="1">
        <f t="shared" si="3"/>
        <v>45</v>
      </c>
      <c r="J886" s="8">
        <f>(I886+I887+I888+I910+I909+I908+I897+I898+I899)/9</f>
        <v>46.222222222222221</v>
      </c>
      <c r="K886" s="8">
        <f>AVERAGE(I886:I910)</f>
        <v>47.92</v>
      </c>
    </row>
    <row r="887" spans="1:11" x14ac:dyDescent="0.25">
      <c r="C887" s="1">
        <v>26</v>
      </c>
      <c r="D887" s="1">
        <v>2</v>
      </c>
      <c r="E887" s="1">
        <v>10</v>
      </c>
      <c r="F887" s="1">
        <v>2</v>
      </c>
      <c r="G887" s="1">
        <v>45</v>
      </c>
      <c r="H887" s="1">
        <v>98</v>
      </c>
      <c r="I887" s="1">
        <f t="shared" si="3"/>
        <v>53</v>
      </c>
    </row>
    <row r="888" spans="1:11" x14ac:dyDescent="0.25">
      <c r="C888" s="1">
        <v>26</v>
      </c>
      <c r="D888" s="1">
        <v>2</v>
      </c>
      <c r="E888" s="1">
        <v>10</v>
      </c>
      <c r="F888" s="1">
        <v>3</v>
      </c>
      <c r="G888" s="1">
        <v>98</v>
      </c>
      <c r="H888" s="1">
        <v>147</v>
      </c>
      <c r="I888" s="1">
        <f t="shared" si="3"/>
        <v>49</v>
      </c>
    </row>
    <row r="889" spans="1:11" x14ac:dyDescent="0.25">
      <c r="C889" s="1">
        <v>26</v>
      </c>
      <c r="D889" s="1">
        <v>2</v>
      </c>
      <c r="E889" s="1">
        <v>10</v>
      </c>
      <c r="F889" s="1">
        <v>4</v>
      </c>
      <c r="G889" s="1">
        <v>147</v>
      </c>
      <c r="H889" s="1">
        <v>200</v>
      </c>
      <c r="I889" s="1">
        <f t="shared" si="3"/>
        <v>53</v>
      </c>
    </row>
    <row r="890" spans="1:11" x14ac:dyDescent="0.25">
      <c r="C890" s="1">
        <v>26</v>
      </c>
      <c r="D890" s="1">
        <v>2</v>
      </c>
      <c r="E890" s="1">
        <v>10</v>
      </c>
      <c r="F890" s="1">
        <v>5</v>
      </c>
      <c r="G890" s="1">
        <v>201</v>
      </c>
      <c r="H890" s="1">
        <v>250</v>
      </c>
      <c r="I890" s="1">
        <f t="shared" si="3"/>
        <v>49</v>
      </c>
    </row>
    <row r="891" spans="1:11" x14ac:dyDescent="0.25">
      <c r="C891" s="1">
        <v>26</v>
      </c>
      <c r="D891" s="1">
        <v>2</v>
      </c>
      <c r="E891" s="1">
        <v>10</v>
      </c>
      <c r="F891" s="1">
        <v>6</v>
      </c>
      <c r="G891" s="1">
        <v>250</v>
      </c>
      <c r="H891" s="1">
        <v>295</v>
      </c>
      <c r="I891" s="1">
        <f t="shared" si="3"/>
        <v>45</v>
      </c>
    </row>
    <row r="892" spans="1:11" x14ac:dyDescent="0.25">
      <c r="C892" s="1">
        <v>26</v>
      </c>
      <c r="D892" s="1">
        <v>2</v>
      </c>
      <c r="E892" s="1">
        <v>10</v>
      </c>
      <c r="F892" s="1">
        <v>7</v>
      </c>
      <c r="G892" s="1">
        <v>295</v>
      </c>
      <c r="H892" s="1">
        <v>345</v>
      </c>
      <c r="I892" s="1">
        <f t="shared" si="3"/>
        <v>50</v>
      </c>
    </row>
    <row r="893" spans="1:11" x14ac:dyDescent="0.25">
      <c r="C893" s="1">
        <v>26</v>
      </c>
      <c r="D893" s="1">
        <v>2</v>
      </c>
      <c r="E893" s="1">
        <v>10</v>
      </c>
      <c r="F893" s="1">
        <v>8</v>
      </c>
      <c r="G893" s="1">
        <v>345</v>
      </c>
      <c r="H893" s="1">
        <v>397</v>
      </c>
      <c r="I893" s="1">
        <f t="shared" si="3"/>
        <v>52</v>
      </c>
    </row>
    <row r="894" spans="1:11" x14ac:dyDescent="0.25">
      <c r="C894" s="1">
        <v>26</v>
      </c>
      <c r="D894" s="1">
        <v>2</v>
      </c>
      <c r="E894" s="1">
        <v>10</v>
      </c>
      <c r="F894" s="1">
        <v>9</v>
      </c>
      <c r="G894" s="1">
        <v>397</v>
      </c>
      <c r="H894" s="1">
        <v>451</v>
      </c>
      <c r="I894" s="1">
        <f t="shared" si="3"/>
        <v>54</v>
      </c>
    </row>
    <row r="895" spans="1:11" x14ac:dyDescent="0.25">
      <c r="C895" s="1">
        <v>26</v>
      </c>
      <c r="D895" s="1">
        <v>2</v>
      </c>
      <c r="E895" s="1">
        <v>10</v>
      </c>
      <c r="F895" s="1">
        <v>10</v>
      </c>
      <c r="G895" s="1">
        <v>451</v>
      </c>
      <c r="H895" s="1">
        <v>506</v>
      </c>
      <c r="I895" s="1">
        <f t="shared" si="3"/>
        <v>55</v>
      </c>
    </row>
    <row r="896" spans="1:11" x14ac:dyDescent="0.25">
      <c r="C896" s="1">
        <v>26</v>
      </c>
      <c r="D896" s="1">
        <v>2</v>
      </c>
      <c r="E896" s="1">
        <v>10</v>
      </c>
      <c r="F896" s="1">
        <v>11</v>
      </c>
      <c r="G896" s="1">
        <v>506</v>
      </c>
      <c r="H896" s="1">
        <v>561</v>
      </c>
      <c r="I896" s="1">
        <f t="shared" si="3"/>
        <v>55</v>
      </c>
    </row>
    <row r="897" spans="3:9" x14ac:dyDescent="0.25">
      <c r="C897" s="1">
        <v>26</v>
      </c>
      <c r="D897" s="1">
        <v>2</v>
      </c>
      <c r="E897" s="1">
        <v>10</v>
      </c>
      <c r="F897" s="1">
        <v>12</v>
      </c>
      <c r="G897" s="1">
        <v>561</v>
      </c>
      <c r="H897" s="1">
        <v>608</v>
      </c>
      <c r="I897" s="1">
        <f t="shared" si="3"/>
        <v>47</v>
      </c>
    </row>
    <row r="898" spans="3:9" x14ac:dyDescent="0.25">
      <c r="C898" s="1">
        <v>26</v>
      </c>
      <c r="D898" s="1">
        <v>2</v>
      </c>
      <c r="E898" s="1">
        <v>10</v>
      </c>
      <c r="F898" s="1">
        <v>13</v>
      </c>
      <c r="G898" s="1">
        <v>608</v>
      </c>
      <c r="H898" s="1">
        <v>637</v>
      </c>
      <c r="I898" s="1">
        <f t="shared" si="3"/>
        <v>29</v>
      </c>
    </row>
    <row r="899" spans="3:9" x14ac:dyDescent="0.25">
      <c r="C899" s="1">
        <v>26</v>
      </c>
      <c r="D899" s="1">
        <v>2</v>
      </c>
      <c r="E899" s="1">
        <v>10</v>
      </c>
      <c r="F899" s="1">
        <v>14</v>
      </c>
      <c r="G899" s="1">
        <v>637</v>
      </c>
      <c r="H899" s="1">
        <v>688</v>
      </c>
      <c r="I899" s="1">
        <f t="shared" si="3"/>
        <v>51</v>
      </c>
    </row>
    <row r="900" spans="3:9" x14ac:dyDescent="0.25">
      <c r="C900" s="1">
        <v>26</v>
      </c>
      <c r="D900" s="1">
        <v>2</v>
      </c>
      <c r="E900" s="1">
        <v>10</v>
      </c>
      <c r="F900" s="1">
        <v>15</v>
      </c>
      <c r="G900" s="1">
        <v>688</v>
      </c>
      <c r="H900" s="1">
        <v>741</v>
      </c>
      <c r="I900" s="1">
        <f t="shared" si="3"/>
        <v>53</v>
      </c>
    </row>
    <row r="901" spans="3:9" x14ac:dyDescent="0.25">
      <c r="C901" s="1">
        <v>26</v>
      </c>
      <c r="D901" s="1">
        <v>2</v>
      </c>
      <c r="E901" s="1">
        <v>10</v>
      </c>
      <c r="F901" s="1">
        <v>16</v>
      </c>
      <c r="G901" s="1">
        <v>741</v>
      </c>
      <c r="H901" s="1">
        <v>788</v>
      </c>
      <c r="I901" s="1">
        <f t="shared" si="3"/>
        <v>47</v>
      </c>
    </row>
    <row r="902" spans="3:9" x14ac:dyDescent="0.25">
      <c r="C902" s="1">
        <v>26</v>
      </c>
      <c r="D902" s="1">
        <v>2</v>
      </c>
      <c r="E902" s="1">
        <v>10</v>
      </c>
      <c r="F902" s="1">
        <v>17</v>
      </c>
      <c r="G902" s="1">
        <v>788</v>
      </c>
      <c r="H902" s="1">
        <v>836</v>
      </c>
      <c r="I902" s="1">
        <f t="shared" si="3"/>
        <v>48</v>
      </c>
    </row>
    <row r="903" spans="3:9" x14ac:dyDescent="0.25">
      <c r="C903" s="1">
        <v>26</v>
      </c>
      <c r="D903" s="1">
        <v>2</v>
      </c>
      <c r="E903" s="1">
        <v>10</v>
      </c>
      <c r="F903" s="1">
        <v>18</v>
      </c>
      <c r="G903" s="1">
        <v>836</v>
      </c>
      <c r="H903" s="1">
        <v>882</v>
      </c>
      <c r="I903" s="1">
        <f t="shared" si="3"/>
        <v>46</v>
      </c>
    </row>
    <row r="904" spans="3:9" x14ac:dyDescent="0.25">
      <c r="C904" s="1">
        <v>26</v>
      </c>
      <c r="D904" s="1">
        <v>2</v>
      </c>
      <c r="E904" s="1">
        <v>10</v>
      </c>
      <c r="F904" s="1">
        <v>19</v>
      </c>
      <c r="G904" s="1">
        <v>882</v>
      </c>
      <c r="H904" s="1">
        <v>931</v>
      </c>
      <c r="I904" s="1">
        <f t="shared" si="3"/>
        <v>49</v>
      </c>
    </row>
    <row r="905" spans="3:9" x14ac:dyDescent="0.25">
      <c r="C905" s="1">
        <v>26</v>
      </c>
      <c r="D905" s="1">
        <v>2</v>
      </c>
      <c r="E905" s="1">
        <v>10</v>
      </c>
      <c r="F905" s="1">
        <v>20</v>
      </c>
      <c r="G905" s="1">
        <v>931</v>
      </c>
      <c r="H905" s="1">
        <v>975</v>
      </c>
      <c r="I905" s="1">
        <f t="shared" si="3"/>
        <v>44</v>
      </c>
    </row>
    <row r="906" spans="3:9" x14ac:dyDescent="0.25">
      <c r="C906" s="1">
        <v>26</v>
      </c>
      <c r="D906" s="1">
        <v>2</v>
      </c>
      <c r="E906" s="1">
        <v>10</v>
      </c>
      <c r="F906" s="1">
        <v>21</v>
      </c>
      <c r="G906" s="1">
        <v>975</v>
      </c>
      <c r="H906" s="1">
        <v>1016</v>
      </c>
      <c r="I906" s="1">
        <f t="shared" si="3"/>
        <v>41</v>
      </c>
    </row>
    <row r="907" spans="3:9" x14ac:dyDescent="0.25">
      <c r="C907" s="1">
        <v>26</v>
      </c>
      <c r="D907" s="1">
        <v>2</v>
      </c>
      <c r="E907" s="1">
        <v>10</v>
      </c>
      <c r="F907" s="1">
        <v>22</v>
      </c>
      <c r="G907" s="1">
        <v>1017</v>
      </c>
      <c r="H907" s="1">
        <v>1058</v>
      </c>
      <c r="I907" s="1">
        <f t="shared" si="3"/>
        <v>41</v>
      </c>
    </row>
    <row r="908" spans="3:9" x14ac:dyDescent="0.25">
      <c r="C908" s="1">
        <v>26</v>
      </c>
      <c r="D908" s="1">
        <v>2</v>
      </c>
      <c r="E908" s="1">
        <v>10</v>
      </c>
      <c r="F908" s="1">
        <v>23</v>
      </c>
      <c r="G908" s="1">
        <v>1058</v>
      </c>
      <c r="H908" s="1">
        <v>1106</v>
      </c>
      <c r="I908" s="1">
        <f t="shared" si="3"/>
        <v>48</v>
      </c>
    </row>
    <row r="909" spans="3:9" x14ac:dyDescent="0.25">
      <c r="C909" s="1">
        <v>26</v>
      </c>
      <c r="D909" s="1">
        <v>2</v>
      </c>
      <c r="E909" s="1">
        <v>10</v>
      </c>
      <c r="F909" s="1">
        <v>24</v>
      </c>
      <c r="G909" s="1">
        <v>1106</v>
      </c>
      <c r="H909" s="1">
        <v>1163</v>
      </c>
      <c r="I909" s="1">
        <f t="shared" ref="I909:I910" si="4">H909-G909</f>
        <v>57</v>
      </c>
    </row>
    <row r="910" spans="3:9" x14ac:dyDescent="0.25">
      <c r="C910" s="1">
        <v>26</v>
      </c>
      <c r="D910" s="1">
        <v>2</v>
      </c>
      <c r="E910" s="1">
        <v>10</v>
      </c>
      <c r="F910" s="1">
        <v>25</v>
      </c>
      <c r="G910" s="1">
        <v>1163</v>
      </c>
      <c r="H910" s="1">
        <v>1200</v>
      </c>
      <c r="I910" s="1">
        <f t="shared" si="4"/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54"/>
  <sheetViews>
    <sheetView zoomScaleNormal="100" workbookViewId="0">
      <pane ySplit="1" topLeftCell="A781" activePane="bottomLeft" state="frozen"/>
      <selection pane="bottomLeft" activeCell="J785" sqref="J785"/>
    </sheetView>
  </sheetViews>
  <sheetFormatPr defaultRowHeight="15" x14ac:dyDescent="0.25"/>
  <cols>
    <col min="1" max="1" width="8.85546875" style="5"/>
    <col min="2" max="2" width="12.140625" style="1" customWidth="1"/>
    <col min="3" max="8" width="8.85546875" style="1"/>
    <col min="9" max="9" width="10.140625" style="1" customWidth="1"/>
    <col min="10" max="10" width="8.85546875" style="8"/>
  </cols>
  <sheetData>
    <row r="1" spans="1:10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12</v>
      </c>
    </row>
    <row r="2" spans="1:10" x14ac:dyDescent="0.25">
      <c r="A2" s="5">
        <v>1</v>
      </c>
      <c r="B2" s="2">
        <v>43784</v>
      </c>
      <c r="C2" s="1">
        <v>1</v>
      </c>
      <c r="D2" s="1">
        <v>1</v>
      </c>
      <c r="E2" s="1">
        <v>30</v>
      </c>
      <c r="F2" s="1">
        <v>1</v>
      </c>
      <c r="G2" s="1">
        <v>0</v>
      </c>
      <c r="H2" s="1">
        <v>19</v>
      </c>
      <c r="I2" s="1">
        <f>H2-G2</f>
        <v>19</v>
      </c>
      <c r="J2" s="8">
        <f>(I2+I3+I4+I19+I18+I17+I10+I11+I9)/9</f>
        <v>31.222222222222221</v>
      </c>
    </row>
    <row r="3" spans="1:10" x14ac:dyDescent="0.25">
      <c r="C3" s="1">
        <v>1</v>
      </c>
      <c r="D3" s="1">
        <v>1</v>
      </c>
      <c r="E3" s="1">
        <v>30</v>
      </c>
      <c r="F3" s="1">
        <v>2</v>
      </c>
      <c r="G3" s="1">
        <v>19</v>
      </c>
      <c r="H3" s="1">
        <v>63</v>
      </c>
      <c r="I3" s="1">
        <f t="shared" ref="I3:I74" si="0">H3-G3</f>
        <v>44</v>
      </c>
    </row>
    <row r="4" spans="1:10" x14ac:dyDescent="0.25">
      <c r="C4" s="1">
        <v>1</v>
      </c>
      <c r="D4" s="1">
        <v>1</v>
      </c>
      <c r="E4" s="1">
        <v>30</v>
      </c>
      <c r="F4" s="1">
        <v>3</v>
      </c>
      <c r="G4" s="1">
        <v>63</v>
      </c>
      <c r="H4" s="1">
        <v>106</v>
      </c>
      <c r="I4" s="1">
        <f t="shared" si="0"/>
        <v>43</v>
      </c>
    </row>
    <row r="5" spans="1:10" x14ac:dyDescent="0.25">
      <c r="C5" s="1">
        <v>1</v>
      </c>
      <c r="D5" s="1">
        <v>1</v>
      </c>
      <c r="E5" s="1">
        <v>30</v>
      </c>
      <c r="F5" s="1">
        <v>4</v>
      </c>
      <c r="G5" s="1">
        <v>122</v>
      </c>
      <c r="H5" s="1">
        <v>179</v>
      </c>
      <c r="I5" s="1">
        <f t="shared" si="0"/>
        <v>57</v>
      </c>
    </row>
    <row r="6" spans="1:10" x14ac:dyDescent="0.25">
      <c r="C6" s="1">
        <v>1</v>
      </c>
      <c r="D6" s="1">
        <v>1</v>
      </c>
      <c r="E6" s="1">
        <v>30</v>
      </c>
      <c r="F6" s="1">
        <v>5</v>
      </c>
      <c r="G6" s="1">
        <v>179</v>
      </c>
      <c r="H6" s="1">
        <v>233</v>
      </c>
      <c r="I6" s="1">
        <f t="shared" si="0"/>
        <v>54</v>
      </c>
    </row>
    <row r="7" spans="1:10" x14ac:dyDescent="0.25">
      <c r="C7" s="1">
        <v>1</v>
      </c>
      <c r="D7" s="1">
        <v>1</v>
      </c>
      <c r="E7" s="1">
        <v>30</v>
      </c>
      <c r="F7" s="1">
        <v>6</v>
      </c>
      <c r="G7" s="1">
        <v>233</v>
      </c>
      <c r="H7" s="1">
        <v>264</v>
      </c>
      <c r="I7" s="1">
        <f t="shared" si="0"/>
        <v>31</v>
      </c>
    </row>
    <row r="8" spans="1:10" x14ac:dyDescent="0.25">
      <c r="C8" s="1">
        <v>1</v>
      </c>
      <c r="D8" s="1">
        <v>1</v>
      </c>
      <c r="E8" s="1">
        <v>30</v>
      </c>
      <c r="F8" s="1">
        <v>7</v>
      </c>
      <c r="G8" s="1">
        <v>264</v>
      </c>
      <c r="H8" s="1">
        <v>289</v>
      </c>
      <c r="I8" s="1">
        <f t="shared" si="0"/>
        <v>25</v>
      </c>
    </row>
    <row r="9" spans="1:10" x14ac:dyDescent="0.25">
      <c r="C9" s="1">
        <v>1</v>
      </c>
      <c r="D9" s="1">
        <v>1</v>
      </c>
      <c r="E9" s="1">
        <v>30</v>
      </c>
      <c r="F9" s="1">
        <v>8</v>
      </c>
      <c r="G9" s="1">
        <v>289</v>
      </c>
      <c r="H9" s="1">
        <v>300</v>
      </c>
      <c r="I9" s="1">
        <f t="shared" si="0"/>
        <v>11</v>
      </c>
    </row>
    <row r="10" spans="1:10" x14ac:dyDescent="0.25">
      <c r="C10" s="1">
        <v>1</v>
      </c>
      <c r="D10" s="1">
        <v>1</v>
      </c>
      <c r="E10" s="1">
        <v>30</v>
      </c>
      <c r="F10" s="1">
        <v>9</v>
      </c>
      <c r="G10" s="1">
        <v>304</v>
      </c>
      <c r="H10" s="1">
        <v>353</v>
      </c>
      <c r="I10" s="1">
        <f t="shared" si="0"/>
        <v>49</v>
      </c>
    </row>
    <row r="11" spans="1:10" x14ac:dyDescent="0.25">
      <c r="C11" s="1">
        <v>1</v>
      </c>
      <c r="D11" s="1">
        <v>1</v>
      </c>
      <c r="E11" s="1">
        <v>30</v>
      </c>
      <c r="F11" s="1">
        <v>10</v>
      </c>
      <c r="G11" s="1">
        <v>362</v>
      </c>
      <c r="H11" s="1">
        <v>411</v>
      </c>
      <c r="I11" s="1">
        <f t="shared" si="0"/>
        <v>49</v>
      </c>
    </row>
    <row r="12" spans="1:10" x14ac:dyDescent="0.25">
      <c r="C12" s="1">
        <v>1</v>
      </c>
      <c r="D12" s="1">
        <v>1</v>
      </c>
      <c r="E12" s="1">
        <v>30</v>
      </c>
      <c r="F12" s="1">
        <v>11</v>
      </c>
      <c r="G12" s="1">
        <v>411</v>
      </c>
      <c r="H12" s="1">
        <v>441</v>
      </c>
      <c r="I12" s="1">
        <f t="shared" si="0"/>
        <v>30</v>
      </c>
    </row>
    <row r="13" spans="1:10" x14ac:dyDescent="0.25">
      <c r="C13" s="1">
        <v>1</v>
      </c>
      <c r="D13" s="1">
        <v>1</v>
      </c>
      <c r="E13" s="1">
        <v>30</v>
      </c>
      <c r="F13" s="1">
        <v>12</v>
      </c>
      <c r="G13" s="1">
        <v>442</v>
      </c>
      <c r="H13" s="1">
        <v>479</v>
      </c>
      <c r="I13" s="1">
        <f t="shared" si="0"/>
        <v>37</v>
      </c>
    </row>
    <row r="14" spans="1:10" x14ac:dyDescent="0.25">
      <c r="C14" s="1">
        <v>1</v>
      </c>
      <c r="D14" s="1">
        <v>1</v>
      </c>
      <c r="E14" s="1">
        <v>30</v>
      </c>
      <c r="F14" s="1">
        <v>13</v>
      </c>
      <c r="G14" s="1">
        <v>479</v>
      </c>
      <c r="H14" s="1">
        <v>525</v>
      </c>
      <c r="I14" s="1">
        <f t="shared" si="0"/>
        <v>46</v>
      </c>
    </row>
    <row r="15" spans="1:10" x14ac:dyDescent="0.25">
      <c r="C15" s="1">
        <v>1</v>
      </c>
      <c r="D15" s="1">
        <v>1</v>
      </c>
      <c r="E15" s="1">
        <v>30</v>
      </c>
      <c r="F15" s="1">
        <v>14</v>
      </c>
      <c r="G15" s="1">
        <v>525</v>
      </c>
      <c r="H15" s="1">
        <v>550</v>
      </c>
      <c r="I15" s="1">
        <f t="shared" si="0"/>
        <v>25</v>
      </c>
    </row>
    <row r="16" spans="1:10" x14ac:dyDescent="0.25">
      <c r="C16" s="1">
        <v>1</v>
      </c>
      <c r="D16" s="1">
        <v>1</v>
      </c>
      <c r="E16" s="1">
        <v>30</v>
      </c>
      <c r="F16" s="1">
        <v>15</v>
      </c>
      <c r="G16" s="1">
        <v>550</v>
      </c>
      <c r="H16" s="1">
        <v>557</v>
      </c>
      <c r="I16" s="1">
        <f t="shared" si="0"/>
        <v>7</v>
      </c>
    </row>
    <row r="17" spans="1:10" x14ac:dyDescent="0.25">
      <c r="C17" s="1">
        <v>1</v>
      </c>
      <c r="D17" s="1">
        <v>1</v>
      </c>
      <c r="E17" s="1">
        <v>30</v>
      </c>
      <c r="F17" s="1">
        <v>16</v>
      </c>
      <c r="G17" s="1">
        <v>557</v>
      </c>
      <c r="H17" s="1">
        <v>581</v>
      </c>
      <c r="I17" s="1">
        <f t="shared" si="0"/>
        <v>24</v>
      </c>
    </row>
    <row r="18" spans="1:10" x14ac:dyDescent="0.25">
      <c r="C18" s="1">
        <v>1</v>
      </c>
      <c r="D18" s="1">
        <v>1</v>
      </c>
      <c r="E18" s="1">
        <v>30</v>
      </c>
      <c r="F18" s="1">
        <v>17</v>
      </c>
      <c r="G18" s="1">
        <v>581</v>
      </c>
      <c r="H18" s="1">
        <v>618</v>
      </c>
      <c r="I18" s="1">
        <f t="shared" si="0"/>
        <v>37</v>
      </c>
    </row>
    <row r="19" spans="1:10" x14ac:dyDescent="0.25">
      <c r="C19" s="1">
        <v>1</v>
      </c>
      <c r="D19" s="1">
        <v>1</v>
      </c>
      <c r="E19" s="1">
        <v>30</v>
      </c>
      <c r="F19" s="1">
        <v>18</v>
      </c>
      <c r="G19" s="1">
        <v>618</v>
      </c>
      <c r="H19" s="1">
        <v>623</v>
      </c>
      <c r="I19" s="1">
        <f t="shared" si="0"/>
        <v>5</v>
      </c>
    </row>
    <row r="20" spans="1:10" x14ac:dyDescent="0.25">
      <c r="A20" s="5">
        <v>1</v>
      </c>
      <c r="B20" s="2">
        <v>43782</v>
      </c>
      <c r="C20" s="1">
        <v>2</v>
      </c>
      <c r="D20" s="1">
        <v>2</v>
      </c>
      <c r="E20" s="1">
        <v>30</v>
      </c>
      <c r="F20" s="1">
        <v>1</v>
      </c>
      <c r="G20" s="1">
        <v>0</v>
      </c>
      <c r="H20" s="1">
        <v>37</v>
      </c>
      <c r="I20" s="1">
        <f t="shared" si="0"/>
        <v>37</v>
      </c>
      <c r="J20" s="8">
        <f>(I20+I21+I22+I37+I36+I35+I28+I29+I30)/9</f>
        <v>29.111111111111111</v>
      </c>
    </row>
    <row r="21" spans="1:10" x14ac:dyDescent="0.25">
      <c r="C21" s="1">
        <v>2</v>
      </c>
      <c r="D21" s="1">
        <v>2</v>
      </c>
      <c r="E21" s="1">
        <v>30</v>
      </c>
      <c r="F21" s="1">
        <v>2</v>
      </c>
      <c r="G21" s="1">
        <v>37</v>
      </c>
      <c r="H21" s="1">
        <v>74</v>
      </c>
      <c r="I21" s="1">
        <f t="shared" si="0"/>
        <v>37</v>
      </c>
    </row>
    <row r="22" spans="1:10" x14ac:dyDescent="0.25">
      <c r="C22" s="1">
        <v>2</v>
      </c>
      <c r="D22" s="1">
        <v>2</v>
      </c>
      <c r="E22" s="1">
        <v>30</v>
      </c>
      <c r="F22" s="1">
        <v>3</v>
      </c>
      <c r="G22" s="1">
        <v>74</v>
      </c>
      <c r="H22" s="1">
        <v>111</v>
      </c>
      <c r="I22" s="1">
        <f t="shared" si="0"/>
        <v>37</v>
      </c>
    </row>
    <row r="23" spans="1:10" x14ac:dyDescent="0.25">
      <c r="C23" s="1">
        <v>2</v>
      </c>
      <c r="D23" s="1">
        <v>2</v>
      </c>
      <c r="E23" s="1">
        <v>30</v>
      </c>
      <c r="F23" s="1">
        <v>4</v>
      </c>
      <c r="G23" s="1">
        <v>111</v>
      </c>
      <c r="H23" s="1">
        <v>141</v>
      </c>
      <c r="I23" s="1">
        <f t="shared" si="0"/>
        <v>30</v>
      </c>
    </row>
    <row r="24" spans="1:10" x14ac:dyDescent="0.25">
      <c r="C24" s="1">
        <v>2</v>
      </c>
      <c r="D24" s="1">
        <v>2</v>
      </c>
      <c r="E24" s="1">
        <v>30</v>
      </c>
      <c r="F24" s="1">
        <v>5</v>
      </c>
      <c r="G24" s="1">
        <v>141</v>
      </c>
      <c r="H24" s="1">
        <v>165</v>
      </c>
      <c r="I24" s="1">
        <f t="shared" si="0"/>
        <v>24</v>
      </c>
    </row>
    <row r="25" spans="1:10" x14ac:dyDescent="0.25">
      <c r="C25" s="1">
        <v>2</v>
      </c>
      <c r="D25" s="1">
        <v>2</v>
      </c>
      <c r="E25" s="1">
        <v>30</v>
      </c>
      <c r="F25" s="1">
        <v>6</v>
      </c>
      <c r="G25" s="1">
        <v>165</v>
      </c>
      <c r="H25" s="1">
        <v>204</v>
      </c>
      <c r="I25" s="1">
        <f t="shared" si="0"/>
        <v>39</v>
      </c>
    </row>
    <row r="26" spans="1:10" x14ac:dyDescent="0.25">
      <c r="C26" s="1">
        <v>2</v>
      </c>
      <c r="D26" s="1">
        <v>2</v>
      </c>
      <c r="E26" s="1">
        <v>30</v>
      </c>
      <c r="F26" s="1">
        <v>7</v>
      </c>
      <c r="G26" s="1">
        <v>204</v>
      </c>
      <c r="H26" s="1">
        <v>236</v>
      </c>
      <c r="I26" s="1">
        <f t="shared" si="0"/>
        <v>32</v>
      </c>
    </row>
    <row r="27" spans="1:10" x14ac:dyDescent="0.25">
      <c r="C27" s="1">
        <v>2</v>
      </c>
      <c r="D27" s="1">
        <v>2</v>
      </c>
      <c r="E27" s="1">
        <v>30</v>
      </c>
      <c r="F27" s="1">
        <v>8</v>
      </c>
      <c r="G27" s="1">
        <v>236</v>
      </c>
      <c r="H27" s="1">
        <v>267</v>
      </c>
      <c r="I27" s="1">
        <f t="shared" si="0"/>
        <v>31</v>
      </c>
    </row>
    <row r="28" spans="1:10" x14ac:dyDescent="0.25">
      <c r="C28" s="1">
        <v>2</v>
      </c>
      <c r="D28" s="1">
        <v>2</v>
      </c>
      <c r="E28" s="1">
        <v>30</v>
      </c>
      <c r="F28" s="1">
        <v>9</v>
      </c>
      <c r="G28" s="1">
        <v>267</v>
      </c>
      <c r="H28" s="1">
        <v>285</v>
      </c>
      <c r="I28" s="1">
        <f t="shared" si="0"/>
        <v>18</v>
      </c>
    </row>
    <row r="29" spans="1:10" x14ac:dyDescent="0.25">
      <c r="C29" s="1">
        <v>2</v>
      </c>
      <c r="D29" s="1">
        <v>2</v>
      </c>
      <c r="E29" s="1">
        <v>30</v>
      </c>
      <c r="F29" s="1">
        <v>10</v>
      </c>
      <c r="G29" s="1">
        <v>285</v>
      </c>
      <c r="H29" s="1">
        <v>289</v>
      </c>
      <c r="I29" s="1">
        <f t="shared" si="0"/>
        <v>4</v>
      </c>
    </row>
    <row r="30" spans="1:10" x14ac:dyDescent="0.25">
      <c r="C30" s="1">
        <v>2</v>
      </c>
      <c r="D30" s="1">
        <v>2</v>
      </c>
      <c r="E30" s="1">
        <v>30</v>
      </c>
      <c r="F30" s="1">
        <v>11</v>
      </c>
      <c r="G30" s="1">
        <v>289</v>
      </c>
      <c r="H30" s="1">
        <v>325</v>
      </c>
      <c r="I30" s="1">
        <f t="shared" si="0"/>
        <v>36</v>
      </c>
    </row>
    <row r="31" spans="1:10" x14ac:dyDescent="0.25">
      <c r="C31" s="1">
        <v>2</v>
      </c>
      <c r="D31" s="1">
        <v>2</v>
      </c>
      <c r="E31" s="1">
        <v>30</v>
      </c>
      <c r="F31" s="1">
        <v>12</v>
      </c>
      <c r="G31" s="1">
        <v>325</v>
      </c>
      <c r="H31" s="1">
        <v>361</v>
      </c>
      <c r="I31" s="1">
        <f t="shared" si="0"/>
        <v>36</v>
      </c>
    </row>
    <row r="32" spans="1:10" x14ac:dyDescent="0.25">
      <c r="C32" s="1">
        <v>2</v>
      </c>
      <c r="D32" s="1">
        <v>2</v>
      </c>
      <c r="E32" s="1">
        <v>30</v>
      </c>
      <c r="F32" s="1">
        <v>13</v>
      </c>
      <c r="G32" s="1">
        <v>361</v>
      </c>
      <c r="H32" s="1">
        <v>399</v>
      </c>
      <c r="I32" s="1">
        <f t="shared" si="0"/>
        <v>38</v>
      </c>
    </row>
    <row r="33" spans="1:10" x14ac:dyDescent="0.25">
      <c r="C33" s="1">
        <v>2</v>
      </c>
      <c r="D33" s="1">
        <v>2</v>
      </c>
      <c r="E33" s="1">
        <v>30</v>
      </c>
      <c r="F33" s="1">
        <v>14</v>
      </c>
      <c r="G33" s="1">
        <v>401</v>
      </c>
      <c r="H33" s="1">
        <v>435</v>
      </c>
      <c r="I33" s="1">
        <f t="shared" si="0"/>
        <v>34</v>
      </c>
    </row>
    <row r="34" spans="1:10" x14ac:dyDescent="0.25">
      <c r="C34" s="1">
        <v>2</v>
      </c>
      <c r="D34" s="1">
        <v>2</v>
      </c>
      <c r="E34" s="1">
        <v>30</v>
      </c>
      <c r="F34" s="1">
        <v>15</v>
      </c>
      <c r="G34" s="1">
        <v>435</v>
      </c>
      <c r="H34" s="1">
        <v>468</v>
      </c>
      <c r="I34" s="1">
        <f t="shared" si="0"/>
        <v>33</v>
      </c>
    </row>
    <row r="35" spans="1:10" x14ac:dyDescent="0.25">
      <c r="C35" s="1">
        <v>2</v>
      </c>
      <c r="D35" s="1">
        <v>2</v>
      </c>
      <c r="E35" s="1">
        <v>30</v>
      </c>
      <c r="F35" s="1">
        <v>16</v>
      </c>
      <c r="G35" s="1">
        <v>468</v>
      </c>
      <c r="H35" s="1">
        <v>499</v>
      </c>
      <c r="I35" s="1">
        <f t="shared" si="0"/>
        <v>31</v>
      </c>
    </row>
    <row r="36" spans="1:10" x14ac:dyDescent="0.25">
      <c r="C36" s="1">
        <v>2</v>
      </c>
      <c r="D36" s="1">
        <v>2</v>
      </c>
      <c r="E36" s="1">
        <v>30</v>
      </c>
      <c r="F36" s="1">
        <v>17</v>
      </c>
      <c r="G36" s="1">
        <v>499</v>
      </c>
      <c r="H36" s="1">
        <v>523</v>
      </c>
      <c r="I36" s="1">
        <f t="shared" si="0"/>
        <v>24</v>
      </c>
    </row>
    <row r="37" spans="1:10" x14ac:dyDescent="0.25">
      <c r="C37" s="1">
        <v>2</v>
      </c>
      <c r="D37" s="1">
        <v>2</v>
      </c>
      <c r="E37" s="1">
        <v>30</v>
      </c>
      <c r="F37" s="1">
        <v>18</v>
      </c>
      <c r="G37" s="1">
        <v>523</v>
      </c>
      <c r="H37" s="1">
        <v>561</v>
      </c>
      <c r="I37" s="1">
        <f t="shared" si="0"/>
        <v>38</v>
      </c>
    </row>
    <row r="38" spans="1:10" x14ac:dyDescent="0.25">
      <c r="A38" s="5">
        <v>1</v>
      </c>
      <c r="B38" s="2">
        <v>43780</v>
      </c>
      <c r="C38" s="1">
        <v>3</v>
      </c>
      <c r="D38" s="1">
        <v>1</v>
      </c>
      <c r="E38" s="1">
        <v>30</v>
      </c>
      <c r="F38" s="1">
        <v>1</v>
      </c>
      <c r="G38" s="1">
        <v>0</v>
      </c>
      <c r="H38" s="1">
        <v>47</v>
      </c>
      <c r="I38" s="1">
        <f t="shared" si="0"/>
        <v>47</v>
      </c>
      <c r="J38" s="8">
        <f>(I38+I39+I40+I53+I52+I51+I46+I45+I44)/9</f>
        <v>37.777777777777779</v>
      </c>
    </row>
    <row r="39" spans="1:10" x14ac:dyDescent="0.25">
      <c r="C39" s="1">
        <v>3</v>
      </c>
      <c r="D39" s="1">
        <v>1</v>
      </c>
      <c r="E39" s="1">
        <v>30</v>
      </c>
      <c r="F39" s="1">
        <v>2</v>
      </c>
      <c r="G39" s="1">
        <v>48</v>
      </c>
      <c r="H39" s="1">
        <v>110</v>
      </c>
      <c r="I39" s="1">
        <f t="shared" si="0"/>
        <v>62</v>
      </c>
    </row>
    <row r="40" spans="1:10" x14ac:dyDescent="0.25">
      <c r="C40" s="1">
        <v>3</v>
      </c>
      <c r="D40" s="1">
        <v>1</v>
      </c>
      <c r="E40" s="1">
        <v>30</v>
      </c>
      <c r="F40" s="1">
        <v>3</v>
      </c>
      <c r="G40" s="1">
        <v>110</v>
      </c>
      <c r="H40" s="1">
        <v>167</v>
      </c>
      <c r="I40" s="1">
        <f t="shared" si="0"/>
        <v>57</v>
      </c>
    </row>
    <row r="41" spans="1:10" x14ac:dyDescent="0.25">
      <c r="C41" s="1">
        <v>3</v>
      </c>
      <c r="D41" s="1">
        <v>1</v>
      </c>
      <c r="E41" s="1">
        <v>30</v>
      </c>
      <c r="F41" s="1">
        <v>4</v>
      </c>
      <c r="G41" s="1">
        <v>168</v>
      </c>
      <c r="H41" s="1">
        <v>222</v>
      </c>
      <c r="I41" s="1">
        <f t="shared" si="0"/>
        <v>54</v>
      </c>
    </row>
    <row r="42" spans="1:10" x14ac:dyDescent="0.25">
      <c r="C42" s="1">
        <v>3</v>
      </c>
      <c r="D42" s="1">
        <v>1</v>
      </c>
      <c r="E42" s="1">
        <v>30</v>
      </c>
      <c r="F42" s="1">
        <v>5</v>
      </c>
      <c r="G42" s="1">
        <v>222</v>
      </c>
      <c r="H42" s="1">
        <v>271</v>
      </c>
      <c r="I42" s="1">
        <f t="shared" si="0"/>
        <v>49</v>
      </c>
    </row>
    <row r="43" spans="1:10" x14ac:dyDescent="0.25">
      <c r="C43" s="1">
        <v>3</v>
      </c>
      <c r="D43" s="1">
        <v>1</v>
      </c>
      <c r="E43" s="1">
        <v>30</v>
      </c>
      <c r="F43" s="1">
        <v>6</v>
      </c>
      <c r="G43" s="1">
        <v>284</v>
      </c>
      <c r="H43" s="1">
        <v>339</v>
      </c>
      <c r="I43" s="1">
        <f t="shared" si="0"/>
        <v>55</v>
      </c>
    </row>
    <row r="44" spans="1:10" x14ac:dyDescent="0.25">
      <c r="C44" s="1">
        <v>3</v>
      </c>
      <c r="D44" s="1">
        <v>1</v>
      </c>
      <c r="E44" s="1">
        <v>30</v>
      </c>
      <c r="F44" s="1">
        <v>7</v>
      </c>
      <c r="G44" s="1">
        <v>341</v>
      </c>
      <c r="H44" s="1">
        <v>391</v>
      </c>
      <c r="I44" s="1">
        <f t="shared" si="0"/>
        <v>50</v>
      </c>
    </row>
    <row r="45" spans="1:10" x14ac:dyDescent="0.25">
      <c r="C45" s="1">
        <v>3</v>
      </c>
      <c r="D45" s="1">
        <v>1</v>
      </c>
      <c r="E45" s="1">
        <v>30</v>
      </c>
      <c r="F45" s="1">
        <v>8</v>
      </c>
      <c r="G45" s="1">
        <v>391</v>
      </c>
      <c r="H45" s="1">
        <v>433</v>
      </c>
      <c r="I45" s="1">
        <f t="shared" si="0"/>
        <v>42</v>
      </c>
    </row>
    <row r="46" spans="1:10" x14ac:dyDescent="0.25">
      <c r="C46" s="1">
        <v>3</v>
      </c>
      <c r="D46" s="1">
        <v>1</v>
      </c>
      <c r="E46" s="1">
        <v>30</v>
      </c>
      <c r="F46" s="1">
        <v>9</v>
      </c>
      <c r="G46" s="1">
        <v>433</v>
      </c>
      <c r="H46" s="1">
        <v>474</v>
      </c>
      <c r="I46" s="1">
        <f t="shared" si="0"/>
        <v>41</v>
      </c>
    </row>
    <row r="47" spans="1:10" x14ac:dyDescent="0.25">
      <c r="C47" s="1">
        <v>3</v>
      </c>
      <c r="D47" s="1">
        <v>1</v>
      </c>
      <c r="E47" s="1">
        <v>30</v>
      </c>
      <c r="F47" s="1">
        <v>10</v>
      </c>
      <c r="G47" s="1">
        <v>474</v>
      </c>
      <c r="H47" s="1">
        <v>502</v>
      </c>
      <c r="I47" s="1">
        <f t="shared" si="0"/>
        <v>28</v>
      </c>
    </row>
    <row r="48" spans="1:10" x14ac:dyDescent="0.25">
      <c r="C48" s="1">
        <v>3</v>
      </c>
      <c r="D48" s="1">
        <v>1</v>
      </c>
      <c r="E48" s="1">
        <v>30</v>
      </c>
      <c r="F48" s="1">
        <v>11</v>
      </c>
      <c r="G48" s="1">
        <v>504</v>
      </c>
      <c r="H48" s="1">
        <v>541</v>
      </c>
      <c r="I48" s="1">
        <f t="shared" si="0"/>
        <v>37</v>
      </c>
    </row>
    <row r="49" spans="1:10" x14ac:dyDescent="0.25">
      <c r="C49" s="1">
        <v>3</v>
      </c>
      <c r="D49" s="1">
        <v>1</v>
      </c>
      <c r="E49" s="1">
        <v>30</v>
      </c>
      <c r="F49" s="1">
        <v>12</v>
      </c>
      <c r="G49" s="1">
        <v>541</v>
      </c>
      <c r="H49" s="1">
        <v>559</v>
      </c>
      <c r="I49" s="1">
        <f t="shared" si="0"/>
        <v>18</v>
      </c>
    </row>
    <row r="50" spans="1:10" x14ac:dyDescent="0.25">
      <c r="C50" s="1">
        <v>3</v>
      </c>
      <c r="D50" s="1">
        <v>1</v>
      </c>
      <c r="E50" s="1">
        <v>30</v>
      </c>
      <c r="F50" s="1">
        <v>13</v>
      </c>
      <c r="G50" s="1">
        <v>559</v>
      </c>
      <c r="H50" s="1">
        <v>570</v>
      </c>
      <c r="I50" s="1">
        <f t="shared" si="0"/>
        <v>11</v>
      </c>
    </row>
    <row r="51" spans="1:10" x14ac:dyDescent="0.25">
      <c r="C51" s="1">
        <v>3</v>
      </c>
      <c r="D51" s="1">
        <v>1</v>
      </c>
      <c r="E51" s="1">
        <v>30</v>
      </c>
      <c r="F51" s="1">
        <v>14</v>
      </c>
      <c r="G51" s="1">
        <v>570</v>
      </c>
      <c r="H51" s="1">
        <v>574</v>
      </c>
      <c r="I51" s="1">
        <f t="shared" si="0"/>
        <v>4</v>
      </c>
    </row>
    <row r="52" spans="1:10" x14ac:dyDescent="0.25">
      <c r="C52" s="1">
        <v>3</v>
      </c>
      <c r="D52" s="1">
        <v>1</v>
      </c>
      <c r="E52" s="1">
        <v>30</v>
      </c>
      <c r="F52" s="1">
        <v>15</v>
      </c>
      <c r="G52" s="1">
        <v>577</v>
      </c>
      <c r="H52" s="1">
        <v>607</v>
      </c>
      <c r="I52" s="1">
        <f t="shared" si="0"/>
        <v>30</v>
      </c>
    </row>
    <row r="53" spans="1:10" x14ac:dyDescent="0.25">
      <c r="C53" s="1">
        <v>3</v>
      </c>
      <c r="D53" s="1">
        <v>1</v>
      </c>
      <c r="E53" s="1">
        <v>30</v>
      </c>
      <c r="F53" s="1">
        <v>16</v>
      </c>
      <c r="G53" s="1">
        <v>607</v>
      </c>
      <c r="H53" s="1">
        <v>614</v>
      </c>
      <c r="I53" s="1">
        <f t="shared" si="0"/>
        <v>7</v>
      </c>
    </row>
    <row r="54" spans="1:10" x14ac:dyDescent="0.25">
      <c r="A54" s="5">
        <v>1</v>
      </c>
      <c r="B54" s="2">
        <v>43784</v>
      </c>
      <c r="C54" s="1">
        <v>4</v>
      </c>
      <c r="D54" s="1">
        <v>1</v>
      </c>
      <c r="E54" s="1">
        <v>30</v>
      </c>
      <c r="F54" s="1">
        <v>1</v>
      </c>
      <c r="G54" s="1">
        <v>0</v>
      </c>
      <c r="H54" s="1">
        <v>31</v>
      </c>
      <c r="I54" s="1">
        <f t="shared" si="0"/>
        <v>31</v>
      </c>
      <c r="J54" s="8">
        <f>(I54+I55+I56+I71+I70+I69+I62+I63+I64)/9</f>
        <v>39.555555555555557</v>
      </c>
    </row>
    <row r="55" spans="1:10" x14ac:dyDescent="0.25">
      <c r="C55" s="1">
        <v>4</v>
      </c>
      <c r="D55" s="1">
        <v>1</v>
      </c>
      <c r="E55" s="1">
        <v>30</v>
      </c>
      <c r="F55" s="1">
        <v>2</v>
      </c>
      <c r="G55" s="1">
        <v>31</v>
      </c>
      <c r="H55" s="1">
        <v>67</v>
      </c>
      <c r="I55" s="1">
        <f t="shared" si="0"/>
        <v>36</v>
      </c>
    </row>
    <row r="56" spans="1:10" x14ac:dyDescent="0.25">
      <c r="C56" s="1">
        <v>4</v>
      </c>
      <c r="D56" s="1">
        <v>1</v>
      </c>
      <c r="E56" s="1">
        <v>30</v>
      </c>
      <c r="F56" s="1">
        <v>3</v>
      </c>
      <c r="G56" s="1">
        <v>67</v>
      </c>
      <c r="H56" s="1">
        <v>109</v>
      </c>
      <c r="I56" s="1">
        <f t="shared" si="0"/>
        <v>42</v>
      </c>
    </row>
    <row r="57" spans="1:10" x14ac:dyDescent="0.25">
      <c r="C57" s="1">
        <v>4</v>
      </c>
      <c r="D57" s="1">
        <v>1</v>
      </c>
      <c r="E57" s="1">
        <v>30</v>
      </c>
      <c r="F57" s="1">
        <v>4</v>
      </c>
      <c r="G57" s="1">
        <v>110</v>
      </c>
      <c r="H57" s="1">
        <v>151</v>
      </c>
      <c r="I57" s="1">
        <f t="shared" si="0"/>
        <v>41</v>
      </c>
    </row>
    <row r="58" spans="1:10" x14ac:dyDescent="0.25">
      <c r="C58" s="1">
        <v>4</v>
      </c>
      <c r="D58" s="1">
        <v>1</v>
      </c>
      <c r="E58" s="1">
        <v>30</v>
      </c>
      <c r="F58" s="1">
        <v>5</v>
      </c>
      <c r="G58" s="1">
        <v>151</v>
      </c>
      <c r="H58" s="1">
        <v>165</v>
      </c>
      <c r="I58" s="1">
        <f t="shared" si="0"/>
        <v>14</v>
      </c>
    </row>
    <row r="59" spans="1:10" x14ac:dyDescent="0.25">
      <c r="C59" s="1">
        <v>4</v>
      </c>
      <c r="D59" s="1">
        <v>1</v>
      </c>
      <c r="E59" s="1">
        <v>30</v>
      </c>
      <c r="F59" s="1">
        <v>6</v>
      </c>
      <c r="G59" s="1">
        <v>165</v>
      </c>
      <c r="H59" s="1">
        <v>222</v>
      </c>
      <c r="I59" s="1">
        <f t="shared" si="0"/>
        <v>57</v>
      </c>
    </row>
    <row r="60" spans="1:10" x14ac:dyDescent="0.25">
      <c r="C60" s="1">
        <v>4</v>
      </c>
      <c r="D60" s="1">
        <v>1</v>
      </c>
      <c r="E60" s="1">
        <v>30</v>
      </c>
      <c r="F60" s="1">
        <v>7</v>
      </c>
      <c r="G60" s="1">
        <v>227</v>
      </c>
      <c r="H60" s="1">
        <v>262</v>
      </c>
      <c r="I60" s="1">
        <f t="shared" si="0"/>
        <v>35</v>
      </c>
    </row>
    <row r="61" spans="1:10" x14ac:dyDescent="0.25">
      <c r="C61" s="1">
        <v>4</v>
      </c>
      <c r="D61" s="1">
        <v>1</v>
      </c>
      <c r="E61" s="1">
        <v>30</v>
      </c>
      <c r="F61" s="1">
        <v>8</v>
      </c>
      <c r="G61" s="1">
        <v>265</v>
      </c>
      <c r="H61" s="1">
        <v>296</v>
      </c>
      <c r="I61" s="1">
        <f t="shared" si="0"/>
        <v>31</v>
      </c>
    </row>
    <row r="62" spans="1:10" x14ac:dyDescent="0.25">
      <c r="C62" s="1">
        <v>4</v>
      </c>
      <c r="D62" s="1">
        <v>1</v>
      </c>
      <c r="E62" s="1">
        <v>30</v>
      </c>
      <c r="F62" s="1">
        <v>9</v>
      </c>
      <c r="G62" s="1">
        <v>300</v>
      </c>
      <c r="H62" s="1">
        <v>339</v>
      </c>
      <c r="I62" s="1">
        <f t="shared" si="0"/>
        <v>39</v>
      </c>
    </row>
    <row r="63" spans="1:10" x14ac:dyDescent="0.25">
      <c r="C63" s="1">
        <v>4</v>
      </c>
      <c r="D63" s="1">
        <v>1</v>
      </c>
      <c r="E63" s="1">
        <v>30</v>
      </c>
      <c r="F63" s="1">
        <v>10</v>
      </c>
      <c r="G63" s="1">
        <v>339</v>
      </c>
      <c r="H63" s="1">
        <v>379</v>
      </c>
      <c r="I63" s="1">
        <f t="shared" si="0"/>
        <v>40</v>
      </c>
    </row>
    <row r="64" spans="1:10" x14ac:dyDescent="0.25">
      <c r="C64" s="1">
        <v>4</v>
      </c>
      <c r="D64" s="1">
        <v>1</v>
      </c>
      <c r="E64" s="1">
        <v>30</v>
      </c>
      <c r="F64" s="1">
        <v>11</v>
      </c>
      <c r="G64" s="1">
        <v>379</v>
      </c>
      <c r="H64" s="1">
        <v>421</v>
      </c>
      <c r="I64" s="1">
        <f t="shared" si="0"/>
        <v>42</v>
      </c>
    </row>
    <row r="65" spans="1:10" x14ac:dyDescent="0.25">
      <c r="C65" s="1">
        <v>4</v>
      </c>
      <c r="D65" s="1">
        <v>1</v>
      </c>
      <c r="E65" s="1">
        <v>30</v>
      </c>
      <c r="F65" s="1">
        <v>12</v>
      </c>
      <c r="G65" s="1">
        <v>421</v>
      </c>
      <c r="H65" s="1">
        <v>458</v>
      </c>
      <c r="I65" s="1">
        <f t="shared" si="0"/>
        <v>37</v>
      </c>
    </row>
    <row r="66" spans="1:10" x14ac:dyDescent="0.25">
      <c r="C66" s="1">
        <v>4</v>
      </c>
      <c r="D66" s="1">
        <v>1</v>
      </c>
      <c r="E66" s="1">
        <v>30</v>
      </c>
      <c r="F66" s="1">
        <v>13</v>
      </c>
      <c r="G66" s="1">
        <v>458</v>
      </c>
      <c r="H66" s="1">
        <v>499</v>
      </c>
      <c r="I66" s="1">
        <f t="shared" si="0"/>
        <v>41</v>
      </c>
    </row>
    <row r="67" spans="1:10" x14ac:dyDescent="0.25">
      <c r="C67" s="1">
        <v>4</v>
      </c>
      <c r="D67" s="1">
        <v>1</v>
      </c>
      <c r="E67" s="1">
        <v>30</v>
      </c>
      <c r="F67" s="1">
        <v>14</v>
      </c>
      <c r="G67" s="1">
        <v>505</v>
      </c>
      <c r="H67" s="1">
        <v>534</v>
      </c>
      <c r="I67" s="1">
        <f t="shared" si="0"/>
        <v>29</v>
      </c>
    </row>
    <row r="68" spans="1:10" x14ac:dyDescent="0.25">
      <c r="C68" s="1">
        <v>4</v>
      </c>
      <c r="D68" s="1">
        <v>1</v>
      </c>
      <c r="E68" s="1">
        <v>30</v>
      </c>
      <c r="F68" s="1">
        <v>15</v>
      </c>
      <c r="G68" s="1">
        <v>540</v>
      </c>
      <c r="H68" s="1">
        <v>585</v>
      </c>
      <c r="I68" s="1">
        <f t="shared" si="0"/>
        <v>45</v>
      </c>
    </row>
    <row r="69" spans="1:10" x14ac:dyDescent="0.25">
      <c r="C69" s="1">
        <v>4</v>
      </c>
      <c r="D69" s="1">
        <v>1</v>
      </c>
      <c r="E69" s="1">
        <v>30</v>
      </c>
      <c r="F69" s="1">
        <v>16</v>
      </c>
      <c r="G69" s="1">
        <v>587</v>
      </c>
      <c r="H69" s="1">
        <v>629</v>
      </c>
      <c r="I69" s="1">
        <f t="shared" si="0"/>
        <v>42</v>
      </c>
    </row>
    <row r="70" spans="1:10" x14ac:dyDescent="0.25">
      <c r="C70" s="1">
        <v>4</v>
      </c>
      <c r="D70" s="1">
        <v>1</v>
      </c>
      <c r="E70" s="1">
        <v>30</v>
      </c>
      <c r="F70" s="1">
        <v>17</v>
      </c>
      <c r="G70" s="1">
        <v>629</v>
      </c>
      <c r="H70" s="1">
        <v>672</v>
      </c>
      <c r="I70" s="1">
        <f t="shared" si="0"/>
        <v>43</v>
      </c>
    </row>
    <row r="71" spans="1:10" x14ac:dyDescent="0.25">
      <c r="C71" s="1">
        <v>4</v>
      </c>
      <c r="D71" s="1">
        <v>1</v>
      </c>
      <c r="E71" s="1">
        <v>30</v>
      </c>
      <c r="F71" s="1">
        <v>18</v>
      </c>
      <c r="G71" s="1">
        <v>672</v>
      </c>
      <c r="H71" s="1">
        <v>713</v>
      </c>
      <c r="I71" s="1">
        <f t="shared" si="0"/>
        <v>41</v>
      </c>
    </row>
    <row r="72" spans="1:10" x14ac:dyDescent="0.25">
      <c r="A72" s="5">
        <v>1</v>
      </c>
      <c r="B72" s="2">
        <v>43782</v>
      </c>
      <c r="C72" s="1">
        <v>6</v>
      </c>
      <c r="D72" s="1">
        <v>1</v>
      </c>
      <c r="E72" s="1">
        <v>30</v>
      </c>
      <c r="F72" s="1">
        <v>1</v>
      </c>
      <c r="G72" s="1">
        <v>1</v>
      </c>
      <c r="H72" s="1">
        <v>50</v>
      </c>
      <c r="I72" s="1">
        <f t="shared" si="0"/>
        <v>49</v>
      </c>
      <c r="J72" s="8">
        <f>(I72+I73+I74+I89+I88+I87+I80+I81+I82)/9</f>
        <v>42.555555555555557</v>
      </c>
    </row>
    <row r="73" spans="1:10" x14ac:dyDescent="0.25">
      <c r="C73" s="1">
        <v>6</v>
      </c>
      <c r="D73" s="1">
        <v>1</v>
      </c>
      <c r="E73" s="1">
        <v>30</v>
      </c>
      <c r="F73" s="1">
        <v>2</v>
      </c>
      <c r="G73" s="1">
        <v>50</v>
      </c>
      <c r="H73" s="1">
        <v>87</v>
      </c>
      <c r="I73" s="1">
        <f t="shared" si="0"/>
        <v>37</v>
      </c>
    </row>
    <row r="74" spans="1:10" x14ac:dyDescent="0.25">
      <c r="C74" s="1">
        <v>6</v>
      </c>
      <c r="D74" s="1">
        <v>1</v>
      </c>
      <c r="E74" s="1">
        <v>30</v>
      </c>
      <c r="F74" s="1">
        <v>3</v>
      </c>
      <c r="G74" s="1">
        <v>98</v>
      </c>
      <c r="H74" s="1">
        <v>120</v>
      </c>
      <c r="I74" s="1">
        <f t="shared" si="0"/>
        <v>22</v>
      </c>
    </row>
    <row r="75" spans="1:10" x14ac:dyDescent="0.25">
      <c r="C75" s="1">
        <v>6</v>
      </c>
      <c r="D75" s="1">
        <v>1</v>
      </c>
      <c r="E75" s="1">
        <v>30</v>
      </c>
      <c r="F75" s="1">
        <v>4</v>
      </c>
      <c r="G75" s="1">
        <v>125</v>
      </c>
      <c r="H75" s="1">
        <v>166</v>
      </c>
      <c r="I75" s="1">
        <f t="shared" ref="I75:I329" si="1">H75-G75</f>
        <v>41</v>
      </c>
    </row>
    <row r="76" spans="1:10" x14ac:dyDescent="0.25">
      <c r="C76" s="1">
        <v>6</v>
      </c>
      <c r="D76" s="1">
        <v>1</v>
      </c>
      <c r="E76" s="1">
        <v>30</v>
      </c>
      <c r="F76" s="1">
        <v>5</v>
      </c>
      <c r="G76" s="1">
        <v>170</v>
      </c>
      <c r="H76" s="1">
        <v>214</v>
      </c>
      <c r="I76" s="1">
        <f t="shared" si="1"/>
        <v>44</v>
      </c>
    </row>
    <row r="77" spans="1:10" x14ac:dyDescent="0.25">
      <c r="C77" s="1">
        <v>6</v>
      </c>
      <c r="D77" s="1">
        <v>1</v>
      </c>
      <c r="E77" s="1">
        <v>30</v>
      </c>
      <c r="F77" s="1">
        <v>6</v>
      </c>
      <c r="G77" s="1">
        <v>217</v>
      </c>
      <c r="H77" s="1">
        <v>263</v>
      </c>
      <c r="I77" s="1">
        <f t="shared" si="1"/>
        <v>46</v>
      </c>
    </row>
    <row r="78" spans="1:10" x14ac:dyDescent="0.25">
      <c r="C78" s="1">
        <v>6</v>
      </c>
      <c r="D78" s="1">
        <v>1</v>
      </c>
      <c r="E78" s="1">
        <v>30</v>
      </c>
      <c r="F78" s="1">
        <v>7</v>
      </c>
      <c r="G78" s="1">
        <v>263</v>
      </c>
      <c r="H78" s="1">
        <v>311</v>
      </c>
      <c r="I78" s="1">
        <f t="shared" si="1"/>
        <v>48</v>
      </c>
    </row>
    <row r="79" spans="1:10" x14ac:dyDescent="0.25">
      <c r="C79" s="1">
        <v>6</v>
      </c>
      <c r="D79" s="1">
        <v>1</v>
      </c>
      <c r="E79" s="1">
        <v>30</v>
      </c>
      <c r="F79" s="1">
        <v>8</v>
      </c>
      <c r="G79" s="1">
        <v>311</v>
      </c>
      <c r="H79" s="1">
        <v>356</v>
      </c>
      <c r="I79" s="1">
        <f t="shared" si="1"/>
        <v>45</v>
      </c>
    </row>
    <row r="80" spans="1:10" x14ac:dyDescent="0.25">
      <c r="C80" s="1">
        <v>6</v>
      </c>
      <c r="D80" s="1">
        <v>1</v>
      </c>
      <c r="E80" s="1">
        <v>30</v>
      </c>
      <c r="F80" s="1">
        <v>9</v>
      </c>
      <c r="G80" s="1">
        <v>356</v>
      </c>
      <c r="H80" s="1">
        <v>407</v>
      </c>
      <c r="I80" s="1">
        <f t="shared" si="1"/>
        <v>51</v>
      </c>
    </row>
    <row r="81" spans="1:10" x14ac:dyDescent="0.25">
      <c r="C81" s="1">
        <v>6</v>
      </c>
      <c r="D81" s="1">
        <v>1</v>
      </c>
      <c r="E81" s="1">
        <v>30</v>
      </c>
      <c r="F81" s="1">
        <v>10</v>
      </c>
      <c r="G81" s="1">
        <v>411</v>
      </c>
      <c r="H81" s="1">
        <v>459</v>
      </c>
      <c r="I81" s="1">
        <f t="shared" si="1"/>
        <v>48</v>
      </c>
    </row>
    <row r="82" spans="1:10" x14ac:dyDescent="0.25">
      <c r="C82" s="1">
        <v>6</v>
      </c>
      <c r="D82" s="1">
        <v>1</v>
      </c>
      <c r="E82" s="1">
        <v>30</v>
      </c>
      <c r="F82" s="1">
        <v>11</v>
      </c>
      <c r="G82" s="1">
        <v>461</v>
      </c>
      <c r="H82" s="1">
        <v>516</v>
      </c>
      <c r="I82" s="1">
        <f t="shared" si="1"/>
        <v>55</v>
      </c>
    </row>
    <row r="83" spans="1:10" x14ac:dyDescent="0.25">
      <c r="C83" s="1">
        <v>6</v>
      </c>
      <c r="D83" s="1">
        <v>1</v>
      </c>
      <c r="E83" s="1">
        <v>30</v>
      </c>
      <c r="F83" s="1">
        <v>12</v>
      </c>
      <c r="G83" s="1">
        <v>516</v>
      </c>
      <c r="H83" s="1">
        <v>565</v>
      </c>
      <c r="I83" s="1">
        <f t="shared" si="1"/>
        <v>49</v>
      </c>
    </row>
    <row r="84" spans="1:10" x14ac:dyDescent="0.25">
      <c r="C84" s="1">
        <v>6</v>
      </c>
      <c r="D84" s="1">
        <v>1</v>
      </c>
      <c r="E84" s="1">
        <v>30</v>
      </c>
      <c r="F84" s="1">
        <v>13</v>
      </c>
      <c r="G84" s="1">
        <v>617</v>
      </c>
      <c r="H84" s="1">
        <v>658</v>
      </c>
      <c r="I84" s="1">
        <f t="shared" si="1"/>
        <v>41</v>
      </c>
    </row>
    <row r="85" spans="1:10" x14ac:dyDescent="0.25">
      <c r="C85" s="1">
        <v>6</v>
      </c>
      <c r="D85" s="1">
        <v>1</v>
      </c>
      <c r="E85" s="1">
        <v>30</v>
      </c>
      <c r="F85" s="1">
        <v>14</v>
      </c>
      <c r="G85" s="1">
        <v>660</v>
      </c>
      <c r="H85" s="1">
        <v>700</v>
      </c>
      <c r="I85" s="1">
        <f t="shared" si="1"/>
        <v>40</v>
      </c>
    </row>
    <row r="86" spans="1:10" x14ac:dyDescent="0.25">
      <c r="C86" s="1">
        <v>6</v>
      </c>
      <c r="D86" s="1">
        <v>1</v>
      </c>
      <c r="E86" s="1">
        <v>30</v>
      </c>
      <c r="F86" s="1">
        <v>15</v>
      </c>
      <c r="G86" s="1">
        <v>703</v>
      </c>
      <c r="H86" s="1">
        <v>744</v>
      </c>
      <c r="I86" s="1">
        <f t="shared" si="1"/>
        <v>41</v>
      </c>
    </row>
    <row r="87" spans="1:10" x14ac:dyDescent="0.25">
      <c r="C87" s="1">
        <v>6</v>
      </c>
      <c r="D87" s="1">
        <v>1</v>
      </c>
      <c r="E87" s="1">
        <v>30</v>
      </c>
      <c r="F87" s="1">
        <v>16</v>
      </c>
      <c r="G87" s="1">
        <v>746</v>
      </c>
      <c r="H87" s="1">
        <v>780</v>
      </c>
      <c r="I87" s="1">
        <f t="shared" si="1"/>
        <v>34</v>
      </c>
    </row>
    <row r="88" spans="1:10" x14ac:dyDescent="0.25">
      <c r="C88" s="1">
        <v>6</v>
      </c>
      <c r="D88" s="1">
        <v>1</v>
      </c>
      <c r="E88" s="1">
        <v>30</v>
      </c>
      <c r="F88" s="1">
        <v>17</v>
      </c>
      <c r="G88" s="1">
        <v>783</v>
      </c>
      <c r="H88" s="1">
        <v>828</v>
      </c>
      <c r="I88" s="1">
        <f t="shared" si="1"/>
        <v>45</v>
      </c>
    </row>
    <row r="89" spans="1:10" x14ac:dyDescent="0.25">
      <c r="C89" s="1">
        <v>6</v>
      </c>
      <c r="D89" s="1">
        <v>1</v>
      </c>
      <c r="E89" s="1">
        <v>30</v>
      </c>
      <c r="F89" s="1">
        <v>18</v>
      </c>
      <c r="G89" s="1">
        <v>828</v>
      </c>
      <c r="H89" s="1">
        <v>870</v>
      </c>
      <c r="I89" s="1">
        <f t="shared" si="1"/>
        <v>42</v>
      </c>
    </row>
    <row r="90" spans="1:10" x14ac:dyDescent="0.25">
      <c r="A90" s="5">
        <v>1</v>
      </c>
      <c r="B90" s="2">
        <v>43780</v>
      </c>
      <c r="C90" s="1">
        <v>7</v>
      </c>
      <c r="D90" s="1">
        <v>1</v>
      </c>
      <c r="E90" s="1">
        <v>30</v>
      </c>
      <c r="F90" s="1">
        <v>1</v>
      </c>
      <c r="G90" s="1">
        <v>1</v>
      </c>
      <c r="H90" s="1">
        <v>58</v>
      </c>
      <c r="I90" s="1">
        <f t="shared" si="1"/>
        <v>57</v>
      </c>
      <c r="J90" s="8">
        <f>(I90+I91+I92+I105+I104+I103+I97+I98+I99)/9</f>
        <v>37</v>
      </c>
    </row>
    <row r="91" spans="1:10" x14ac:dyDescent="0.25">
      <c r="C91" s="1">
        <v>7</v>
      </c>
      <c r="D91" s="1">
        <v>1</v>
      </c>
      <c r="E91" s="1">
        <v>30</v>
      </c>
      <c r="F91" s="1">
        <v>2</v>
      </c>
      <c r="G91" s="1">
        <v>60</v>
      </c>
      <c r="H91" s="1">
        <v>102</v>
      </c>
      <c r="I91" s="1">
        <f t="shared" si="1"/>
        <v>42</v>
      </c>
    </row>
    <row r="92" spans="1:10" x14ac:dyDescent="0.25">
      <c r="C92" s="1">
        <v>7</v>
      </c>
      <c r="D92" s="1">
        <v>1</v>
      </c>
      <c r="E92" s="1">
        <v>30</v>
      </c>
      <c r="F92" s="1">
        <v>3</v>
      </c>
      <c r="G92" s="1">
        <v>102</v>
      </c>
      <c r="H92" s="1">
        <v>165</v>
      </c>
      <c r="I92" s="1">
        <f t="shared" si="1"/>
        <v>63</v>
      </c>
    </row>
    <row r="93" spans="1:10" x14ac:dyDescent="0.25">
      <c r="C93" s="1">
        <v>7</v>
      </c>
      <c r="D93" s="1">
        <v>1</v>
      </c>
      <c r="E93" s="1">
        <v>30</v>
      </c>
      <c r="F93" s="1">
        <v>4</v>
      </c>
      <c r="G93" s="1">
        <v>166</v>
      </c>
      <c r="H93" s="1">
        <v>226</v>
      </c>
      <c r="I93" s="1">
        <f t="shared" si="1"/>
        <v>60</v>
      </c>
    </row>
    <row r="94" spans="1:10" x14ac:dyDescent="0.25">
      <c r="C94" s="1">
        <v>7</v>
      </c>
      <c r="D94" s="1">
        <v>1</v>
      </c>
      <c r="E94" s="1">
        <v>30</v>
      </c>
      <c r="F94" s="1">
        <v>5</v>
      </c>
      <c r="G94" s="1">
        <v>228</v>
      </c>
      <c r="H94" s="1">
        <v>257</v>
      </c>
      <c r="I94" s="1">
        <f t="shared" si="1"/>
        <v>29</v>
      </c>
    </row>
    <row r="95" spans="1:10" x14ac:dyDescent="0.25">
      <c r="C95" s="1">
        <v>7</v>
      </c>
      <c r="D95" s="1">
        <v>1</v>
      </c>
      <c r="E95" s="1">
        <v>30</v>
      </c>
      <c r="F95" s="1">
        <v>6</v>
      </c>
      <c r="G95" s="1">
        <v>257</v>
      </c>
      <c r="H95" s="1">
        <v>308</v>
      </c>
      <c r="I95" s="1">
        <f t="shared" si="1"/>
        <v>51</v>
      </c>
    </row>
    <row r="96" spans="1:10" x14ac:dyDescent="0.25">
      <c r="C96" s="1">
        <v>7</v>
      </c>
      <c r="D96" s="1">
        <v>1</v>
      </c>
      <c r="E96" s="1">
        <v>30</v>
      </c>
      <c r="F96" s="1">
        <v>7</v>
      </c>
      <c r="G96" s="1">
        <v>308</v>
      </c>
      <c r="H96" s="1">
        <v>360</v>
      </c>
      <c r="I96" s="1">
        <f t="shared" si="1"/>
        <v>52</v>
      </c>
    </row>
    <row r="97" spans="1:10" x14ac:dyDescent="0.25">
      <c r="C97" s="1">
        <v>7</v>
      </c>
      <c r="D97" s="1">
        <v>1</v>
      </c>
      <c r="E97" s="1">
        <v>30</v>
      </c>
      <c r="F97" s="1">
        <v>8</v>
      </c>
      <c r="G97" s="1">
        <v>364</v>
      </c>
      <c r="H97" s="1">
        <v>401</v>
      </c>
      <c r="I97" s="1">
        <f t="shared" si="1"/>
        <v>37</v>
      </c>
    </row>
    <row r="98" spans="1:10" x14ac:dyDescent="0.25">
      <c r="C98" s="1">
        <v>7</v>
      </c>
      <c r="D98" s="1">
        <v>1</v>
      </c>
      <c r="E98" s="1">
        <v>30</v>
      </c>
      <c r="F98" s="1">
        <v>9</v>
      </c>
      <c r="G98" s="1">
        <v>401</v>
      </c>
      <c r="H98" s="1">
        <v>410</v>
      </c>
      <c r="I98" s="1">
        <f t="shared" si="1"/>
        <v>9</v>
      </c>
    </row>
    <row r="99" spans="1:10" x14ac:dyDescent="0.25">
      <c r="C99" s="1">
        <v>7</v>
      </c>
      <c r="D99" s="1">
        <v>1</v>
      </c>
      <c r="E99" s="1">
        <v>30</v>
      </c>
      <c r="F99" s="1">
        <v>10</v>
      </c>
      <c r="G99" s="1">
        <v>411</v>
      </c>
      <c r="H99" s="1">
        <v>468</v>
      </c>
      <c r="I99" s="1">
        <f t="shared" si="1"/>
        <v>57</v>
      </c>
    </row>
    <row r="100" spans="1:10" x14ac:dyDescent="0.25">
      <c r="C100" s="1">
        <v>7</v>
      </c>
      <c r="D100" s="1">
        <v>1</v>
      </c>
      <c r="E100" s="1">
        <v>30</v>
      </c>
      <c r="F100" s="1">
        <v>11</v>
      </c>
      <c r="G100" s="1">
        <v>468</v>
      </c>
      <c r="H100" s="1">
        <v>509</v>
      </c>
      <c r="I100" s="1">
        <f t="shared" si="1"/>
        <v>41</v>
      </c>
    </row>
    <row r="101" spans="1:10" x14ac:dyDescent="0.25">
      <c r="C101" s="1">
        <v>7</v>
      </c>
      <c r="D101" s="1">
        <v>1</v>
      </c>
      <c r="E101" s="1">
        <v>30</v>
      </c>
      <c r="F101" s="1">
        <v>12</v>
      </c>
      <c r="G101" s="1">
        <v>509</v>
      </c>
      <c r="H101" s="1">
        <v>544</v>
      </c>
      <c r="I101" s="1">
        <f t="shared" si="1"/>
        <v>35</v>
      </c>
    </row>
    <row r="102" spans="1:10" x14ac:dyDescent="0.25">
      <c r="C102" s="1">
        <v>7</v>
      </c>
      <c r="D102" s="1">
        <v>1</v>
      </c>
      <c r="E102" s="1">
        <v>30</v>
      </c>
      <c r="F102" s="1">
        <v>13</v>
      </c>
      <c r="G102" s="1">
        <v>544</v>
      </c>
      <c r="H102" s="1">
        <v>575</v>
      </c>
      <c r="I102" s="1">
        <f t="shared" si="1"/>
        <v>31</v>
      </c>
    </row>
    <row r="103" spans="1:10" x14ac:dyDescent="0.25">
      <c r="C103" s="1">
        <v>7</v>
      </c>
      <c r="D103" s="1">
        <v>1</v>
      </c>
      <c r="E103" s="1">
        <v>30</v>
      </c>
      <c r="F103" s="1">
        <v>14</v>
      </c>
      <c r="G103" s="1">
        <v>577</v>
      </c>
      <c r="H103" s="1">
        <v>589</v>
      </c>
      <c r="I103" s="1">
        <f t="shared" si="1"/>
        <v>12</v>
      </c>
    </row>
    <row r="104" spans="1:10" x14ac:dyDescent="0.25">
      <c r="C104" s="1">
        <v>7</v>
      </c>
      <c r="D104" s="1">
        <v>1</v>
      </c>
      <c r="E104" s="1">
        <v>30</v>
      </c>
      <c r="F104" s="1">
        <v>15</v>
      </c>
      <c r="G104" s="1">
        <v>589</v>
      </c>
      <c r="H104" s="1">
        <v>600</v>
      </c>
      <c r="I104" s="1">
        <f t="shared" si="1"/>
        <v>11</v>
      </c>
    </row>
    <row r="105" spans="1:10" x14ac:dyDescent="0.25">
      <c r="C105" s="1">
        <v>7</v>
      </c>
      <c r="D105" s="1">
        <v>1</v>
      </c>
      <c r="E105" s="1">
        <v>30</v>
      </c>
      <c r="F105" s="1">
        <v>16</v>
      </c>
      <c r="G105" s="1">
        <v>600</v>
      </c>
      <c r="H105" s="1">
        <v>645</v>
      </c>
      <c r="I105" s="1">
        <f t="shared" si="1"/>
        <v>45</v>
      </c>
    </row>
    <row r="106" spans="1:10" x14ac:dyDescent="0.25">
      <c r="A106" s="5">
        <v>2</v>
      </c>
      <c r="B106" s="2">
        <v>43791</v>
      </c>
      <c r="C106" s="1">
        <v>1</v>
      </c>
      <c r="D106" s="1">
        <v>1</v>
      </c>
      <c r="E106" s="1">
        <v>30</v>
      </c>
      <c r="F106" s="1">
        <v>1</v>
      </c>
      <c r="G106" s="1">
        <v>0</v>
      </c>
      <c r="H106" s="1">
        <v>54</v>
      </c>
      <c r="I106" s="1">
        <f t="shared" si="1"/>
        <v>54</v>
      </c>
      <c r="J106" s="8">
        <f>(I106+I107+I108+I123+I122+I121+I114+I115+I113)/9</f>
        <v>42.444444444444443</v>
      </c>
    </row>
    <row r="107" spans="1:10" x14ac:dyDescent="0.25">
      <c r="C107" s="1">
        <v>1</v>
      </c>
      <c r="D107" s="1">
        <v>1</v>
      </c>
      <c r="E107" s="1">
        <v>30</v>
      </c>
      <c r="F107" s="1">
        <v>2</v>
      </c>
      <c r="G107" s="1">
        <v>99</v>
      </c>
      <c r="H107" s="1">
        <v>99</v>
      </c>
      <c r="I107" s="1">
        <f t="shared" si="1"/>
        <v>0</v>
      </c>
    </row>
    <row r="108" spans="1:10" x14ac:dyDescent="0.25">
      <c r="C108" s="1">
        <v>1</v>
      </c>
      <c r="D108" s="1">
        <v>1</v>
      </c>
      <c r="E108" s="1">
        <v>30</v>
      </c>
      <c r="F108" s="1">
        <v>3</v>
      </c>
      <c r="G108" s="1">
        <v>99</v>
      </c>
      <c r="H108" s="1">
        <v>131</v>
      </c>
      <c r="I108" s="1">
        <f t="shared" si="1"/>
        <v>32</v>
      </c>
    </row>
    <row r="109" spans="1:10" x14ac:dyDescent="0.25">
      <c r="C109" s="1">
        <v>1</v>
      </c>
      <c r="D109" s="1">
        <v>1</v>
      </c>
      <c r="E109" s="1">
        <v>30</v>
      </c>
      <c r="F109" s="1">
        <v>4</v>
      </c>
      <c r="G109" s="1">
        <v>132</v>
      </c>
      <c r="H109" s="1">
        <v>187</v>
      </c>
      <c r="I109" s="1">
        <f t="shared" si="1"/>
        <v>55</v>
      </c>
    </row>
    <row r="110" spans="1:10" x14ac:dyDescent="0.25">
      <c r="C110" s="1">
        <v>1</v>
      </c>
      <c r="D110" s="1">
        <v>1</v>
      </c>
      <c r="E110" s="1">
        <v>30</v>
      </c>
      <c r="F110" s="1">
        <v>5</v>
      </c>
      <c r="G110" s="1">
        <v>191</v>
      </c>
      <c r="H110" s="1">
        <v>252</v>
      </c>
      <c r="I110" s="1">
        <f t="shared" si="1"/>
        <v>61</v>
      </c>
    </row>
    <row r="111" spans="1:10" x14ac:dyDescent="0.25">
      <c r="C111" s="1">
        <v>1</v>
      </c>
      <c r="D111" s="1">
        <v>1</v>
      </c>
      <c r="E111" s="1">
        <v>30</v>
      </c>
      <c r="F111" s="1">
        <v>6</v>
      </c>
      <c r="G111" s="1">
        <v>270</v>
      </c>
      <c r="H111" s="1">
        <v>323</v>
      </c>
      <c r="I111" s="1">
        <f t="shared" si="1"/>
        <v>53</v>
      </c>
    </row>
    <row r="112" spans="1:10" x14ac:dyDescent="0.25">
      <c r="C112" s="1">
        <v>1</v>
      </c>
      <c r="D112" s="1">
        <v>1</v>
      </c>
      <c r="E112" s="1">
        <v>30</v>
      </c>
      <c r="F112" s="1">
        <v>7</v>
      </c>
      <c r="G112" s="1">
        <v>333</v>
      </c>
      <c r="H112" s="1">
        <v>389</v>
      </c>
      <c r="I112" s="1">
        <f t="shared" si="1"/>
        <v>56</v>
      </c>
    </row>
    <row r="113" spans="1:10" x14ac:dyDescent="0.25">
      <c r="C113" s="1">
        <v>1</v>
      </c>
      <c r="D113" s="1">
        <v>1</v>
      </c>
      <c r="E113" s="1">
        <v>30</v>
      </c>
      <c r="F113" s="1">
        <v>8</v>
      </c>
      <c r="G113" s="1">
        <v>403</v>
      </c>
      <c r="H113" s="1">
        <v>445</v>
      </c>
      <c r="I113" s="1">
        <f t="shared" si="1"/>
        <v>42</v>
      </c>
    </row>
    <row r="114" spans="1:10" x14ac:dyDescent="0.25">
      <c r="C114" s="1">
        <v>1</v>
      </c>
      <c r="D114" s="1">
        <v>1</v>
      </c>
      <c r="E114" s="1">
        <v>30</v>
      </c>
      <c r="F114" s="1">
        <v>9</v>
      </c>
      <c r="G114" s="1">
        <v>450</v>
      </c>
      <c r="H114" s="1">
        <v>494</v>
      </c>
      <c r="I114" s="1">
        <f t="shared" si="1"/>
        <v>44</v>
      </c>
    </row>
    <row r="115" spans="1:10" x14ac:dyDescent="0.25">
      <c r="C115" s="1">
        <v>1</v>
      </c>
      <c r="D115" s="1">
        <v>1</v>
      </c>
      <c r="E115" s="1">
        <v>30</v>
      </c>
      <c r="F115" s="1">
        <v>10</v>
      </c>
      <c r="G115" s="1">
        <v>494</v>
      </c>
      <c r="H115" s="1">
        <v>544</v>
      </c>
      <c r="I115" s="1">
        <f t="shared" si="1"/>
        <v>50</v>
      </c>
    </row>
    <row r="116" spans="1:10" x14ac:dyDescent="0.25">
      <c r="C116" s="1">
        <v>1</v>
      </c>
      <c r="D116" s="1">
        <v>1</v>
      </c>
      <c r="E116" s="1">
        <v>30</v>
      </c>
      <c r="F116" s="1">
        <v>11</v>
      </c>
      <c r="G116" s="1">
        <v>544</v>
      </c>
      <c r="H116" s="1">
        <v>605</v>
      </c>
      <c r="I116" s="1">
        <f t="shared" si="1"/>
        <v>61</v>
      </c>
    </row>
    <row r="117" spans="1:10" x14ac:dyDescent="0.25">
      <c r="C117" s="1">
        <v>1</v>
      </c>
      <c r="D117" s="1">
        <v>1</v>
      </c>
      <c r="E117" s="1">
        <v>30</v>
      </c>
      <c r="F117" s="1">
        <v>12</v>
      </c>
      <c r="G117" s="1">
        <v>609</v>
      </c>
      <c r="H117" s="1">
        <v>668</v>
      </c>
      <c r="I117" s="1">
        <f t="shared" si="1"/>
        <v>59</v>
      </c>
    </row>
    <row r="118" spans="1:10" x14ac:dyDescent="0.25">
      <c r="C118" s="1">
        <v>1</v>
      </c>
      <c r="D118" s="1">
        <v>1</v>
      </c>
      <c r="E118" s="1">
        <v>30</v>
      </c>
      <c r="F118" s="1">
        <v>13</v>
      </c>
      <c r="G118" s="1">
        <v>675</v>
      </c>
      <c r="H118" s="1">
        <v>710</v>
      </c>
      <c r="I118" s="1">
        <f t="shared" si="1"/>
        <v>35</v>
      </c>
    </row>
    <row r="119" spans="1:10" x14ac:dyDescent="0.25">
      <c r="C119" s="1">
        <v>1</v>
      </c>
      <c r="D119" s="1">
        <v>1</v>
      </c>
      <c r="E119" s="1">
        <v>30</v>
      </c>
      <c r="F119" s="1">
        <v>14</v>
      </c>
      <c r="G119" s="1">
        <v>712</v>
      </c>
      <c r="H119" s="1">
        <v>763</v>
      </c>
      <c r="I119" s="1">
        <f t="shared" si="1"/>
        <v>51</v>
      </c>
    </row>
    <row r="120" spans="1:10" x14ac:dyDescent="0.25">
      <c r="C120" s="1">
        <v>1</v>
      </c>
      <c r="D120" s="1">
        <v>1</v>
      </c>
      <c r="E120" s="1">
        <v>30</v>
      </c>
      <c r="F120" s="1">
        <v>15</v>
      </c>
      <c r="G120" s="1">
        <v>763</v>
      </c>
      <c r="H120" s="1">
        <v>823</v>
      </c>
      <c r="I120" s="1">
        <f t="shared" si="1"/>
        <v>60</v>
      </c>
    </row>
    <row r="121" spans="1:10" x14ac:dyDescent="0.25">
      <c r="C121" s="1">
        <v>1</v>
      </c>
      <c r="D121" s="1">
        <v>1</v>
      </c>
      <c r="E121" s="1">
        <v>30</v>
      </c>
      <c r="F121" s="1">
        <v>16</v>
      </c>
      <c r="G121" s="1">
        <v>826</v>
      </c>
      <c r="H121" s="1">
        <v>880</v>
      </c>
      <c r="I121" s="1">
        <f t="shared" si="1"/>
        <v>54</v>
      </c>
    </row>
    <row r="122" spans="1:10" x14ac:dyDescent="0.25">
      <c r="C122" s="1">
        <v>1</v>
      </c>
      <c r="D122" s="1">
        <v>1</v>
      </c>
      <c r="E122" s="1">
        <v>30</v>
      </c>
      <c r="F122" s="1">
        <v>17</v>
      </c>
      <c r="G122" s="1">
        <v>880</v>
      </c>
      <c r="H122" s="1">
        <v>938</v>
      </c>
      <c r="I122" s="1">
        <f t="shared" si="1"/>
        <v>58</v>
      </c>
    </row>
    <row r="123" spans="1:10" x14ac:dyDescent="0.25">
      <c r="C123" s="1">
        <v>1</v>
      </c>
      <c r="D123" s="1">
        <v>1</v>
      </c>
      <c r="E123" s="1">
        <v>30</v>
      </c>
      <c r="F123" s="1">
        <v>18</v>
      </c>
      <c r="G123" s="1">
        <v>938</v>
      </c>
      <c r="H123" s="1">
        <v>986</v>
      </c>
      <c r="I123" s="1">
        <f t="shared" si="1"/>
        <v>48</v>
      </c>
    </row>
    <row r="124" spans="1:10" x14ac:dyDescent="0.25">
      <c r="A124" s="5">
        <v>2</v>
      </c>
      <c r="B124" s="2">
        <v>43789</v>
      </c>
      <c r="C124" s="1">
        <v>2</v>
      </c>
      <c r="D124" s="1">
        <v>2</v>
      </c>
      <c r="E124" s="1">
        <v>30</v>
      </c>
      <c r="F124" s="1">
        <v>1</v>
      </c>
      <c r="G124" s="1">
        <v>0</v>
      </c>
      <c r="H124" s="1">
        <v>22</v>
      </c>
      <c r="I124" s="1">
        <f t="shared" si="1"/>
        <v>22</v>
      </c>
      <c r="J124" s="8">
        <f>(I124+I125+I126+I141+I140+I139+I132+I131+I133)/9</f>
        <v>27</v>
      </c>
    </row>
    <row r="125" spans="1:10" x14ac:dyDescent="0.25">
      <c r="C125" s="1">
        <v>2</v>
      </c>
      <c r="D125" s="1">
        <v>2</v>
      </c>
      <c r="E125" s="1">
        <v>30</v>
      </c>
      <c r="F125" s="1">
        <v>2</v>
      </c>
      <c r="G125" s="1">
        <v>24</v>
      </c>
      <c r="H125" s="1">
        <v>67</v>
      </c>
      <c r="I125" s="1">
        <f t="shared" si="1"/>
        <v>43</v>
      </c>
    </row>
    <row r="126" spans="1:10" x14ac:dyDescent="0.25">
      <c r="C126" s="1">
        <v>2</v>
      </c>
      <c r="D126" s="1">
        <v>2</v>
      </c>
      <c r="E126" s="1">
        <v>30</v>
      </c>
      <c r="F126" s="1">
        <v>3</v>
      </c>
      <c r="G126" s="1">
        <v>67</v>
      </c>
      <c r="H126" s="1">
        <v>104</v>
      </c>
      <c r="I126" s="1">
        <f t="shared" si="1"/>
        <v>37</v>
      </c>
    </row>
    <row r="127" spans="1:10" x14ac:dyDescent="0.25">
      <c r="C127" s="1">
        <v>2</v>
      </c>
      <c r="D127" s="1">
        <v>2</v>
      </c>
      <c r="E127" s="1">
        <v>30</v>
      </c>
      <c r="F127" s="1">
        <v>4</v>
      </c>
      <c r="G127" s="1">
        <v>104</v>
      </c>
      <c r="H127" s="1">
        <v>145</v>
      </c>
      <c r="I127" s="1">
        <f t="shared" si="1"/>
        <v>41</v>
      </c>
    </row>
    <row r="128" spans="1:10" x14ac:dyDescent="0.25">
      <c r="C128" s="1">
        <v>2</v>
      </c>
      <c r="D128" s="1">
        <v>2</v>
      </c>
      <c r="E128" s="1">
        <v>30</v>
      </c>
      <c r="F128" s="1">
        <v>5</v>
      </c>
      <c r="G128" s="1">
        <v>145</v>
      </c>
      <c r="H128" s="1">
        <v>185</v>
      </c>
      <c r="I128" s="1">
        <f t="shared" si="1"/>
        <v>40</v>
      </c>
    </row>
    <row r="129" spans="1:10" x14ac:dyDescent="0.25">
      <c r="C129" s="1">
        <v>2</v>
      </c>
      <c r="D129" s="1">
        <v>2</v>
      </c>
      <c r="E129" s="1">
        <v>30</v>
      </c>
      <c r="F129" s="1">
        <v>6</v>
      </c>
      <c r="G129" s="1">
        <v>185</v>
      </c>
      <c r="H129" s="1">
        <v>226</v>
      </c>
      <c r="I129" s="1">
        <f t="shared" si="1"/>
        <v>41</v>
      </c>
    </row>
    <row r="130" spans="1:10" x14ac:dyDescent="0.25">
      <c r="C130" s="1">
        <v>2</v>
      </c>
      <c r="D130" s="1">
        <v>2</v>
      </c>
      <c r="E130" s="1">
        <v>30</v>
      </c>
      <c r="F130" s="1">
        <v>7</v>
      </c>
      <c r="G130" s="1">
        <v>226</v>
      </c>
      <c r="H130" s="1">
        <v>266</v>
      </c>
      <c r="I130" s="1">
        <f t="shared" si="1"/>
        <v>40</v>
      </c>
    </row>
    <row r="131" spans="1:10" x14ac:dyDescent="0.25">
      <c r="C131" s="1">
        <v>2</v>
      </c>
      <c r="D131" s="1">
        <v>2</v>
      </c>
      <c r="E131" s="1">
        <v>30</v>
      </c>
      <c r="F131" s="1">
        <v>8</v>
      </c>
      <c r="G131" s="1">
        <v>266</v>
      </c>
      <c r="H131" s="1">
        <v>306</v>
      </c>
      <c r="I131" s="1">
        <f t="shared" si="1"/>
        <v>40</v>
      </c>
    </row>
    <row r="132" spans="1:10" x14ac:dyDescent="0.25">
      <c r="C132" s="1">
        <v>2</v>
      </c>
      <c r="D132" s="1">
        <v>2</v>
      </c>
      <c r="E132" s="1">
        <v>30</v>
      </c>
      <c r="F132" s="1">
        <v>9</v>
      </c>
      <c r="G132" s="1">
        <v>306</v>
      </c>
      <c r="H132" s="1">
        <v>347</v>
      </c>
      <c r="I132" s="1">
        <f t="shared" si="1"/>
        <v>41</v>
      </c>
    </row>
    <row r="133" spans="1:10" x14ac:dyDescent="0.25">
      <c r="C133" s="1">
        <v>2</v>
      </c>
      <c r="D133" s="1">
        <v>2</v>
      </c>
      <c r="E133" s="1">
        <v>30</v>
      </c>
      <c r="F133" s="1">
        <v>10</v>
      </c>
      <c r="G133" s="1">
        <v>347</v>
      </c>
      <c r="H133" s="1">
        <v>384</v>
      </c>
      <c r="I133" s="1">
        <f t="shared" si="1"/>
        <v>37</v>
      </c>
    </row>
    <row r="134" spans="1:10" x14ac:dyDescent="0.25">
      <c r="C134" s="1">
        <v>2</v>
      </c>
      <c r="D134" s="1">
        <v>2</v>
      </c>
      <c r="E134" s="1">
        <v>30</v>
      </c>
      <c r="F134" s="1">
        <v>11</v>
      </c>
      <c r="G134" s="1">
        <v>387</v>
      </c>
      <c r="H134" s="1">
        <v>430</v>
      </c>
      <c r="I134" s="1">
        <f t="shared" si="1"/>
        <v>43</v>
      </c>
    </row>
    <row r="135" spans="1:10" x14ac:dyDescent="0.25">
      <c r="C135" s="1">
        <v>2</v>
      </c>
      <c r="D135" s="1">
        <v>2</v>
      </c>
      <c r="E135" s="1">
        <v>30</v>
      </c>
      <c r="F135" s="1">
        <v>12</v>
      </c>
      <c r="G135" s="1">
        <v>432</v>
      </c>
      <c r="H135" s="1">
        <v>475</v>
      </c>
      <c r="I135" s="1">
        <f t="shared" si="1"/>
        <v>43</v>
      </c>
    </row>
    <row r="136" spans="1:10" x14ac:dyDescent="0.25">
      <c r="C136" s="1">
        <v>2</v>
      </c>
      <c r="D136" s="1">
        <v>2</v>
      </c>
      <c r="E136" s="1">
        <v>30</v>
      </c>
      <c r="F136" s="1">
        <v>13</v>
      </c>
      <c r="G136" s="1">
        <v>475</v>
      </c>
      <c r="H136" s="1">
        <v>514</v>
      </c>
      <c r="I136" s="1">
        <f t="shared" si="1"/>
        <v>39</v>
      </c>
    </row>
    <row r="137" spans="1:10" x14ac:dyDescent="0.25">
      <c r="C137" s="1">
        <v>2</v>
      </c>
      <c r="D137" s="1">
        <v>2</v>
      </c>
      <c r="E137" s="1">
        <v>30</v>
      </c>
      <c r="F137" s="1">
        <v>14</v>
      </c>
      <c r="G137" s="1">
        <v>516</v>
      </c>
      <c r="H137" s="1">
        <v>557</v>
      </c>
      <c r="I137" s="1">
        <f t="shared" si="1"/>
        <v>41</v>
      </c>
    </row>
    <row r="138" spans="1:10" x14ac:dyDescent="0.25">
      <c r="C138" s="1">
        <v>2</v>
      </c>
      <c r="D138" s="1">
        <v>2</v>
      </c>
      <c r="E138" s="1">
        <v>30</v>
      </c>
      <c r="F138" s="1">
        <v>15</v>
      </c>
      <c r="G138" s="1">
        <v>559</v>
      </c>
      <c r="H138" s="1">
        <v>592</v>
      </c>
      <c r="I138" s="1">
        <f t="shared" si="1"/>
        <v>33</v>
      </c>
    </row>
    <row r="139" spans="1:10" x14ac:dyDescent="0.25">
      <c r="C139" s="1">
        <v>2</v>
      </c>
      <c r="D139" s="1">
        <v>2</v>
      </c>
      <c r="E139" s="1">
        <v>30</v>
      </c>
      <c r="F139" s="1">
        <v>16</v>
      </c>
      <c r="G139" s="1">
        <v>592</v>
      </c>
      <c r="H139" s="1">
        <v>609</v>
      </c>
      <c r="I139" s="1">
        <f t="shared" si="1"/>
        <v>17</v>
      </c>
    </row>
    <row r="140" spans="1:10" x14ac:dyDescent="0.25">
      <c r="C140" s="1">
        <v>2</v>
      </c>
      <c r="D140" s="1">
        <v>2</v>
      </c>
      <c r="E140" s="1">
        <v>30</v>
      </c>
      <c r="F140" s="1">
        <v>17</v>
      </c>
      <c r="G140" s="1">
        <v>609</v>
      </c>
      <c r="H140" s="1">
        <v>615</v>
      </c>
      <c r="I140" s="1">
        <f t="shared" si="1"/>
        <v>6</v>
      </c>
    </row>
    <row r="141" spans="1:10" x14ac:dyDescent="0.25">
      <c r="C141" s="1">
        <v>2</v>
      </c>
      <c r="D141" s="1">
        <v>2</v>
      </c>
      <c r="E141" s="1">
        <v>30</v>
      </c>
      <c r="F141" s="1">
        <v>18</v>
      </c>
      <c r="G141" s="1">
        <v>615</v>
      </c>
      <c r="H141" s="1">
        <v>615</v>
      </c>
      <c r="I141" s="1">
        <f t="shared" si="1"/>
        <v>0</v>
      </c>
    </row>
    <row r="142" spans="1:10" x14ac:dyDescent="0.25">
      <c r="A142" s="5">
        <v>2</v>
      </c>
      <c r="B142" s="2">
        <v>43787</v>
      </c>
      <c r="C142" s="1">
        <v>3</v>
      </c>
      <c r="D142" s="1">
        <v>1</v>
      </c>
      <c r="E142" s="1">
        <v>30</v>
      </c>
      <c r="F142" s="1">
        <v>1</v>
      </c>
      <c r="G142" s="1">
        <v>0</v>
      </c>
      <c r="H142" s="1">
        <v>44</v>
      </c>
      <c r="I142" s="1">
        <f t="shared" si="1"/>
        <v>44</v>
      </c>
      <c r="J142" s="8">
        <f>(I142+I143+I144+I159+I158+I157+I150+I151+I149)/9</f>
        <v>24.444444444444443</v>
      </c>
    </row>
    <row r="143" spans="1:10" x14ac:dyDescent="0.25">
      <c r="C143" s="1">
        <v>3</v>
      </c>
      <c r="D143" s="1">
        <v>1</v>
      </c>
      <c r="E143" s="1">
        <v>30</v>
      </c>
      <c r="F143" s="1">
        <v>2</v>
      </c>
      <c r="G143" s="1">
        <v>48</v>
      </c>
      <c r="H143" s="1">
        <v>80</v>
      </c>
      <c r="I143" s="1">
        <f t="shared" si="1"/>
        <v>32</v>
      </c>
    </row>
    <row r="144" spans="1:10" x14ac:dyDescent="0.25">
      <c r="C144" s="1">
        <v>3</v>
      </c>
      <c r="D144" s="1">
        <v>1</v>
      </c>
      <c r="E144" s="1">
        <v>30</v>
      </c>
      <c r="F144" s="1">
        <v>3</v>
      </c>
      <c r="G144" s="1">
        <v>86</v>
      </c>
      <c r="H144" s="1">
        <v>127</v>
      </c>
      <c r="I144" s="1">
        <f t="shared" si="1"/>
        <v>41</v>
      </c>
    </row>
    <row r="145" spans="1:10" x14ac:dyDescent="0.25">
      <c r="C145" s="1">
        <v>3</v>
      </c>
      <c r="D145" s="1">
        <v>1</v>
      </c>
      <c r="E145" s="1">
        <v>30</v>
      </c>
      <c r="F145" s="1">
        <v>4</v>
      </c>
      <c r="G145" s="1">
        <v>133</v>
      </c>
      <c r="H145" s="1">
        <v>186</v>
      </c>
      <c r="I145" s="1">
        <f t="shared" si="1"/>
        <v>53</v>
      </c>
    </row>
    <row r="146" spans="1:10" x14ac:dyDescent="0.25">
      <c r="C146" s="1">
        <v>3</v>
      </c>
      <c r="D146" s="1">
        <v>1</v>
      </c>
      <c r="E146" s="1">
        <v>30</v>
      </c>
      <c r="F146" s="1">
        <v>5</v>
      </c>
      <c r="G146" s="1">
        <v>199</v>
      </c>
      <c r="H146" s="1">
        <v>252</v>
      </c>
      <c r="I146" s="1">
        <f t="shared" si="1"/>
        <v>53</v>
      </c>
    </row>
    <row r="147" spans="1:10" x14ac:dyDescent="0.25">
      <c r="C147" s="1">
        <v>3</v>
      </c>
      <c r="D147" s="1">
        <v>1</v>
      </c>
      <c r="E147" s="1">
        <v>30</v>
      </c>
      <c r="F147" s="1">
        <v>6</v>
      </c>
      <c r="G147" s="1">
        <v>252</v>
      </c>
      <c r="H147" s="1">
        <v>299</v>
      </c>
      <c r="I147" s="1">
        <f t="shared" si="1"/>
        <v>47</v>
      </c>
    </row>
    <row r="148" spans="1:10" x14ac:dyDescent="0.25">
      <c r="C148" s="1">
        <v>3</v>
      </c>
      <c r="D148" s="1">
        <v>1</v>
      </c>
      <c r="E148" s="1">
        <v>30</v>
      </c>
      <c r="F148" s="1">
        <v>7</v>
      </c>
      <c r="G148" s="1">
        <v>304</v>
      </c>
      <c r="H148" s="1">
        <v>351</v>
      </c>
      <c r="I148" s="1">
        <f t="shared" si="1"/>
        <v>47</v>
      </c>
    </row>
    <row r="149" spans="1:10" x14ac:dyDescent="0.25">
      <c r="C149" s="1">
        <v>3</v>
      </c>
      <c r="D149" s="1">
        <v>1</v>
      </c>
      <c r="E149" s="1">
        <v>30</v>
      </c>
      <c r="F149" s="1">
        <v>8</v>
      </c>
      <c r="G149" s="1">
        <v>356</v>
      </c>
      <c r="H149" s="1">
        <v>394</v>
      </c>
      <c r="I149" s="1">
        <f t="shared" si="1"/>
        <v>38</v>
      </c>
    </row>
    <row r="150" spans="1:10" x14ac:dyDescent="0.25">
      <c r="C150" s="1">
        <v>3</v>
      </c>
      <c r="D150" s="1">
        <v>1</v>
      </c>
      <c r="E150" s="1">
        <v>30</v>
      </c>
      <c r="F150" s="1">
        <v>9</v>
      </c>
      <c r="G150" s="1">
        <v>394</v>
      </c>
      <c r="H150" s="1">
        <v>428</v>
      </c>
      <c r="I150" s="1">
        <f t="shared" si="1"/>
        <v>34</v>
      </c>
    </row>
    <row r="151" spans="1:10" x14ac:dyDescent="0.25">
      <c r="C151" s="1">
        <v>3</v>
      </c>
      <c r="D151" s="1">
        <v>1</v>
      </c>
      <c r="E151" s="1">
        <v>30</v>
      </c>
      <c r="F151" s="1">
        <v>10</v>
      </c>
      <c r="G151" s="1">
        <v>430</v>
      </c>
      <c r="H151" s="1">
        <v>432</v>
      </c>
      <c r="I151" s="1">
        <f t="shared" si="1"/>
        <v>2</v>
      </c>
    </row>
    <row r="152" spans="1:10" x14ac:dyDescent="0.25">
      <c r="C152" s="1">
        <v>3</v>
      </c>
      <c r="D152" s="1">
        <v>1</v>
      </c>
      <c r="E152" s="1">
        <v>30</v>
      </c>
      <c r="F152" s="1">
        <v>11</v>
      </c>
      <c r="G152" s="1">
        <v>432</v>
      </c>
      <c r="H152" s="1">
        <v>434</v>
      </c>
      <c r="I152" s="1">
        <f t="shared" si="1"/>
        <v>2</v>
      </c>
    </row>
    <row r="153" spans="1:10" x14ac:dyDescent="0.25">
      <c r="C153" s="1">
        <v>3</v>
      </c>
      <c r="D153" s="1">
        <v>1</v>
      </c>
      <c r="E153" s="1">
        <v>30</v>
      </c>
      <c r="F153" s="1">
        <v>12</v>
      </c>
      <c r="G153" s="1">
        <v>434</v>
      </c>
      <c r="H153" s="1">
        <v>434</v>
      </c>
      <c r="I153" s="1">
        <f t="shared" si="1"/>
        <v>0</v>
      </c>
    </row>
    <row r="154" spans="1:10" x14ac:dyDescent="0.25">
      <c r="C154" s="1">
        <v>3</v>
      </c>
      <c r="D154" s="1">
        <v>1</v>
      </c>
      <c r="E154" s="1">
        <v>30</v>
      </c>
      <c r="F154" s="1">
        <v>13</v>
      </c>
      <c r="G154" s="1">
        <v>434</v>
      </c>
      <c r="H154" s="1">
        <v>452</v>
      </c>
      <c r="I154" s="1">
        <f t="shared" si="1"/>
        <v>18</v>
      </c>
    </row>
    <row r="155" spans="1:10" x14ac:dyDescent="0.25">
      <c r="C155" s="1">
        <v>3</v>
      </c>
      <c r="D155" s="1">
        <v>1</v>
      </c>
      <c r="E155" s="1">
        <v>30</v>
      </c>
      <c r="F155" s="1">
        <v>14</v>
      </c>
      <c r="G155" s="1">
        <v>452</v>
      </c>
      <c r="H155" s="1">
        <v>452</v>
      </c>
      <c r="I155" s="1">
        <f t="shared" si="1"/>
        <v>0</v>
      </c>
    </row>
    <row r="156" spans="1:10" x14ac:dyDescent="0.25">
      <c r="C156" s="1">
        <v>3</v>
      </c>
      <c r="D156" s="1">
        <v>1</v>
      </c>
      <c r="E156" s="1">
        <v>30</v>
      </c>
      <c r="F156" s="1">
        <v>15</v>
      </c>
      <c r="G156" s="1">
        <v>452</v>
      </c>
      <c r="H156" s="1">
        <v>452</v>
      </c>
      <c r="I156" s="1">
        <f t="shared" si="1"/>
        <v>0</v>
      </c>
    </row>
    <row r="157" spans="1:10" x14ac:dyDescent="0.25">
      <c r="C157" s="1">
        <v>3</v>
      </c>
      <c r="D157" s="1">
        <v>1</v>
      </c>
      <c r="E157" s="1">
        <v>30</v>
      </c>
      <c r="F157" s="1">
        <v>16</v>
      </c>
      <c r="G157" s="1">
        <v>452</v>
      </c>
      <c r="H157" s="1">
        <v>456</v>
      </c>
      <c r="I157" s="1">
        <f t="shared" si="1"/>
        <v>4</v>
      </c>
    </row>
    <row r="158" spans="1:10" x14ac:dyDescent="0.25">
      <c r="C158" s="1">
        <v>3</v>
      </c>
      <c r="D158" s="1">
        <v>1</v>
      </c>
      <c r="E158" s="1">
        <v>30</v>
      </c>
      <c r="F158" s="1">
        <v>17</v>
      </c>
      <c r="G158" s="1">
        <v>458</v>
      </c>
      <c r="H158" s="1">
        <v>483</v>
      </c>
      <c r="I158" s="1">
        <f t="shared" si="1"/>
        <v>25</v>
      </c>
    </row>
    <row r="159" spans="1:10" x14ac:dyDescent="0.25">
      <c r="C159" s="1">
        <v>3</v>
      </c>
      <c r="D159" s="1">
        <v>1</v>
      </c>
      <c r="E159" s="1">
        <v>30</v>
      </c>
      <c r="F159" s="1">
        <v>18</v>
      </c>
      <c r="G159" s="1">
        <v>486</v>
      </c>
      <c r="H159" s="1">
        <v>486</v>
      </c>
      <c r="I159" s="1">
        <f t="shared" si="1"/>
        <v>0</v>
      </c>
    </row>
    <row r="160" spans="1:10" x14ac:dyDescent="0.25">
      <c r="A160" s="5">
        <v>2</v>
      </c>
      <c r="B160" s="2">
        <v>43789</v>
      </c>
      <c r="C160" s="1">
        <v>4</v>
      </c>
      <c r="D160" s="1">
        <v>2</v>
      </c>
      <c r="E160" s="1">
        <v>30</v>
      </c>
      <c r="F160" s="1">
        <v>1</v>
      </c>
      <c r="G160" s="1">
        <v>0</v>
      </c>
      <c r="H160" s="1">
        <v>52</v>
      </c>
      <c r="I160" s="1">
        <f t="shared" si="1"/>
        <v>52</v>
      </c>
      <c r="J160" s="8">
        <f>(I160+I161+I162+I177+I176+I175+I168+I169+I167)/9</f>
        <v>32.222222222222221</v>
      </c>
    </row>
    <row r="161" spans="3:9" x14ac:dyDescent="0.25">
      <c r="C161" s="1">
        <v>4</v>
      </c>
      <c r="D161" s="1">
        <v>2</v>
      </c>
      <c r="E161" s="1">
        <v>30</v>
      </c>
      <c r="F161" s="1">
        <v>2</v>
      </c>
      <c r="G161" s="1">
        <v>55</v>
      </c>
      <c r="H161" s="1">
        <v>98</v>
      </c>
      <c r="I161" s="1">
        <f t="shared" si="1"/>
        <v>43</v>
      </c>
    </row>
    <row r="162" spans="3:9" x14ac:dyDescent="0.25">
      <c r="C162" s="1">
        <v>4</v>
      </c>
      <c r="D162" s="1">
        <v>2</v>
      </c>
      <c r="E162" s="1">
        <v>30</v>
      </c>
      <c r="F162" s="1">
        <v>3</v>
      </c>
      <c r="G162" s="1">
        <v>98</v>
      </c>
      <c r="H162" s="1">
        <v>144</v>
      </c>
      <c r="I162" s="1">
        <f t="shared" si="1"/>
        <v>46</v>
      </c>
    </row>
    <row r="163" spans="3:9" x14ac:dyDescent="0.25">
      <c r="C163" s="1">
        <v>4</v>
      </c>
      <c r="D163" s="1">
        <v>2</v>
      </c>
      <c r="E163" s="1">
        <v>30</v>
      </c>
      <c r="F163" s="1">
        <v>4</v>
      </c>
      <c r="G163" s="1">
        <v>146</v>
      </c>
      <c r="H163" s="1">
        <v>189</v>
      </c>
      <c r="I163" s="1">
        <f t="shared" si="1"/>
        <v>43</v>
      </c>
    </row>
    <row r="164" spans="3:9" x14ac:dyDescent="0.25">
      <c r="C164" s="1">
        <v>4</v>
      </c>
      <c r="D164" s="1">
        <v>2</v>
      </c>
      <c r="E164" s="1">
        <v>30</v>
      </c>
      <c r="F164" s="1">
        <v>5</v>
      </c>
      <c r="G164" s="1">
        <v>189</v>
      </c>
      <c r="H164" s="1">
        <v>234</v>
      </c>
      <c r="I164" s="1">
        <f t="shared" si="1"/>
        <v>45</v>
      </c>
    </row>
    <row r="165" spans="3:9" x14ac:dyDescent="0.25">
      <c r="C165" s="1">
        <v>4</v>
      </c>
      <c r="D165" s="1">
        <v>2</v>
      </c>
      <c r="E165" s="1">
        <v>30</v>
      </c>
      <c r="F165" s="1">
        <v>6</v>
      </c>
      <c r="G165" s="1">
        <v>234</v>
      </c>
      <c r="H165" s="1">
        <v>277</v>
      </c>
      <c r="I165" s="1">
        <f t="shared" si="1"/>
        <v>43</v>
      </c>
    </row>
    <row r="166" spans="3:9" x14ac:dyDescent="0.25">
      <c r="C166" s="1">
        <v>4</v>
      </c>
      <c r="D166" s="1">
        <v>2</v>
      </c>
      <c r="E166" s="1">
        <v>30</v>
      </c>
      <c r="F166" s="1">
        <v>7</v>
      </c>
      <c r="G166" s="1">
        <v>277</v>
      </c>
      <c r="H166" s="1">
        <v>311</v>
      </c>
      <c r="I166" s="1">
        <f t="shared" si="1"/>
        <v>34</v>
      </c>
    </row>
    <row r="167" spans="3:9" x14ac:dyDescent="0.25">
      <c r="C167" s="1">
        <v>4</v>
      </c>
      <c r="D167" s="1">
        <v>2</v>
      </c>
      <c r="E167" s="1">
        <v>30</v>
      </c>
      <c r="F167" s="1">
        <v>8</v>
      </c>
      <c r="G167" s="1">
        <v>311</v>
      </c>
      <c r="H167" s="1">
        <v>350</v>
      </c>
      <c r="I167" s="1">
        <f t="shared" si="1"/>
        <v>39</v>
      </c>
    </row>
    <row r="168" spans="3:9" x14ac:dyDescent="0.25">
      <c r="C168" s="1">
        <v>4</v>
      </c>
      <c r="D168" s="1">
        <v>2</v>
      </c>
      <c r="E168" s="1">
        <v>30</v>
      </c>
      <c r="F168" s="1">
        <v>9</v>
      </c>
      <c r="G168" s="1">
        <v>350</v>
      </c>
      <c r="H168" s="1">
        <v>384</v>
      </c>
      <c r="I168" s="1">
        <f t="shared" si="1"/>
        <v>34</v>
      </c>
    </row>
    <row r="169" spans="3:9" x14ac:dyDescent="0.25">
      <c r="C169" s="1">
        <v>4</v>
      </c>
      <c r="D169" s="1">
        <v>2</v>
      </c>
      <c r="E169" s="1">
        <v>30</v>
      </c>
      <c r="F169" s="1">
        <v>10</v>
      </c>
      <c r="G169" s="1">
        <v>384</v>
      </c>
      <c r="H169" s="1">
        <v>413</v>
      </c>
      <c r="I169" s="1">
        <f t="shared" si="1"/>
        <v>29</v>
      </c>
    </row>
    <row r="170" spans="3:9" x14ac:dyDescent="0.25">
      <c r="C170" s="1">
        <v>4</v>
      </c>
      <c r="D170" s="1">
        <v>2</v>
      </c>
      <c r="E170" s="1">
        <v>30</v>
      </c>
      <c r="F170" s="1">
        <v>11</v>
      </c>
      <c r="G170" s="1">
        <v>413</v>
      </c>
      <c r="H170" s="1">
        <v>434</v>
      </c>
      <c r="I170" s="1">
        <f t="shared" si="1"/>
        <v>21</v>
      </c>
    </row>
    <row r="171" spans="3:9" x14ac:dyDescent="0.25">
      <c r="C171" s="1">
        <v>4</v>
      </c>
      <c r="D171" s="1">
        <v>2</v>
      </c>
      <c r="E171" s="1">
        <v>30</v>
      </c>
      <c r="F171" s="1">
        <v>12</v>
      </c>
      <c r="G171" s="1">
        <v>434</v>
      </c>
      <c r="H171" s="1">
        <v>450</v>
      </c>
      <c r="I171" s="1">
        <f t="shared" si="1"/>
        <v>16</v>
      </c>
    </row>
    <row r="172" spans="3:9" x14ac:dyDescent="0.25">
      <c r="C172" s="1">
        <v>4</v>
      </c>
      <c r="D172" s="1">
        <v>2</v>
      </c>
      <c r="E172" s="1">
        <v>30</v>
      </c>
      <c r="F172" s="1">
        <v>13</v>
      </c>
      <c r="G172" s="1">
        <v>464</v>
      </c>
      <c r="H172" s="1">
        <v>499</v>
      </c>
      <c r="I172" s="1">
        <f t="shared" si="1"/>
        <v>35</v>
      </c>
    </row>
    <row r="173" spans="3:9" x14ac:dyDescent="0.25">
      <c r="C173" s="1">
        <v>4</v>
      </c>
      <c r="D173" s="1">
        <v>2</v>
      </c>
      <c r="E173" s="1">
        <v>30</v>
      </c>
      <c r="F173" s="1">
        <v>14</v>
      </c>
      <c r="G173" s="1">
        <v>499</v>
      </c>
      <c r="H173" s="1">
        <v>547</v>
      </c>
      <c r="I173" s="1">
        <f t="shared" si="1"/>
        <v>48</v>
      </c>
    </row>
    <row r="174" spans="3:9" x14ac:dyDescent="0.25">
      <c r="C174" s="1">
        <v>4</v>
      </c>
      <c r="D174" s="1">
        <v>2</v>
      </c>
      <c r="E174" s="1">
        <v>30</v>
      </c>
      <c r="F174" s="1">
        <v>15</v>
      </c>
      <c r="G174" s="1">
        <v>547</v>
      </c>
      <c r="H174" s="1">
        <v>576</v>
      </c>
      <c r="I174" s="1">
        <f t="shared" si="1"/>
        <v>29</v>
      </c>
    </row>
    <row r="175" spans="3:9" x14ac:dyDescent="0.25">
      <c r="C175" s="1">
        <v>4</v>
      </c>
      <c r="D175" s="1">
        <v>2</v>
      </c>
      <c r="E175" s="1">
        <v>30</v>
      </c>
      <c r="F175" s="1">
        <v>16</v>
      </c>
      <c r="G175" s="1">
        <v>576</v>
      </c>
      <c r="H175" s="1">
        <v>593</v>
      </c>
      <c r="I175" s="1">
        <f t="shared" si="1"/>
        <v>17</v>
      </c>
    </row>
    <row r="176" spans="3:9" x14ac:dyDescent="0.25">
      <c r="C176" s="1">
        <v>4</v>
      </c>
      <c r="D176" s="1">
        <v>2</v>
      </c>
      <c r="E176" s="1">
        <v>30</v>
      </c>
      <c r="F176" s="1">
        <v>17</v>
      </c>
      <c r="G176" s="1">
        <v>593</v>
      </c>
      <c r="H176" s="1">
        <v>606</v>
      </c>
      <c r="I176" s="1">
        <f t="shared" si="1"/>
        <v>13</v>
      </c>
    </row>
    <row r="177" spans="1:10" x14ac:dyDescent="0.25">
      <c r="C177" s="1">
        <v>4</v>
      </c>
      <c r="D177" s="1">
        <v>2</v>
      </c>
      <c r="E177" s="1">
        <v>30</v>
      </c>
      <c r="F177" s="1">
        <v>18</v>
      </c>
      <c r="G177" s="1">
        <v>606</v>
      </c>
      <c r="H177" s="1">
        <v>623</v>
      </c>
      <c r="I177" s="1">
        <f t="shared" si="1"/>
        <v>17</v>
      </c>
    </row>
    <row r="178" spans="1:10" x14ac:dyDescent="0.25">
      <c r="A178" s="5">
        <v>2</v>
      </c>
      <c r="B178" s="2">
        <v>43789</v>
      </c>
      <c r="C178" s="1">
        <v>6</v>
      </c>
      <c r="D178" s="1">
        <v>1</v>
      </c>
      <c r="E178" s="1">
        <v>30</v>
      </c>
      <c r="F178" s="1">
        <v>1</v>
      </c>
      <c r="G178" s="1">
        <v>0</v>
      </c>
      <c r="H178" s="1">
        <v>21</v>
      </c>
      <c r="I178" s="1">
        <f t="shared" si="1"/>
        <v>21</v>
      </c>
      <c r="J178" s="8">
        <f>(I178+I179+I180+I195+I194+I193+I186+I187+I185)/9</f>
        <v>39.444444444444443</v>
      </c>
    </row>
    <row r="179" spans="1:10" x14ac:dyDescent="0.25">
      <c r="C179" s="1">
        <v>6</v>
      </c>
      <c r="D179" s="1">
        <v>1</v>
      </c>
      <c r="E179" s="1">
        <v>30</v>
      </c>
      <c r="F179" s="1">
        <v>2</v>
      </c>
      <c r="G179" s="1">
        <v>21</v>
      </c>
      <c r="H179" s="1">
        <v>57</v>
      </c>
      <c r="I179" s="1">
        <f t="shared" si="1"/>
        <v>36</v>
      </c>
    </row>
    <row r="180" spans="1:10" x14ac:dyDescent="0.25">
      <c r="C180" s="1">
        <v>6</v>
      </c>
      <c r="D180" s="1">
        <v>1</v>
      </c>
      <c r="E180" s="1">
        <v>30</v>
      </c>
      <c r="F180" s="1">
        <v>3</v>
      </c>
      <c r="G180" s="1">
        <v>30</v>
      </c>
      <c r="H180" s="1">
        <v>112</v>
      </c>
      <c r="I180" s="1">
        <f t="shared" si="1"/>
        <v>82</v>
      </c>
    </row>
    <row r="181" spans="1:10" x14ac:dyDescent="0.25">
      <c r="C181" s="1">
        <v>6</v>
      </c>
      <c r="D181" s="1">
        <v>1</v>
      </c>
      <c r="E181" s="1">
        <v>30</v>
      </c>
      <c r="F181" s="1">
        <v>4</v>
      </c>
      <c r="G181" s="1">
        <v>115</v>
      </c>
      <c r="H181" s="1">
        <v>163</v>
      </c>
      <c r="I181" s="1">
        <f t="shared" si="1"/>
        <v>48</v>
      </c>
    </row>
    <row r="182" spans="1:10" x14ac:dyDescent="0.25">
      <c r="C182" s="1">
        <v>6</v>
      </c>
      <c r="D182" s="1">
        <v>1</v>
      </c>
      <c r="E182" s="1">
        <v>30</v>
      </c>
      <c r="F182" s="1">
        <v>5</v>
      </c>
      <c r="G182" s="1">
        <v>166</v>
      </c>
      <c r="H182" s="1">
        <v>201</v>
      </c>
      <c r="I182" s="1">
        <f t="shared" si="1"/>
        <v>35</v>
      </c>
    </row>
    <row r="183" spans="1:10" x14ac:dyDescent="0.25">
      <c r="C183" s="1">
        <v>6</v>
      </c>
      <c r="D183" s="1">
        <v>1</v>
      </c>
      <c r="E183" s="1">
        <v>30</v>
      </c>
      <c r="F183" s="1">
        <v>6</v>
      </c>
      <c r="G183" s="1">
        <v>201</v>
      </c>
      <c r="H183" s="1">
        <v>250</v>
      </c>
      <c r="I183" s="1">
        <f t="shared" si="1"/>
        <v>49</v>
      </c>
    </row>
    <row r="184" spans="1:10" x14ac:dyDescent="0.25">
      <c r="C184" s="1">
        <v>6</v>
      </c>
      <c r="D184" s="1">
        <v>1</v>
      </c>
      <c r="E184" s="1">
        <v>30</v>
      </c>
      <c r="F184" s="1">
        <v>7</v>
      </c>
      <c r="G184" s="1">
        <v>250</v>
      </c>
      <c r="H184" s="1">
        <v>272</v>
      </c>
      <c r="I184" s="1">
        <f t="shared" si="1"/>
        <v>22</v>
      </c>
    </row>
    <row r="185" spans="1:10" x14ac:dyDescent="0.25">
      <c r="C185" s="1">
        <v>6</v>
      </c>
      <c r="D185" s="1">
        <v>1</v>
      </c>
      <c r="E185" s="1">
        <v>30</v>
      </c>
      <c r="F185" s="1">
        <v>8</v>
      </c>
      <c r="G185" s="1">
        <v>277</v>
      </c>
      <c r="H185" s="1">
        <v>309</v>
      </c>
      <c r="I185" s="1">
        <f t="shared" si="1"/>
        <v>32</v>
      </c>
    </row>
    <row r="186" spans="1:10" x14ac:dyDescent="0.25">
      <c r="C186" s="1">
        <v>6</v>
      </c>
      <c r="D186" s="1">
        <v>1</v>
      </c>
      <c r="E186" s="1">
        <v>30</v>
      </c>
      <c r="F186" s="1">
        <v>9</v>
      </c>
      <c r="G186" s="1">
        <v>309</v>
      </c>
      <c r="H186" s="1">
        <v>328</v>
      </c>
      <c r="I186" s="1">
        <f t="shared" si="1"/>
        <v>19</v>
      </c>
    </row>
    <row r="187" spans="1:10" x14ac:dyDescent="0.25">
      <c r="C187" s="1">
        <v>6</v>
      </c>
      <c r="D187" s="1">
        <v>1</v>
      </c>
      <c r="E187" s="1">
        <v>30</v>
      </c>
      <c r="F187" s="1">
        <v>10</v>
      </c>
      <c r="G187" s="1">
        <v>328</v>
      </c>
      <c r="H187" s="1">
        <v>340</v>
      </c>
      <c r="I187" s="1">
        <f t="shared" si="1"/>
        <v>12</v>
      </c>
    </row>
    <row r="188" spans="1:10" x14ac:dyDescent="0.25">
      <c r="C188" s="1">
        <v>6</v>
      </c>
      <c r="D188" s="1">
        <v>1</v>
      </c>
      <c r="E188" s="1">
        <v>30</v>
      </c>
      <c r="F188" s="1">
        <v>11</v>
      </c>
      <c r="G188" s="1">
        <v>340</v>
      </c>
      <c r="H188" s="1">
        <v>395</v>
      </c>
      <c r="I188" s="1">
        <f t="shared" si="1"/>
        <v>55</v>
      </c>
    </row>
    <row r="189" spans="1:10" x14ac:dyDescent="0.25">
      <c r="C189" s="1">
        <v>6</v>
      </c>
      <c r="D189" s="1">
        <v>1</v>
      </c>
      <c r="E189" s="1">
        <v>30</v>
      </c>
      <c r="F189" s="1">
        <v>12</v>
      </c>
      <c r="G189" s="1">
        <v>400</v>
      </c>
      <c r="H189" s="1">
        <v>449</v>
      </c>
      <c r="I189" s="1">
        <f t="shared" si="1"/>
        <v>49</v>
      </c>
    </row>
    <row r="190" spans="1:10" x14ac:dyDescent="0.25">
      <c r="C190" s="1">
        <v>6</v>
      </c>
      <c r="D190" s="1">
        <v>1</v>
      </c>
      <c r="E190" s="1">
        <v>30</v>
      </c>
      <c r="F190" s="1">
        <v>13</v>
      </c>
      <c r="G190" s="1">
        <v>451</v>
      </c>
      <c r="H190" s="1">
        <v>496</v>
      </c>
      <c r="I190" s="1">
        <f t="shared" si="1"/>
        <v>45</v>
      </c>
    </row>
    <row r="191" spans="1:10" x14ac:dyDescent="0.25">
      <c r="C191" s="1">
        <v>6</v>
      </c>
      <c r="D191" s="1">
        <v>1</v>
      </c>
      <c r="E191" s="1">
        <v>30</v>
      </c>
      <c r="F191" s="1">
        <v>14</v>
      </c>
      <c r="G191" s="1">
        <v>502</v>
      </c>
      <c r="H191" s="1">
        <v>554</v>
      </c>
      <c r="I191" s="1">
        <f t="shared" si="1"/>
        <v>52</v>
      </c>
    </row>
    <row r="192" spans="1:10" x14ac:dyDescent="0.25">
      <c r="C192" s="1">
        <v>6</v>
      </c>
      <c r="D192" s="1">
        <v>1</v>
      </c>
      <c r="E192" s="1">
        <v>30</v>
      </c>
      <c r="F192" s="1">
        <v>15</v>
      </c>
      <c r="G192" s="1">
        <v>554</v>
      </c>
      <c r="H192" s="1">
        <v>604</v>
      </c>
      <c r="I192" s="1">
        <f t="shared" si="1"/>
        <v>50</v>
      </c>
    </row>
    <row r="193" spans="1:10" x14ac:dyDescent="0.25">
      <c r="C193" s="1">
        <v>6</v>
      </c>
      <c r="D193" s="1">
        <v>1</v>
      </c>
      <c r="E193" s="1">
        <v>30</v>
      </c>
      <c r="F193" s="1">
        <v>16</v>
      </c>
      <c r="G193" s="1">
        <v>606</v>
      </c>
      <c r="H193" s="1">
        <v>658</v>
      </c>
      <c r="I193" s="1">
        <f t="shared" si="1"/>
        <v>52</v>
      </c>
    </row>
    <row r="194" spans="1:10" x14ac:dyDescent="0.25">
      <c r="C194" s="1">
        <v>6</v>
      </c>
      <c r="D194" s="1">
        <v>1</v>
      </c>
      <c r="E194" s="1">
        <v>30</v>
      </c>
      <c r="F194" s="1">
        <v>17</v>
      </c>
      <c r="G194" s="1">
        <v>658</v>
      </c>
      <c r="H194" s="1">
        <v>710</v>
      </c>
      <c r="I194" s="1">
        <f t="shared" si="1"/>
        <v>52</v>
      </c>
    </row>
    <row r="195" spans="1:10" x14ac:dyDescent="0.25">
      <c r="C195" s="1">
        <v>6</v>
      </c>
      <c r="D195" s="1">
        <v>1</v>
      </c>
      <c r="E195" s="1">
        <v>30</v>
      </c>
      <c r="F195" s="1">
        <v>18</v>
      </c>
      <c r="G195" s="1">
        <v>710</v>
      </c>
      <c r="H195" s="1">
        <v>759</v>
      </c>
      <c r="I195" s="1">
        <f t="shared" si="1"/>
        <v>49</v>
      </c>
    </row>
    <row r="196" spans="1:10" x14ac:dyDescent="0.25">
      <c r="A196" s="5">
        <v>2</v>
      </c>
      <c r="B196" s="2">
        <v>43787</v>
      </c>
      <c r="C196" s="1">
        <v>7</v>
      </c>
      <c r="D196" s="1">
        <v>1</v>
      </c>
      <c r="E196" s="1">
        <v>30</v>
      </c>
      <c r="F196" s="1">
        <v>1</v>
      </c>
      <c r="G196" s="1">
        <v>0</v>
      </c>
      <c r="H196" s="1">
        <v>50</v>
      </c>
      <c r="I196" s="1">
        <f t="shared" si="1"/>
        <v>50</v>
      </c>
      <c r="J196" s="8">
        <f>(I196+I197+I198+I213+I212+I211+I204+I205+I203)/9</f>
        <v>44</v>
      </c>
    </row>
    <row r="197" spans="1:10" x14ac:dyDescent="0.25">
      <c r="C197" s="1">
        <v>7</v>
      </c>
      <c r="D197" s="1">
        <v>1</v>
      </c>
      <c r="E197" s="1">
        <v>30</v>
      </c>
      <c r="F197" s="1">
        <v>2</v>
      </c>
      <c r="G197" s="1">
        <v>50</v>
      </c>
      <c r="H197" s="1">
        <v>97</v>
      </c>
      <c r="I197" s="1">
        <f t="shared" si="1"/>
        <v>47</v>
      </c>
    </row>
    <row r="198" spans="1:10" x14ac:dyDescent="0.25">
      <c r="C198" s="1">
        <v>7</v>
      </c>
      <c r="D198" s="1">
        <v>1</v>
      </c>
      <c r="E198" s="1">
        <v>30</v>
      </c>
      <c r="F198" s="1">
        <v>3</v>
      </c>
      <c r="G198" s="1">
        <v>100</v>
      </c>
      <c r="H198" s="1">
        <v>146</v>
      </c>
      <c r="I198" s="1">
        <f t="shared" si="1"/>
        <v>46</v>
      </c>
    </row>
    <row r="199" spans="1:10" x14ac:dyDescent="0.25">
      <c r="C199" s="1">
        <v>7</v>
      </c>
      <c r="D199" s="1">
        <v>1</v>
      </c>
      <c r="E199" s="1">
        <v>30</v>
      </c>
      <c r="F199" s="1">
        <v>4</v>
      </c>
      <c r="G199" s="1">
        <v>148</v>
      </c>
      <c r="H199" s="1">
        <v>184</v>
      </c>
      <c r="I199" s="1">
        <f t="shared" si="1"/>
        <v>36</v>
      </c>
    </row>
    <row r="200" spans="1:10" x14ac:dyDescent="0.25">
      <c r="C200" s="1">
        <v>7</v>
      </c>
      <c r="D200" s="1">
        <v>1</v>
      </c>
      <c r="E200" s="1">
        <v>30</v>
      </c>
      <c r="F200" s="1">
        <v>5</v>
      </c>
      <c r="G200" s="1">
        <v>188</v>
      </c>
      <c r="H200" s="1">
        <v>225</v>
      </c>
      <c r="I200" s="1">
        <f t="shared" si="1"/>
        <v>37</v>
      </c>
    </row>
    <row r="201" spans="1:10" x14ac:dyDescent="0.25">
      <c r="C201" s="1">
        <v>7</v>
      </c>
      <c r="D201" s="1">
        <v>1</v>
      </c>
      <c r="E201" s="1">
        <v>30</v>
      </c>
      <c r="F201" s="1">
        <v>6</v>
      </c>
      <c r="G201" s="1">
        <v>227</v>
      </c>
      <c r="H201" s="1">
        <v>271</v>
      </c>
      <c r="I201" s="1">
        <f t="shared" si="1"/>
        <v>44</v>
      </c>
    </row>
    <row r="202" spans="1:10" x14ac:dyDescent="0.25">
      <c r="C202" s="1">
        <v>7</v>
      </c>
      <c r="D202" s="1">
        <v>1</v>
      </c>
      <c r="E202" s="1">
        <v>30</v>
      </c>
      <c r="F202" s="1">
        <v>7</v>
      </c>
      <c r="G202" s="1">
        <v>274</v>
      </c>
      <c r="H202" s="1">
        <v>316</v>
      </c>
      <c r="I202" s="1">
        <f t="shared" si="1"/>
        <v>42</v>
      </c>
    </row>
    <row r="203" spans="1:10" x14ac:dyDescent="0.25">
      <c r="C203" s="1">
        <v>7</v>
      </c>
      <c r="D203" s="1">
        <v>1</v>
      </c>
      <c r="E203" s="1">
        <v>30</v>
      </c>
      <c r="F203" s="1">
        <v>8</v>
      </c>
      <c r="G203" s="1">
        <v>318</v>
      </c>
      <c r="H203" s="1">
        <v>360</v>
      </c>
      <c r="I203" s="1">
        <f t="shared" si="1"/>
        <v>42</v>
      </c>
    </row>
    <row r="204" spans="1:10" x14ac:dyDescent="0.25">
      <c r="C204" s="1">
        <v>7</v>
      </c>
      <c r="D204" s="1">
        <v>1</v>
      </c>
      <c r="E204" s="1">
        <v>30</v>
      </c>
      <c r="F204" s="1">
        <v>9</v>
      </c>
      <c r="G204" s="1">
        <v>363</v>
      </c>
      <c r="H204" s="1">
        <v>413</v>
      </c>
      <c r="I204" s="1">
        <f t="shared" si="1"/>
        <v>50</v>
      </c>
    </row>
    <row r="205" spans="1:10" x14ac:dyDescent="0.25">
      <c r="C205" s="1">
        <v>7</v>
      </c>
      <c r="D205" s="1">
        <v>1</v>
      </c>
      <c r="E205" s="1">
        <v>30</v>
      </c>
      <c r="F205" s="1">
        <v>10</v>
      </c>
      <c r="G205" s="1">
        <v>415</v>
      </c>
      <c r="H205" s="1">
        <v>445</v>
      </c>
      <c r="I205" s="1">
        <f t="shared" si="1"/>
        <v>30</v>
      </c>
    </row>
    <row r="206" spans="1:10" x14ac:dyDescent="0.25">
      <c r="C206" s="1">
        <v>7</v>
      </c>
      <c r="D206" s="1">
        <v>1</v>
      </c>
      <c r="E206" s="1">
        <v>30</v>
      </c>
      <c r="F206" s="1">
        <v>11</v>
      </c>
      <c r="G206" s="1">
        <v>450</v>
      </c>
      <c r="H206" s="1">
        <v>487</v>
      </c>
      <c r="I206" s="1">
        <f t="shared" si="1"/>
        <v>37</v>
      </c>
    </row>
    <row r="207" spans="1:10" x14ac:dyDescent="0.25">
      <c r="C207" s="1">
        <v>7</v>
      </c>
      <c r="D207" s="1">
        <v>1</v>
      </c>
      <c r="E207" s="1">
        <v>30</v>
      </c>
      <c r="F207" s="1">
        <v>12</v>
      </c>
      <c r="G207" s="1">
        <v>489</v>
      </c>
      <c r="H207" s="1">
        <v>544</v>
      </c>
      <c r="I207" s="1">
        <f t="shared" si="1"/>
        <v>55</v>
      </c>
    </row>
    <row r="208" spans="1:10" x14ac:dyDescent="0.25">
      <c r="C208" s="1">
        <v>7</v>
      </c>
      <c r="D208" s="1">
        <v>1</v>
      </c>
      <c r="E208" s="1">
        <v>30</v>
      </c>
      <c r="F208" s="1">
        <v>13</v>
      </c>
      <c r="G208" s="1">
        <v>545</v>
      </c>
      <c r="H208" s="1">
        <v>576</v>
      </c>
      <c r="I208" s="1">
        <f t="shared" si="1"/>
        <v>31</v>
      </c>
    </row>
    <row r="209" spans="1:10" x14ac:dyDescent="0.25">
      <c r="C209" s="1">
        <v>7</v>
      </c>
      <c r="D209" s="1">
        <v>1</v>
      </c>
      <c r="E209" s="1">
        <v>30</v>
      </c>
      <c r="F209" s="1">
        <v>14</v>
      </c>
      <c r="G209" s="1">
        <v>578</v>
      </c>
      <c r="H209" s="1">
        <v>622</v>
      </c>
      <c r="I209" s="1">
        <f t="shared" si="1"/>
        <v>44</v>
      </c>
    </row>
    <row r="210" spans="1:10" x14ac:dyDescent="0.25">
      <c r="C210" s="1">
        <v>7</v>
      </c>
      <c r="D210" s="1">
        <v>1</v>
      </c>
      <c r="E210" s="1">
        <v>30</v>
      </c>
      <c r="F210" s="1">
        <v>15</v>
      </c>
      <c r="G210" s="1">
        <v>624</v>
      </c>
      <c r="H210" s="1">
        <v>676</v>
      </c>
      <c r="I210" s="1">
        <f t="shared" si="1"/>
        <v>52</v>
      </c>
    </row>
    <row r="211" spans="1:10" x14ac:dyDescent="0.25">
      <c r="C211" s="1">
        <v>7</v>
      </c>
      <c r="D211" s="1">
        <v>1</v>
      </c>
      <c r="E211" s="1">
        <v>30</v>
      </c>
      <c r="F211" s="1">
        <v>16</v>
      </c>
      <c r="G211" s="1">
        <v>679</v>
      </c>
      <c r="H211" s="1">
        <v>717</v>
      </c>
      <c r="I211" s="1">
        <f t="shared" si="1"/>
        <v>38</v>
      </c>
    </row>
    <row r="212" spans="1:10" x14ac:dyDescent="0.25">
      <c r="C212" s="1">
        <v>7</v>
      </c>
      <c r="D212" s="1">
        <v>1</v>
      </c>
      <c r="E212" s="1">
        <v>30</v>
      </c>
      <c r="F212" s="1">
        <v>17</v>
      </c>
      <c r="G212" s="1">
        <v>717</v>
      </c>
      <c r="H212" s="1">
        <v>779</v>
      </c>
      <c r="I212" s="1">
        <f t="shared" si="1"/>
        <v>62</v>
      </c>
    </row>
    <row r="213" spans="1:10" x14ac:dyDescent="0.25">
      <c r="C213" s="1">
        <v>7</v>
      </c>
      <c r="D213" s="1">
        <v>1</v>
      </c>
      <c r="E213" s="1">
        <v>30</v>
      </c>
      <c r="F213" s="1">
        <v>18</v>
      </c>
      <c r="G213" s="1">
        <v>779</v>
      </c>
      <c r="H213" s="1">
        <v>810</v>
      </c>
      <c r="I213" s="1">
        <f t="shared" si="1"/>
        <v>31</v>
      </c>
    </row>
    <row r="214" spans="1:10" x14ac:dyDescent="0.25">
      <c r="A214" s="5">
        <v>1</v>
      </c>
      <c r="B214" s="2">
        <v>43812</v>
      </c>
      <c r="C214" s="1">
        <v>9</v>
      </c>
      <c r="D214" s="1">
        <v>1</v>
      </c>
      <c r="E214" s="1">
        <v>30</v>
      </c>
      <c r="F214" s="1">
        <v>1</v>
      </c>
      <c r="G214" s="1">
        <v>0</v>
      </c>
      <c r="H214" s="1">
        <v>47</v>
      </c>
      <c r="I214" s="1">
        <f t="shared" si="1"/>
        <v>47</v>
      </c>
      <c r="J214" s="8">
        <f>(I214+I215+I216+I231+I230+I229+I222+I223+I224)/9</f>
        <v>44.222222222222221</v>
      </c>
    </row>
    <row r="215" spans="1:10" x14ac:dyDescent="0.25">
      <c r="C215" s="1">
        <v>9</v>
      </c>
      <c r="D215" s="1">
        <v>1</v>
      </c>
      <c r="E215" s="1">
        <v>30</v>
      </c>
      <c r="F215" s="1">
        <v>2</v>
      </c>
      <c r="G215" s="1">
        <v>47</v>
      </c>
      <c r="H215" s="1">
        <v>93</v>
      </c>
      <c r="I215" s="1">
        <f t="shared" si="1"/>
        <v>46</v>
      </c>
    </row>
    <row r="216" spans="1:10" x14ac:dyDescent="0.25">
      <c r="C216" s="1">
        <v>9</v>
      </c>
      <c r="D216" s="1">
        <v>1</v>
      </c>
      <c r="E216" s="1">
        <v>30</v>
      </c>
      <c r="F216" s="1">
        <v>3</v>
      </c>
      <c r="G216" s="1">
        <v>94</v>
      </c>
      <c r="H216" s="1">
        <v>135</v>
      </c>
      <c r="I216" s="1">
        <f t="shared" si="1"/>
        <v>41</v>
      </c>
    </row>
    <row r="217" spans="1:10" x14ac:dyDescent="0.25">
      <c r="C217" s="1">
        <v>9</v>
      </c>
      <c r="D217" s="1">
        <v>1</v>
      </c>
      <c r="E217" s="1">
        <v>30</v>
      </c>
      <c r="F217" s="1">
        <v>4</v>
      </c>
      <c r="G217" s="1">
        <v>136</v>
      </c>
      <c r="H217" s="1">
        <v>173</v>
      </c>
      <c r="I217" s="1">
        <f t="shared" si="1"/>
        <v>37</v>
      </c>
    </row>
    <row r="218" spans="1:10" x14ac:dyDescent="0.25">
      <c r="C218" s="1">
        <v>9</v>
      </c>
      <c r="D218" s="1">
        <v>1</v>
      </c>
      <c r="E218" s="1">
        <v>30</v>
      </c>
      <c r="F218" s="1">
        <v>5</v>
      </c>
      <c r="G218" s="1">
        <v>173</v>
      </c>
      <c r="H218" s="1">
        <v>225</v>
      </c>
      <c r="I218" s="1">
        <f t="shared" si="1"/>
        <v>52</v>
      </c>
    </row>
    <row r="219" spans="1:10" x14ac:dyDescent="0.25">
      <c r="C219" s="1">
        <v>9</v>
      </c>
      <c r="D219" s="1">
        <v>1</v>
      </c>
      <c r="E219" s="1">
        <v>30</v>
      </c>
      <c r="F219" s="1">
        <v>6</v>
      </c>
      <c r="G219" s="1">
        <v>225</v>
      </c>
      <c r="H219" s="1">
        <v>272</v>
      </c>
      <c r="I219" s="1">
        <f t="shared" si="1"/>
        <v>47</v>
      </c>
    </row>
    <row r="220" spans="1:10" x14ac:dyDescent="0.25">
      <c r="C220" s="1">
        <v>9</v>
      </c>
      <c r="D220" s="1">
        <v>1</v>
      </c>
      <c r="E220" s="1">
        <v>30</v>
      </c>
      <c r="F220" s="1">
        <v>7</v>
      </c>
      <c r="G220" s="1">
        <v>272</v>
      </c>
      <c r="H220" s="1">
        <v>320</v>
      </c>
      <c r="I220" s="1">
        <f t="shared" si="1"/>
        <v>48</v>
      </c>
    </row>
    <row r="221" spans="1:10" x14ac:dyDescent="0.25">
      <c r="C221" s="1">
        <v>9</v>
      </c>
      <c r="D221" s="1">
        <v>1</v>
      </c>
      <c r="E221" s="1">
        <v>30</v>
      </c>
      <c r="F221" s="1">
        <v>8</v>
      </c>
      <c r="G221" s="1">
        <v>322</v>
      </c>
      <c r="H221" s="1">
        <v>365</v>
      </c>
      <c r="I221" s="1">
        <f t="shared" si="1"/>
        <v>43</v>
      </c>
    </row>
    <row r="222" spans="1:10" x14ac:dyDescent="0.25">
      <c r="C222" s="1">
        <v>9</v>
      </c>
      <c r="D222" s="1">
        <v>1</v>
      </c>
      <c r="E222" s="1">
        <v>30</v>
      </c>
      <c r="F222" s="1">
        <v>9</v>
      </c>
      <c r="G222" s="1">
        <v>366</v>
      </c>
      <c r="H222" s="1">
        <v>416</v>
      </c>
      <c r="I222" s="1">
        <f t="shared" si="1"/>
        <v>50</v>
      </c>
    </row>
    <row r="223" spans="1:10" x14ac:dyDescent="0.25">
      <c r="C223" s="1">
        <v>9</v>
      </c>
      <c r="D223" s="1">
        <v>1</v>
      </c>
      <c r="E223" s="1">
        <v>30</v>
      </c>
      <c r="F223" s="1">
        <v>10</v>
      </c>
      <c r="G223" s="1">
        <v>420</v>
      </c>
      <c r="H223" s="1">
        <v>471</v>
      </c>
      <c r="I223" s="1">
        <f t="shared" si="1"/>
        <v>51</v>
      </c>
    </row>
    <row r="224" spans="1:10" x14ac:dyDescent="0.25">
      <c r="C224" s="1">
        <v>9</v>
      </c>
      <c r="D224" s="1">
        <v>1</v>
      </c>
      <c r="E224" s="1">
        <v>30</v>
      </c>
      <c r="F224" s="1">
        <v>11</v>
      </c>
      <c r="G224" s="1">
        <v>471</v>
      </c>
      <c r="H224" s="1">
        <v>523</v>
      </c>
      <c r="I224" s="1">
        <f t="shared" si="1"/>
        <v>52</v>
      </c>
    </row>
    <row r="225" spans="1:10" x14ac:dyDescent="0.25">
      <c r="C225" s="1">
        <v>9</v>
      </c>
      <c r="D225" s="1">
        <v>1</v>
      </c>
      <c r="E225" s="1">
        <v>30</v>
      </c>
      <c r="F225" s="1">
        <v>12</v>
      </c>
      <c r="G225" s="1">
        <v>524</v>
      </c>
      <c r="H225" s="1">
        <v>564</v>
      </c>
      <c r="I225" s="1">
        <f t="shared" si="1"/>
        <v>40</v>
      </c>
    </row>
    <row r="226" spans="1:10" x14ac:dyDescent="0.25">
      <c r="C226" s="1">
        <v>9</v>
      </c>
      <c r="D226" s="1">
        <v>1</v>
      </c>
      <c r="E226" s="1">
        <v>30</v>
      </c>
      <c r="F226" s="1">
        <v>13</v>
      </c>
      <c r="G226" s="1">
        <v>564</v>
      </c>
      <c r="H226" s="1">
        <v>615</v>
      </c>
      <c r="I226" s="1">
        <f t="shared" si="1"/>
        <v>51</v>
      </c>
    </row>
    <row r="227" spans="1:10" x14ac:dyDescent="0.25">
      <c r="C227" s="1">
        <v>9</v>
      </c>
      <c r="D227" s="1">
        <v>1</v>
      </c>
      <c r="E227" s="1">
        <v>30</v>
      </c>
      <c r="F227" s="1">
        <v>14</v>
      </c>
      <c r="G227" s="1">
        <v>615</v>
      </c>
      <c r="H227" s="1">
        <v>650</v>
      </c>
      <c r="I227" s="1">
        <f t="shared" si="1"/>
        <v>35</v>
      </c>
    </row>
    <row r="228" spans="1:10" x14ac:dyDescent="0.25">
      <c r="C228" s="1">
        <v>9</v>
      </c>
      <c r="D228" s="1">
        <v>1</v>
      </c>
      <c r="E228" s="1">
        <v>30</v>
      </c>
      <c r="F228" s="1">
        <v>15</v>
      </c>
      <c r="G228" s="1">
        <v>650</v>
      </c>
      <c r="H228" s="1">
        <v>706</v>
      </c>
      <c r="I228" s="1">
        <f t="shared" si="1"/>
        <v>56</v>
      </c>
    </row>
    <row r="229" spans="1:10" x14ac:dyDescent="0.25">
      <c r="C229" s="1">
        <v>9</v>
      </c>
      <c r="D229" s="1">
        <v>1</v>
      </c>
      <c r="E229" s="1">
        <v>30</v>
      </c>
      <c r="F229" s="1">
        <v>16</v>
      </c>
      <c r="G229" s="1">
        <v>707</v>
      </c>
      <c r="H229" s="1">
        <v>755</v>
      </c>
      <c r="I229" s="1">
        <f t="shared" si="1"/>
        <v>48</v>
      </c>
    </row>
    <row r="230" spans="1:10" x14ac:dyDescent="0.25">
      <c r="C230" s="1">
        <v>9</v>
      </c>
      <c r="D230" s="1">
        <v>1</v>
      </c>
      <c r="E230" s="1">
        <v>30</v>
      </c>
      <c r="F230" s="1">
        <v>17</v>
      </c>
      <c r="G230" s="1">
        <v>757</v>
      </c>
      <c r="H230" s="1">
        <v>800</v>
      </c>
      <c r="I230" s="1">
        <f t="shared" si="1"/>
        <v>43</v>
      </c>
    </row>
    <row r="231" spans="1:10" x14ac:dyDescent="0.25">
      <c r="C231" s="1">
        <v>9</v>
      </c>
      <c r="D231" s="1">
        <v>1</v>
      </c>
      <c r="E231" s="1">
        <v>30</v>
      </c>
      <c r="F231" s="1">
        <v>18</v>
      </c>
      <c r="G231" s="1">
        <v>801</v>
      </c>
      <c r="H231" s="1">
        <v>821</v>
      </c>
      <c r="I231" s="1">
        <f t="shared" si="1"/>
        <v>20</v>
      </c>
    </row>
    <row r="232" spans="1:10" x14ac:dyDescent="0.25">
      <c r="A232" s="5">
        <v>1</v>
      </c>
      <c r="B232" s="2">
        <v>43810</v>
      </c>
      <c r="C232" s="1">
        <v>10</v>
      </c>
      <c r="D232" s="1">
        <v>2</v>
      </c>
      <c r="E232" s="1">
        <v>30</v>
      </c>
      <c r="F232" s="1">
        <v>1</v>
      </c>
      <c r="G232" s="1">
        <v>14</v>
      </c>
      <c r="H232" s="1">
        <v>53</v>
      </c>
      <c r="I232" s="1">
        <f t="shared" si="1"/>
        <v>39</v>
      </c>
      <c r="J232" s="8">
        <f>(I232+I233+I234+I246+I245+I244+I239+I238+I240)/9</f>
        <v>35.444444444444443</v>
      </c>
    </row>
    <row r="233" spans="1:10" x14ac:dyDescent="0.25">
      <c r="C233" s="1">
        <v>10</v>
      </c>
      <c r="D233" s="1">
        <v>2</v>
      </c>
      <c r="E233" s="1">
        <v>30</v>
      </c>
      <c r="F233" s="1">
        <v>2</v>
      </c>
      <c r="G233" s="1">
        <v>55</v>
      </c>
      <c r="H233" s="1">
        <v>96</v>
      </c>
      <c r="I233" s="1">
        <f t="shared" si="1"/>
        <v>41</v>
      </c>
    </row>
    <row r="234" spans="1:10" x14ac:dyDescent="0.25">
      <c r="C234" s="1">
        <v>10</v>
      </c>
      <c r="D234" s="1">
        <v>2</v>
      </c>
      <c r="E234" s="1">
        <v>30</v>
      </c>
      <c r="F234" s="1">
        <v>3</v>
      </c>
      <c r="G234" s="1">
        <v>96</v>
      </c>
      <c r="H234" s="1">
        <v>140</v>
      </c>
      <c r="I234" s="1">
        <f t="shared" si="1"/>
        <v>44</v>
      </c>
    </row>
    <row r="235" spans="1:10" x14ac:dyDescent="0.25">
      <c r="C235" s="1">
        <v>10</v>
      </c>
      <c r="D235" s="1">
        <v>2</v>
      </c>
      <c r="E235" s="1">
        <v>30</v>
      </c>
      <c r="F235" s="1">
        <v>4</v>
      </c>
      <c r="G235" s="1">
        <v>140</v>
      </c>
      <c r="H235" s="1">
        <v>187</v>
      </c>
      <c r="I235" s="1">
        <f t="shared" si="1"/>
        <v>47</v>
      </c>
    </row>
    <row r="236" spans="1:10" x14ac:dyDescent="0.25">
      <c r="C236" s="1">
        <v>10</v>
      </c>
      <c r="D236" s="1">
        <v>2</v>
      </c>
      <c r="E236" s="1">
        <v>30</v>
      </c>
      <c r="F236" s="1">
        <v>5</v>
      </c>
      <c r="G236" s="1">
        <v>187</v>
      </c>
      <c r="H236" s="1">
        <v>212</v>
      </c>
      <c r="I236" s="1">
        <f t="shared" si="1"/>
        <v>25</v>
      </c>
    </row>
    <row r="237" spans="1:10" x14ac:dyDescent="0.25">
      <c r="C237" s="1">
        <v>10</v>
      </c>
      <c r="D237" s="1">
        <v>2</v>
      </c>
      <c r="E237" s="1">
        <v>30</v>
      </c>
      <c r="F237" s="1">
        <v>6</v>
      </c>
      <c r="G237" s="1">
        <v>212</v>
      </c>
      <c r="H237" s="1">
        <v>249</v>
      </c>
      <c r="I237" s="1">
        <f t="shared" si="1"/>
        <v>37</v>
      </c>
    </row>
    <row r="238" spans="1:10" x14ac:dyDescent="0.25">
      <c r="C238" s="1">
        <v>10</v>
      </c>
      <c r="D238" s="1">
        <v>2</v>
      </c>
      <c r="E238" s="1">
        <v>30</v>
      </c>
      <c r="F238" s="1">
        <v>7</v>
      </c>
      <c r="G238" s="1">
        <v>249</v>
      </c>
      <c r="H238" s="1">
        <v>284</v>
      </c>
      <c r="I238" s="1">
        <f t="shared" si="1"/>
        <v>35</v>
      </c>
    </row>
    <row r="239" spans="1:10" x14ac:dyDescent="0.25">
      <c r="C239" s="1">
        <v>10</v>
      </c>
      <c r="D239" s="1">
        <v>2</v>
      </c>
      <c r="E239" s="1">
        <v>30</v>
      </c>
      <c r="F239" s="1">
        <v>8</v>
      </c>
      <c r="G239" s="1">
        <v>284</v>
      </c>
      <c r="H239" s="1">
        <v>311</v>
      </c>
      <c r="I239" s="1">
        <f t="shared" si="1"/>
        <v>27</v>
      </c>
    </row>
    <row r="240" spans="1:10" x14ac:dyDescent="0.25">
      <c r="C240" s="1">
        <v>10</v>
      </c>
      <c r="D240" s="1">
        <v>2</v>
      </c>
      <c r="E240" s="1">
        <v>30</v>
      </c>
      <c r="F240" s="1">
        <v>9</v>
      </c>
      <c r="G240" s="1">
        <v>311</v>
      </c>
      <c r="H240" s="1">
        <v>358</v>
      </c>
      <c r="I240" s="1">
        <f t="shared" si="1"/>
        <v>47</v>
      </c>
    </row>
    <row r="241" spans="1:10" x14ac:dyDescent="0.25">
      <c r="C241" s="1">
        <v>10</v>
      </c>
      <c r="D241" s="1">
        <v>2</v>
      </c>
      <c r="E241" s="1">
        <v>30</v>
      </c>
      <c r="F241" s="1">
        <v>10</v>
      </c>
      <c r="G241" s="1">
        <v>358</v>
      </c>
      <c r="H241" s="1">
        <v>369</v>
      </c>
      <c r="I241" s="1">
        <f t="shared" si="1"/>
        <v>11</v>
      </c>
    </row>
    <row r="242" spans="1:10" x14ac:dyDescent="0.25">
      <c r="C242" s="1">
        <v>10</v>
      </c>
      <c r="D242" s="1">
        <v>2</v>
      </c>
      <c r="E242" s="1">
        <v>30</v>
      </c>
      <c r="F242" s="1">
        <v>11</v>
      </c>
      <c r="G242" s="1">
        <v>370</v>
      </c>
      <c r="H242" s="1">
        <v>412</v>
      </c>
      <c r="I242" s="1">
        <f t="shared" si="1"/>
        <v>42</v>
      </c>
    </row>
    <row r="243" spans="1:10" x14ac:dyDescent="0.25">
      <c r="C243" s="1">
        <v>10</v>
      </c>
      <c r="D243" s="1">
        <v>2</v>
      </c>
      <c r="E243" s="1">
        <v>30</v>
      </c>
      <c r="F243" s="1">
        <v>12</v>
      </c>
      <c r="G243" s="1">
        <v>412</v>
      </c>
      <c r="H243" s="1">
        <v>457</v>
      </c>
      <c r="I243" s="1">
        <f t="shared" si="1"/>
        <v>45</v>
      </c>
    </row>
    <row r="244" spans="1:10" x14ac:dyDescent="0.25">
      <c r="C244" s="1">
        <v>10</v>
      </c>
      <c r="D244" s="1">
        <v>2</v>
      </c>
      <c r="E244" s="1">
        <v>30</v>
      </c>
      <c r="F244" s="1">
        <v>13</v>
      </c>
      <c r="G244" s="1">
        <v>457</v>
      </c>
      <c r="H244" s="1">
        <v>500</v>
      </c>
      <c r="I244" s="1">
        <f t="shared" si="1"/>
        <v>43</v>
      </c>
    </row>
    <row r="245" spans="1:10" x14ac:dyDescent="0.25">
      <c r="C245" s="1">
        <v>10</v>
      </c>
      <c r="D245" s="1">
        <v>2</v>
      </c>
      <c r="E245" s="1">
        <v>30</v>
      </c>
      <c r="F245" s="1">
        <v>14</v>
      </c>
      <c r="G245" s="1">
        <v>505</v>
      </c>
      <c r="H245" s="1">
        <v>543</v>
      </c>
      <c r="I245" s="1">
        <f t="shared" si="1"/>
        <v>38</v>
      </c>
    </row>
    <row r="246" spans="1:10" x14ac:dyDescent="0.25">
      <c r="C246" s="1">
        <v>10</v>
      </c>
      <c r="D246" s="1">
        <v>2</v>
      </c>
      <c r="E246" s="1">
        <v>30</v>
      </c>
      <c r="F246" s="1">
        <v>15</v>
      </c>
      <c r="G246" s="1">
        <v>543</v>
      </c>
      <c r="H246" s="1">
        <v>548</v>
      </c>
      <c r="I246" s="1">
        <f t="shared" si="1"/>
        <v>5</v>
      </c>
    </row>
    <row r="247" spans="1:10" x14ac:dyDescent="0.25">
      <c r="A247" s="5">
        <v>1</v>
      </c>
      <c r="B247" s="2">
        <v>43808</v>
      </c>
      <c r="C247" s="1">
        <v>11</v>
      </c>
      <c r="D247" s="1">
        <v>1</v>
      </c>
      <c r="E247" s="1">
        <v>30</v>
      </c>
      <c r="F247" s="1">
        <v>1</v>
      </c>
      <c r="G247" s="1">
        <v>5</v>
      </c>
      <c r="H247" s="1">
        <v>8</v>
      </c>
      <c r="I247" s="1">
        <f t="shared" si="1"/>
        <v>3</v>
      </c>
      <c r="J247" s="8">
        <f>(I247+I248+I249+I264+I263+I262+I255+I256+I257)/9</f>
        <v>41.333333333333336</v>
      </c>
    </row>
    <row r="248" spans="1:10" x14ac:dyDescent="0.25">
      <c r="C248" s="1">
        <v>11</v>
      </c>
      <c r="D248" s="1">
        <v>1</v>
      </c>
      <c r="E248" s="1">
        <v>30</v>
      </c>
      <c r="F248" s="1">
        <v>2</v>
      </c>
      <c r="G248" s="1">
        <v>8</v>
      </c>
      <c r="H248" s="1">
        <v>40</v>
      </c>
      <c r="I248" s="1">
        <f t="shared" si="1"/>
        <v>32</v>
      </c>
    </row>
    <row r="249" spans="1:10" x14ac:dyDescent="0.25">
      <c r="C249" s="1">
        <v>11</v>
      </c>
      <c r="D249" s="1">
        <v>1</v>
      </c>
      <c r="E249" s="1">
        <v>30</v>
      </c>
      <c r="F249" s="1">
        <v>3</v>
      </c>
      <c r="G249" s="1">
        <v>40</v>
      </c>
      <c r="H249" s="1">
        <v>90</v>
      </c>
      <c r="I249" s="1">
        <f t="shared" si="1"/>
        <v>50</v>
      </c>
    </row>
    <row r="250" spans="1:10" x14ac:dyDescent="0.25">
      <c r="C250" s="1">
        <v>11</v>
      </c>
      <c r="D250" s="1">
        <v>1</v>
      </c>
      <c r="E250" s="1">
        <v>30</v>
      </c>
      <c r="F250" s="1">
        <v>4</v>
      </c>
      <c r="G250" s="1">
        <v>94</v>
      </c>
      <c r="H250" s="1">
        <v>135</v>
      </c>
      <c r="I250" s="1">
        <f t="shared" si="1"/>
        <v>41</v>
      </c>
    </row>
    <row r="251" spans="1:10" x14ac:dyDescent="0.25">
      <c r="C251" s="1">
        <v>11</v>
      </c>
      <c r="D251" s="1">
        <v>1</v>
      </c>
      <c r="E251" s="1">
        <v>30</v>
      </c>
      <c r="F251" s="1">
        <v>5</v>
      </c>
      <c r="G251" s="1">
        <v>135</v>
      </c>
      <c r="H251" s="1">
        <v>178</v>
      </c>
      <c r="I251" s="1">
        <f t="shared" si="1"/>
        <v>43</v>
      </c>
    </row>
    <row r="252" spans="1:10" x14ac:dyDescent="0.25">
      <c r="C252" s="1">
        <v>11</v>
      </c>
      <c r="D252" s="1">
        <v>1</v>
      </c>
      <c r="E252" s="1">
        <v>30</v>
      </c>
      <c r="F252" s="1">
        <v>6</v>
      </c>
      <c r="G252" s="1">
        <v>181</v>
      </c>
      <c r="H252" s="1">
        <v>230</v>
      </c>
      <c r="I252" s="1">
        <f t="shared" si="1"/>
        <v>49</v>
      </c>
    </row>
    <row r="253" spans="1:10" x14ac:dyDescent="0.25">
      <c r="C253" s="1">
        <v>11</v>
      </c>
      <c r="D253" s="1">
        <v>1</v>
      </c>
      <c r="E253" s="1">
        <v>30</v>
      </c>
      <c r="F253" s="1">
        <v>7</v>
      </c>
      <c r="G253" s="1">
        <v>233</v>
      </c>
      <c r="H253" s="1">
        <v>274</v>
      </c>
      <c r="I253" s="1">
        <f t="shared" si="1"/>
        <v>41</v>
      </c>
    </row>
    <row r="254" spans="1:10" x14ac:dyDescent="0.25">
      <c r="C254" s="1">
        <v>11</v>
      </c>
      <c r="D254" s="1">
        <v>1</v>
      </c>
      <c r="E254" s="1">
        <v>30</v>
      </c>
      <c r="F254" s="1">
        <v>8</v>
      </c>
      <c r="G254" s="1">
        <v>276</v>
      </c>
      <c r="H254" s="1">
        <v>297</v>
      </c>
      <c r="I254" s="1">
        <f t="shared" si="1"/>
        <v>21</v>
      </c>
    </row>
    <row r="255" spans="1:10" x14ac:dyDescent="0.25">
      <c r="C255" s="1">
        <v>11</v>
      </c>
      <c r="D255" s="1">
        <v>1</v>
      </c>
      <c r="E255" s="1">
        <v>30</v>
      </c>
      <c r="F255" s="1">
        <v>9</v>
      </c>
      <c r="G255" s="1">
        <v>310</v>
      </c>
      <c r="H255" s="1">
        <v>366</v>
      </c>
      <c r="I255" s="1">
        <f t="shared" si="1"/>
        <v>56</v>
      </c>
    </row>
    <row r="256" spans="1:10" x14ac:dyDescent="0.25">
      <c r="C256" s="1">
        <v>11</v>
      </c>
      <c r="D256" s="1">
        <v>1</v>
      </c>
      <c r="E256" s="1">
        <v>30</v>
      </c>
      <c r="F256" s="1">
        <v>10</v>
      </c>
      <c r="G256" s="1">
        <v>367</v>
      </c>
      <c r="H256" s="1">
        <v>418</v>
      </c>
      <c r="I256" s="1">
        <f t="shared" si="1"/>
        <v>51</v>
      </c>
    </row>
    <row r="257" spans="1:10" x14ac:dyDescent="0.25">
      <c r="C257" s="1">
        <v>11</v>
      </c>
      <c r="D257" s="1">
        <v>1</v>
      </c>
      <c r="E257" s="1">
        <v>30</v>
      </c>
      <c r="F257" s="1">
        <v>11</v>
      </c>
      <c r="G257" s="1">
        <v>420</v>
      </c>
      <c r="H257" s="1">
        <v>453</v>
      </c>
      <c r="I257" s="1">
        <f t="shared" si="1"/>
        <v>33</v>
      </c>
    </row>
    <row r="258" spans="1:10" x14ac:dyDescent="0.25">
      <c r="C258" s="1">
        <v>11</v>
      </c>
      <c r="D258" s="1">
        <v>1</v>
      </c>
      <c r="E258" s="1">
        <v>30</v>
      </c>
      <c r="F258" s="1">
        <v>12</v>
      </c>
      <c r="G258" s="1">
        <v>453</v>
      </c>
      <c r="H258" s="1">
        <v>453</v>
      </c>
      <c r="I258" s="1">
        <f t="shared" si="1"/>
        <v>0</v>
      </c>
    </row>
    <row r="259" spans="1:10" x14ac:dyDescent="0.25">
      <c r="C259" s="1">
        <v>11</v>
      </c>
      <c r="D259" s="1">
        <v>1</v>
      </c>
      <c r="E259" s="1">
        <v>30</v>
      </c>
      <c r="F259" s="1">
        <v>13</v>
      </c>
      <c r="G259" s="1">
        <v>459</v>
      </c>
      <c r="H259" s="1">
        <v>490</v>
      </c>
      <c r="I259" s="1">
        <f t="shared" si="1"/>
        <v>31</v>
      </c>
    </row>
    <row r="260" spans="1:10" x14ac:dyDescent="0.25">
      <c r="C260" s="1">
        <v>11</v>
      </c>
      <c r="D260" s="1">
        <v>1</v>
      </c>
      <c r="E260" s="1">
        <v>30</v>
      </c>
      <c r="F260" s="1">
        <v>14</v>
      </c>
      <c r="G260" s="1">
        <v>498</v>
      </c>
      <c r="H260" s="1">
        <v>530</v>
      </c>
      <c r="I260" s="1">
        <f t="shared" si="1"/>
        <v>32</v>
      </c>
    </row>
    <row r="261" spans="1:10" x14ac:dyDescent="0.25">
      <c r="C261" s="1">
        <v>11</v>
      </c>
      <c r="D261" s="1">
        <v>1</v>
      </c>
      <c r="E261" s="1">
        <v>30</v>
      </c>
      <c r="F261" s="1">
        <v>15</v>
      </c>
      <c r="G261" s="1">
        <v>533</v>
      </c>
      <c r="H261" s="1">
        <v>587</v>
      </c>
      <c r="I261" s="1">
        <f t="shared" si="1"/>
        <v>54</v>
      </c>
    </row>
    <row r="262" spans="1:10" x14ac:dyDescent="0.25">
      <c r="C262" s="1">
        <v>11</v>
      </c>
      <c r="D262" s="1">
        <v>1</v>
      </c>
      <c r="E262" s="1">
        <v>30</v>
      </c>
      <c r="F262" s="1">
        <v>16</v>
      </c>
      <c r="G262" s="1">
        <v>594</v>
      </c>
      <c r="H262" s="1">
        <v>643</v>
      </c>
      <c r="I262" s="1">
        <f t="shared" si="1"/>
        <v>49</v>
      </c>
    </row>
    <row r="263" spans="1:10" x14ac:dyDescent="0.25">
      <c r="C263" s="1">
        <v>11</v>
      </c>
      <c r="D263" s="1">
        <v>1</v>
      </c>
      <c r="E263" s="1">
        <v>30</v>
      </c>
      <c r="F263" s="1">
        <v>17</v>
      </c>
      <c r="G263" s="1">
        <v>643</v>
      </c>
      <c r="H263" s="1">
        <v>696</v>
      </c>
      <c r="I263" s="1">
        <f t="shared" si="1"/>
        <v>53</v>
      </c>
    </row>
    <row r="264" spans="1:10" x14ac:dyDescent="0.25">
      <c r="C264" s="1">
        <v>11</v>
      </c>
      <c r="D264" s="1">
        <v>1</v>
      </c>
      <c r="E264" s="1">
        <v>30</v>
      </c>
      <c r="F264" s="1">
        <v>18</v>
      </c>
      <c r="G264" s="1">
        <v>700</v>
      </c>
      <c r="H264" s="1">
        <v>745</v>
      </c>
      <c r="I264" s="1">
        <f t="shared" si="1"/>
        <v>45</v>
      </c>
    </row>
    <row r="265" spans="1:10" x14ac:dyDescent="0.25">
      <c r="A265" s="5">
        <v>2</v>
      </c>
      <c r="B265" s="2">
        <v>43815</v>
      </c>
      <c r="C265" s="1">
        <v>9</v>
      </c>
      <c r="D265" s="1">
        <v>1</v>
      </c>
      <c r="E265" s="1">
        <v>30</v>
      </c>
      <c r="F265" s="1">
        <v>1</v>
      </c>
      <c r="G265" s="1">
        <v>1</v>
      </c>
      <c r="H265" s="1">
        <v>40</v>
      </c>
      <c r="I265" s="1">
        <f t="shared" si="1"/>
        <v>39</v>
      </c>
      <c r="J265" s="8">
        <f>(I265+I266+I267+I283+I282+I281+I274+I273+I275)/9</f>
        <v>26.666666666666668</v>
      </c>
    </row>
    <row r="266" spans="1:10" x14ac:dyDescent="0.25">
      <c r="C266" s="1">
        <v>9</v>
      </c>
      <c r="D266" s="1">
        <v>1</v>
      </c>
      <c r="E266" s="1">
        <v>30</v>
      </c>
      <c r="F266" s="1">
        <v>2</v>
      </c>
      <c r="G266" s="1">
        <v>40</v>
      </c>
      <c r="H266" s="1">
        <v>90</v>
      </c>
      <c r="I266" s="1">
        <f t="shared" si="1"/>
        <v>50</v>
      </c>
    </row>
    <row r="267" spans="1:10" x14ac:dyDescent="0.25">
      <c r="C267" s="1">
        <v>9</v>
      </c>
      <c r="D267" s="1">
        <v>1</v>
      </c>
      <c r="E267" s="1">
        <v>30</v>
      </c>
      <c r="F267" s="1">
        <v>3</v>
      </c>
      <c r="G267" s="1">
        <v>90</v>
      </c>
      <c r="H267" s="1">
        <v>104</v>
      </c>
      <c r="I267" s="1">
        <f t="shared" si="1"/>
        <v>14</v>
      </c>
    </row>
    <row r="268" spans="1:10" x14ac:dyDescent="0.25">
      <c r="C268" s="1">
        <v>9</v>
      </c>
      <c r="D268" s="1">
        <v>1</v>
      </c>
      <c r="E268" s="1">
        <v>30</v>
      </c>
      <c r="F268" s="1">
        <v>4</v>
      </c>
      <c r="G268" s="1">
        <v>104</v>
      </c>
      <c r="H268" s="1">
        <v>108</v>
      </c>
      <c r="I268" s="1">
        <f t="shared" si="1"/>
        <v>4</v>
      </c>
    </row>
    <row r="269" spans="1:10" x14ac:dyDescent="0.25">
      <c r="C269" s="1">
        <v>9</v>
      </c>
      <c r="D269" s="1">
        <v>1</v>
      </c>
      <c r="E269" s="1">
        <v>30</v>
      </c>
      <c r="F269" s="1">
        <v>5</v>
      </c>
      <c r="G269" s="1">
        <v>108</v>
      </c>
      <c r="H269" s="1">
        <v>150</v>
      </c>
      <c r="I269" s="1">
        <f t="shared" si="1"/>
        <v>42</v>
      </c>
    </row>
    <row r="270" spans="1:10" x14ac:dyDescent="0.25">
      <c r="C270" s="1">
        <v>9</v>
      </c>
      <c r="D270" s="1">
        <v>1</v>
      </c>
      <c r="E270" s="1">
        <v>30</v>
      </c>
      <c r="F270" s="1">
        <v>6</v>
      </c>
      <c r="G270" s="1">
        <v>150</v>
      </c>
      <c r="H270" s="1">
        <v>180</v>
      </c>
      <c r="I270" s="1">
        <f t="shared" si="1"/>
        <v>30</v>
      </c>
    </row>
    <row r="271" spans="1:10" x14ac:dyDescent="0.25">
      <c r="C271" s="1">
        <v>9</v>
      </c>
      <c r="D271" s="1">
        <v>1</v>
      </c>
      <c r="E271" s="1">
        <v>30</v>
      </c>
      <c r="F271" s="1">
        <v>7</v>
      </c>
      <c r="G271" s="1">
        <v>180</v>
      </c>
      <c r="H271" s="1">
        <v>221</v>
      </c>
      <c r="I271" s="1">
        <f t="shared" si="1"/>
        <v>41</v>
      </c>
    </row>
    <row r="272" spans="1:10" x14ac:dyDescent="0.25">
      <c r="C272" s="1">
        <v>9</v>
      </c>
      <c r="D272" s="1">
        <v>1</v>
      </c>
      <c r="E272" s="1">
        <v>30</v>
      </c>
      <c r="F272" s="1">
        <v>8</v>
      </c>
      <c r="G272" s="1">
        <v>221</v>
      </c>
      <c r="H272" s="1">
        <v>246</v>
      </c>
      <c r="I272" s="1">
        <f t="shared" si="1"/>
        <v>25</v>
      </c>
    </row>
    <row r="273" spans="1:10" x14ac:dyDescent="0.25">
      <c r="C273" s="1">
        <v>9</v>
      </c>
      <c r="D273" s="1">
        <v>1</v>
      </c>
      <c r="E273" s="1">
        <v>30</v>
      </c>
      <c r="F273" s="1">
        <v>9</v>
      </c>
      <c r="G273" s="1">
        <v>246</v>
      </c>
      <c r="H273" s="1">
        <v>273</v>
      </c>
      <c r="I273" s="1">
        <f t="shared" si="1"/>
        <v>27</v>
      </c>
    </row>
    <row r="274" spans="1:10" x14ac:dyDescent="0.25">
      <c r="C274" s="1">
        <v>9</v>
      </c>
      <c r="D274" s="1">
        <v>1</v>
      </c>
      <c r="E274" s="1">
        <v>30</v>
      </c>
      <c r="F274" s="1">
        <v>10</v>
      </c>
      <c r="G274" s="1">
        <v>273</v>
      </c>
      <c r="H274" s="1">
        <v>314</v>
      </c>
      <c r="I274" s="1">
        <f t="shared" si="1"/>
        <v>41</v>
      </c>
    </row>
    <row r="275" spans="1:10" x14ac:dyDescent="0.25">
      <c r="C275" s="1">
        <v>9</v>
      </c>
      <c r="D275" s="1">
        <v>1</v>
      </c>
      <c r="E275" s="1">
        <v>30</v>
      </c>
      <c r="F275" s="1">
        <v>11</v>
      </c>
      <c r="G275" s="1">
        <v>314</v>
      </c>
      <c r="H275" s="1">
        <v>356</v>
      </c>
      <c r="I275" s="1">
        <f t="shared" si="1"/>
        <v>42</v>
      </c>
    </row>
    <row r="276" spans="1:10" x14ac:dyDescent="0.25">
      <c r="C276" s="1">
        <v>9</v>
      </c>
      <c r="D276" s="1">
        <v>1</v>
      </c>
      <c r="E276" s="1">
        <v>30</v>
      </c>
      <c r="F276" s="1">
        <v>12</v>
      </c>
      <c r="G276" s="1">
        <v>356</v>
      </c>
      <c r="H276" s="1">
        <v>371</v>
      </c>
      <c r="I276" s="1">
        <f t="shared" si="1"/>
        <v>15</v>
      </c>
    </row>
    <row r="277" spans="1:10" x14ac:dyDescent="0.25">
      <c r="C277" s="1">
        <v>9</v>
      </c>
      <c r="D277" s="1">
        <v>1</v>
      </c>
      <c r="E277" s="1">
        <v>30</v>
      </c>
      <c r="F277" s="1">
        <v>13</v>
      </c>
      <c r="G277" s="1">
        <v>371</v>
      </c>
      <c r="H277" s="1">
        <v>383</v>
      </c>
      <c r="I277" s="1">
        <f t="shared" si="1"/>
        <v>12</v>
      </c>
    </row>
    <row r="278" spans="1:10" x14ac:dyDescent="0.25">
      <c r="C278" s="1">
        <v>9</v>
      </c>
      <c r="D278" s="1">
        <v>1</v>
      </c>
      <c r="E278" s="1">
        <v>30</v>
      </c>
      <c r="F278" s="1">
        <v>14</v>
      </c>
      <c r="G278" s="1">
        <v>383</v>
      </c>
      <c r="H278" s="1">
        <v>413</v>
      </c>
      <c r="I278" s="1">
        <f t="shared" si="1"/>
        <v>30</v>
      </c>
    </row>
    <row r="279" spans="1:10" x14ac:dyDescent="0.25">
      <c r="C279" s="1">
        <v>9</v>
      </c>
      <c r="D279" s="1">
        <v>1</v>
      </c>
      <c r="E279" s="1">
        <v>30</v>
      </c>
      <c r="F279" s="1">
        <v>15</v>
      </c>
      <c r="G279" s="1">
        <v>413</v>
      </c>
      <c r="H279" s="1">
        <v>451</v>
      </c>
      <c r="I279" s="1">
        <f t="shared" si="1"/>
        <v>38</v>
      </c>
    </row>
    <row r="280" spans="1:10" x14ac:dyDescent="0.25">
      <c r="C280" s="1">
        <v>9</v>
      </c>
      <c r="D280" s="1">
        <v>1</v>
      </c>
      <c r="E280" s="1">
        <v>30</v>
      </c>
      <c r="F280" s="1">
        <v>16</v>
      </c>
      <c r="G280" s="1">
        <v>451</v>
      </c>
      <c r="H280" s="1">
        <v>493</v>
      </c>
      <c r="I280" s="1">
        <f t="shared" si="1"/>
        <v>42</v>
      </c>
    </row>
    <row r="281" spans="1:10" x14ac:dyDescent="0.25">
      <c r="C281" s="1">
        <v>9</v>
      </c>
      <c r="D281" s="1">
        <v>1</v>
      </c>
      <c r="E281" s="1">
        <v>30</v>
      </c>
      <c r="F281" s="1">
        <v>17</v>
      </c>
      <c r="G281" s="1">
        <v>493</v>
      </c>
      <c r="H281" s="1">
        <v>500</v>
      </c>
      <c r="I281" s="1">
        <f t="shared" si="1"/>
        <v>7</v>
      </c>
    </row>
    <row r="282" spans="1:10" x14ac:dyDescent="0.25">
      <c r="C282" s="1">
        <v>9</v>
      </c>
      <c r="D282" s="1">
        <v>1</v>
      </c>
      <c r="E282" s="1">
        <v>30</v>
      </c>
      <c r="F282" s="1">
        <v>18</v>
      </c>
      <c r="G282" s="1">
        <v>500</v>
      </c>
      <c r="H282" s="1">
        <v>513</v>
      </c>
      <c r="I282" s="1">
        <f t="shared" si="1"/>
        <v>13</v>
      </c>
    </row>
    <row r="283" spans="1:10" x14ac:dyDescent="0.25">
      <c r="C283" s="1">
        <v>9</v>
      </c>
      <c r="D283" s="1">
        <v>1</v>
      </c>
      <c r="E283" s="1">
        <v>30</v>
      </c>
      <c r="F283" s="1">
        <v>19</v>
      </c>
      <c r="G283" s="1">
        <v>513</v>
      </c>
      <c r="H283" s="1">
        <v>520</v>
      </c>
      <c r="I283" s="1">
        <f t="shared" si="1"/>
        <v>7</v>
      </c>
    </row>
    <row r="284" spans="1:10" x14ac:dyDescent="0.25">
      <c r="A284" s="5">
        <v>2</v>
      </c>
      <c r="B284" s="2">
        <v>43819</v>
      </c>
      <c r="C284" s="1">
        <v>10</v>
      </c>
      <c r="D284" s="1">
        <v>2</v>
      </c>
      <c r="E284" s="1">
        <v>30</v>
      </c>
      <c r="F284" s="1">
        <v>1</v>
      </c>
      <c r="G284" s="1">
        <v>2</v>
      </c>
      <c r="H284" s="1">
        <v>2</v>
      </c>
      <c r="I284" s="1">
        <f t="shared" si="1"/>
        <v>0</v>
      </c>
      <c r="J284" s="8">
        <f>(I284+I285+I286+I301+I300+I299+I292+I293+I291)/9</f>
        <v>27.222222222222221</v>
      </c>
    </row>
    <row r="285" spans="1:10" x14ac:dyDescent="0.25">
      <c r="C285" s="1">
        <v>10</v>
      </c>
      <c r="D285" s="1">
        <v>2</v>
      </c>
      <c r="E285" s="1">
        <v>30</v>
      </c>
      <c r="F285" s="1">
        <v>2</v>
      </c>
      <c r="G285" s="1">
        <v>2</v>
      </c>
      <c r="H285" s="1">
        <v>39</v>
      </c>
      <c r="I285" s="1">
        <f t="shared" si="1"/>
        <v>37</v>
      </c>
    </row>
    <row r="286" spans="1:10" x14ac:dyDescent="0.25">
      <c r="C286" s="1">
        <v>10</v>
      </c>
      <c r="D286" s="1">
        <v>2</v>
      </c>
      <c r="E286" s="1">
        <v>30</v>
      </c>
      <c r="F286" s="1">
        <v>3</v>
      </c>
      <c r="G286" s="1">
        <v>39</v>
      </c>
      <c r="H286" s="1">
        <v>74</v>
      </c>
      <c r="I286" s="1">
        <f t="shared" si="1"/>
        <v>35</v>
      </c>
    </row>
    <row r="287" spans="1:10" x14ac:dyDescent="0.25">
      <c r="C287" s="1">
        <v>10</v>
      </c>
      <c r="D287" s="1">
        <v>2</v>
      </c>
      <c r="E287" s="1">
        <v>30</v>
      </c>
      <c r="F287" s="1">
        <v>4</v>
      </c>
      <c r="G287" s="1">
        <v>76</v>
      </c>
      <c r="H287" s="1">
        <v>123</v>
      </c>
      <c r="I287" s="1">
        <f t="shared" si="1"/>
        <v>47</v>
      </c>
    </row>
    <row r="288" spans="1:10" x14ac:dyDescent="0.25">
      <c r="C288" s="1">
        <v>10</v>
      </c>
      <c r="D288" s="1">
        <v>2</v>
      </c>
      <c r="E288" s="1">
        <v>30</v>
      </c>
      <c r="F288" s="1">
        <v>5</v>
      </c>
      <c r="G288" s="1">
        <v>124</v>
      </c>
      <c r="H288" s="1">
        <v>174</v>
      </c>
      <c r="I288" s="1">
        <f t="shared" si="1"/>
        <v>50</v>
      </c>
    </row>
    <row r="289" spans="1:10" x14ac:dyDescent="0.25">
      <c r="C289" s="1">
        <v>10</v>
      </c>
      <c r="D289" s="1">
        <v>2</v>
      </c>
      <c r="E289" s="1">
        <v>30</v>
      </c>
      <c r="F289" s="1">
        <v>6</v>
      </c>
      <c r="G289" s="1">
        <v>174</v>
      </c>
      <c r="H289" s="1">
        <v>214</v>
      </c>
      <c r="I289" s="1">
        <f t="shared" si="1"/>
        <v>40</v>
      </c>
    </row>
    <row r="290" spans="1:10" x14ac:dyDescent="0.25">
      <c r="C290" s="1">
        <v>10</v>
      </c>
      <c r="D290" s="1">
        <v>2</v>
      </c>
      <c r="E290" s="1">
        <v>30</v>
      </c>
      <c r="F290" s="1">
        <v>7</v>
      </c>
      <c r="G290" s="1">
        <v>215</v>
      </c>
      <c r="H290" s="1">
        <v>239</v>
      </c>
      <c r="I290" s="1">
        <f t="shared" si="1"/>
        <v>24</v>
      </c>
    </row>
    <row r="291" spans="1:10" x14ac:dyDescent="0.25">
      <c r="C291" s="1">
        <v>10</v>
      </c>
      <c r="D291" s="1">
        <v>2</v>
      </c>
      <c r="E291" s="1">
        <v>30</v>
      </c>
      <c r="F291" s="1">
        <v>8</v>
      </c>
      <c r="G291" s="1">
        <v>242</v>
      </c>
      <c r="H291" s="1">
        <v>280</v>
      </c>
      <c r="I291" s="1">
        <f t="shared" si="1"/>
        <v>38</v>
      </c>
    </row>
    <row r="292" spans="1:10" x14ac:dyDescent="0.25">
      <c r="C292" s="1">
        <v>10</v>
      </c>
      <c r="D292" s="1">
        <v>2</v>
      </c>
      <c r="E292" s="1">
        <v>30</v>
      </c>
      <c r="F292" s="1">
        <v>9</v>
      </c>
      <c r="G292" s="1">
        <v>280</v>
      </c>
      <c r="H292" s="1">
        <v>316</v>
      </c>
      <c r="I292" s="1">
        <f t="shared" si="1"/>
        <v>36</v>
      </c>
    </row>
    <row r="293" spans="1:10" x14ac:dyDescent="0.25">
      <c r="C293" s="1">
        <v>10</v>
      </c>
      <c r="D293" s="1">
        <v>2</v>
      </c>
      <c r="E293" s="1">
        <v>30</v>
      </c>
      <c r="F293" s="1">
        <v>10</v>
      </c>
      <c r="G293" s="1">
        <v>320</v>
      </c>
      <c r="H293" s="1">
        <v>364</v>
      </c>
      <c r="I293" s="1">
        <f t="shared" si="1"/>
        <v>44</v>
      </c>
    </row>
    <row r="294" spans="1:10" x14ac:dyDescent="0.25">
      <c r="C294" s="1">
        <v>10</v>
      </c>
      <c r="D294" s="1">
        <v>2</v>
      </c>
      <c r="E294" s="1">
        <v>30</v>
      </c>
      <c r="F294" s="1">
        <v>11</v>
      </c>
      <c r="G294" s="1">
        <v>369</v>
      </c>
      <c r="H294" s="1">
        <v>404</v>
      </c>
      <c r="I294" s="1">
        <f t="shared" si="1"/>
        <v>35</v>
      </c>
    </row>
    <row r="295" spans="1:10" x14ac:dyDescent="0.25">
      <c r="C295" s="1">
        <v>10</v>
      </c>
      <c r="D295" s="1">
        <v>2</v>
      </c>
      <c r="E295" s="1">
        <v>30</v>
      </c>
      <c r="F295" s="1">
        <v>12</v>
      </c>
      <c r="G295" s="1">
        <v>406</v>
      </c>
      <c r="H295" s="1">
        <v>418</v>
      </c>
      <c r="I295" s="1">
        <f t="shared" si="1"/>
        <v>12</v>
      </c>
    </row>
    <row r="296" spans="1:10" x14ac:dyDescent="0.25">
      <c r="C296" s="1">
        <v>10</v>
      </c>
      <c r="D296" s="1">
        <v>2</v>
      </c>
      <c r="E296" s="1">
        <v>30</v>
      </c>
      <c r="F296" s="1">
        <v>13</v>
      </c>
      <c r="G296" s="1">
        <v>418</v>
      </c>
      <c r="H296" s="1">
        <v>421</v>
      </c>
      <c r="I296" s="1">
        <f t="shared" si="1"/>
        <v>3</v>
      </c>
    </row>
    <row r="297" spans="1:10" x14ac:dyDescent="0.25">
      <c r="C297" s="1">
        <v>10</v>
      </c>
      <c r="D297" s="1">
        <v>2</v>
      </c>
      <c r="E297" s="1">
        <v>30</v>
      </c>
      <c r="F297" s="1">
        <v>14</v>
      </c>
      <c r="G297" s="1">
        <v>421</v>
      </c>
      <c r="H297" s="1">
        <v>461</v>
      </c>
      <c r="I297" s="1">
        <f t="shared" si="1"/>
        <v>40</v>
      </c>
    </row>
    <row r="298" spans="1:10" x14ac:dyDescent="0.25">
      <c r="C298" s="1">
        <v>10</v>
      </c>
      <c r="D298" s="1">
        <v>2</v>
      </c>
      <c r="E298" s="1">
        <v>30</v>
      </c>
      <c r="F298" s="1">
        <v>15</v>
      </c>
      <c r="G298" s="1">
        <v>462</v>
      </c>
      <c r="H298" s="1">
        <v>483</v>
      </c>
      <c r="I298" s="1">
        <f t="shared" si="1"/>
        <v>21</v>
      </c>
    </row>
    <row r="299" spans="1:10" x14ac:dyDescent="0.25">
      <c r="C299" s="1">
        <v>10</v>
      </c>
      <c r="D299" s="1">
        <v>2</v>
      </c>
      <c r="E299" s="1">
        <v>30</v>
      </c>
      <c r="F299" s="1">
        <v>16</v>
      </c>
      <c r="G299" s="1">
        <v>483</v>
      </c>
      <c r="H299" s="1">
        <v>512</v>
      </c>
      <c r="I299" s="1">
        <f t="shared" si="1"/>
        <v>29</v>
      </c>
    </row>
    <row r="300" spans="1:10" x14ac:dyDescent="0.25">
      <c r="C300" s="1">
        <v>10</v>
      </c>
      <c r="D300" s="1">
        <v>2</v>
      </c>
      <c r="E300" s="1">
        <v>30</v>
      </c>
      <c r="F300" s="1">
        <v>17</v>
      </c>
      <c r="G300" s="1">
        <v>515</v>
      </c>
      <c r="H300" s="1">
        <v>535</v>
      </c>
      <c r="I300" s="1">
        <f t="shared" si="1"/>
        <v>20</v>
      </c>
    </row>
    <row r="301" spans="1:10" x14ac:dyDescent="0.25">
      <c r="C301" s="1">
        <v>10</v>
      </c>
      <c r="D301" s="1">
        <v>2</v>
      </c>
      <c r="E301" s="1">
        <v>30</v>
      </c>
      <c r="F301" s="1">
        <v>18</v>
      </c>
      <c r="G301" s="1">
        <v>536</v>
      </c>
      <c r="H301" s="1">
        <v>542</v>
      </c>
      <c r="I301" s="1">
        <f t="shared" si="1"/>
        <v>6</v>
      </c>
    </row>
    <row r="302" spans="1:10" x14ac:dyDescent="0.25">
      <c r="A302" s="5">
        <v>2</v>
      </c>
      <c r="B302" s="2">
        <v>43817</v>
      </c>
      <c r="C302" s="1">
        <v>11</v>
      </c>
      <c r="D302" s="1">
        <v>1</v>
      </c>
      <c r="E302" s="1">
        <v>30</v>
      </c>
      <c r="F302" s="1">
        <v>1</v>
      </c>
      <c r="G302" s="1">
        <v>6</v>
      </c>
      <c r="H302" s="1">
        <v>46</v>
      </c>
      <c r="I302" s="1">
        <f t="shared" si="1"/>
        <v>40</v>
      </c>
      <c r="J302" s="8">
        <f>(I302+I303+I304+I319+I318+I317+I310+I311+I312)/9</f>
        <v>36.777777777777779</v>
      </c>
    </row>
    <row r="303" spans="1:10" x14ac:dyDescent="0.25">
      <c r="C303" s="1">
        <v>11</v>
      </c>
      <c r="D303" s="1">
        <v>1</v>
      </c>
      <c r="E303" s="1">
        <v>30</v>
      </c>
      <c r="F303" s="1">
        <v>2</v>
      </c>
      <c r="G303" s="1">
        <v>58</v>
      </c>
      <c r="H303" s="1">
        <v>98</v>
      </c>
      <c r="I303" s="1">
        <f t="shared" si="1"/>
        <v>40</v>
      </c>
    </row>
    <row r="304" spans="1:10" x14ac:dyDescent="0.25">
      <c r="C304" s="1">
        <v>11</v>
      </c>
      <c r="D304" s="1">
        <v>1</v>
      </c>
      <c r="E304" s="1">
        <v>30</v>
      </c>
      <c r="F304" s="1">
        <v>3</v>
      </c>
      <c r="G304" s="1">
        <v>102</v>
      </c>
      <c r="H304" s="1">
        <v>152</v>
      </c>
      <c r="I304" s="1">
        <f t="shared" si="1"/>
        <v>50</v>
      </c>
    </row>
    <row r="305" spans="1:9" x14ac:dyDescent="0.25">
      <c r="C305" s="1">
        <v>11</v>
      </c>
      <c r="D305" s="1">
        <v>1</v>
      </c>
      <c r="E305" s="1">
        <v>30</v>
      </c>
      <c r="F305" s="1">
        <v>4</v>
      </c>
      <c r="G305" s="1">
        <v>154</v>
      </c>
      <c r="H305" s="1">
        <v>184</v>
      </c>
      <c r="I305" s="1">
        <f t="shared" si="1"/>
        <v>30</v>
      </c>
    </row>
    <row r="306" spans="1:9" x14ac:dyDescent="0.25">
      <c r="C306" s="1">
        <v>11</v>
      </c>
      <c r="D306" s="1">
        <v>1</v>
      </c>
      <c r="E306" s="1">
        <v>30</v>
      </c>
      <c r="F306" s="1">
        <v>5</v>
      </c>
      <c r="G306" s="1">
        <v>184</v>
      </c>
      <c r="H306" s="1">
        <v>234</v>
      </c>
      <c r="I306" s="1">
        <f t="shared" si="1"/>
        <v>50</v>
      </c>
    </row>
    <row r="307" spans="1:9" x14ac:dyDescent="0.25">
      <c r="C307" s="1">
        <v>11</v>
      </c>
      <c r="D307" s="1">
        <v>1</v>
      </c>
      <c r="E307" s="1">
        <v>30</v>
      </c>
      <c r="F307" s="1">
        <v>6</v>
      </c>
      <c r="G307" s="1">
        <v>239</v>
      </c>
      <c r="H307" s="1">
        <v>256</v>
      </c>
      <c r="I307" s="1">
        <f t="shared" si="1"/>
        <v>17</v>
      </c>
    </row>
    <row r="308" spans="1:9" x14ac:dyDescent="0.25">
      <c r="C308" s="1">
        <v>11</v>
      </c>
      <c r="D308" s="1">
        <v>1</v>
      </c>
      <c r="E308" s="1">
        <v>30</v>
      </c>
      <c r="F308" s="1">
        <v>7</v>
      </c>
      <c r="G308" s="1">
        <v>256</v>
      </c>
      <c r="H308" s="1">
        <v>288</v>
      </c>
      <c r="I308" s="1">
        <f t="shared" si="1"/>
        <v>32</v>
      </c>
    </row>
    <row r="309" spans="1:9" x14ac:dyDescent="0.25">
      <c r="C309" s="1">
        <v>11</v>
      </c>
      <c r="D309" s="1">
        <v>1</v>
      </c>
      <c r="E309" s="1">
        <v>30</v>
      </c>
      <c r="F309" s="1">
        <v>8</v>
      </c>
      <c r="G309" s="1">
        <v>304</v>
      </c>
      <c r="H309" s="1">
        <v>357</v>
      </c>
      <c r="I309" s="1">
        <f t="shared" si="1"/>
        <v>53</v>
      </c>
    </row>
    <row r="310" spans="1:9" x14ac:dyDescent="0.25">
      <c r="C310" s="1">
        <v>11</v>
      </c>
      <c r="D310" s="1">
        <v>1</v>
      </c>
      <c r="E310" s="1">
        <v>30</v>
      </c>
      <c r="F310" s="1">
        <v>9</v>
      </c>
      <c r="G310" s="1">
        <v>367</v>
      </c>
      <c r="H310" s="1">
        <v>425</v>
      </c>
      <c r="I310" s="1">
        <f t="shared" si="1"/>
        <v>58</v>
      </c>
    </row>
    <row r="311" spans="1:9" x14ac:dyDescent="0.25">
      <c r="C311" s="1">
        <v>11</v>
      </c>
      <c r="D311" s="1">
        <v>1</v>
      </c>
      <c r="E311" s="1">
        <v>30</v>
      </c>
      <c r="F311" s="1">
        <v>10</v>
      </c>
      <c r="G311" s="1">
        <v>446</v>
      </c>
      <c r="H311" s="1">
        <v>490</v>
      </c>
      <c r="I311" s="1">
        <f t="shared" si="1"/>
        <v>44</v>
      </c>
    </row>
    <row r="312" spans="1:9" x14ac:dyDescent="0.25">
      <c r="C312" s="1">
        <v>11</v>
      </c>
      <c r="D312" s="1">
        <v>1</v>
      </c>
      <c r="E312" s="1">
        <v>30</v>
      </c>
      <c r="F312" s="1">
        <v>11</v>
      </c>
      <c r="G312" s="1">
        <v>492</v>
      </c>
      <c r="H312" s="1">
        <v>529</v>
      </c>
      <c r="I312" s="1">
        <f t="shared" si="1"/>
        <v>37</v>
      </c>
    </row>
    <row r="313" spans="1:9" x14ac:dyDescent="0.25">
      <c r="C313" s="1">
        <v>11</v>
      </c>
      <c r="D313" s="1">
        <v>1</v>
      </c>
      <c r="E313" s="1">
        <v>30</v>
      </c>
      <c r="F313" s="1">
        <v>12</v>
      </c>
      <c r="G313" s="1">
        <v>529</v>
      </c>
      <c r="H313" s="1">
        <v>575</v>
      </c>
      <c r="I313" s="1">
        <f t="shared" si="1"/>
        <v>46</v>
      </c>
    </row>
    <row r="314" spans="1:9" x14ac:dyDescent="0.25">
      <c r="C314" s="1">
        <v>11</v>
      </c>
      <c r="D314" s="1">
        <v>1</v>
      </c>
      <c r="E314" s="1">
        <v>30</v>
      </c>
      <c r="F314" s="1">
        <v>13</v>
      </c>
      <c r="G314" s="1">
        <v>575</v>
      </c>
      <c r="H314" s="1">
        <v>590</v>
      </c>
      <c r="I314" s="1">
        <f t="shared" si="1"/>
        <v>15</v>
      </c>
    </row>
    <row r="315" spans="1:9" x14ac:dyDescent="0.25">
      <c r="C315" s="1">
        <v>11</v>
      </c>
      <c r="D315" s="1">
        <v>1</v>
      </c>
      <c r="E315" s="1">
        <v>30</v>
      </c>
      <c r="F315" s="1">
        <v>14</v>
      </c>
      <c r="G315" s="1">
        <v>590</v>
      </c>
      <c r="H315" s="1">
        <v>606</v>
      </c>
      <c r="I315" s="1">
        <f t="shared" si="1"/>
        <v>16</v>
      </c>
    </row>
    <row r="316" spans="1:9" x14ac:dyDescent="0.25">
      <c r="C316" s="1">
        <v>11</v>
      </c>
      <c r="D316" s="1">
        <v>1</v>
      </c>
      <c r="E316" s="1">
        <v>30</v>
      </c>
      <c r="F316" s="1">
        <v>15</v>
      </c>
      <c r="G316" s="1">
        <v>606</v>
      </c>
      <c r="H316" s="1">
        <v>607</v>
      </c>
      <c r="I316" s="1">
        <f t="shared" si="1"/>
        <v>1</v>
      </c>
    </row>
    <row r="317" spans="1:9" x14ac:dyDescent="0.25">
      <c r="C317" s="1">
        <v>11</v>
      </c>
      <c r="D317" s="1">
        <v>1</v>
      </c>
      <c r="E317" s="1">
        <v>30</v>
      </c>
      <c r="F317" s="1">
        <v>16</v>
      </c>
      <c r="G317" s="1">
        <v>607</v>
      </c>
      <c r="H317" s="1">
        <v>648</v>
      </c>
      <c r="I317" s="1">
        <f t="shared" si="1"/>
        <v>41</v>
      </c>
    </row>
    <row r="318" spans="1:9" x14ac:dyDescent="0.25">
      <c r="C318" s="1">
        <v>11</v>
      </c>
      <c r="D318" s="1">
        <v>1</v>
      </c>
      <c r="E318" s="1">
        <v>30</v>
      </c>
      <c r="F318" s="1">
        <v>17</v>
      </c>
      <c r="G318" s="1">
        <v>649</v>
      </c>
      <c r="H318" s="1">
        <v>660</v>
      </c>
      <c r="I318" s="1">
        <f t="shared" si="1"/>
        <v>11</v>
      </c>
    </row>
    <row r="319" spans="1:9" x14ac:dyDescent="0.25">
      <c r="C319" s="1">
        <v>11</v>
      </c>
      <c r="D319" s="1">
        <v>1</v>
      </c>
      <c r="E319" s="1">
        <v>30</v>
      </c>
      <c r="F319" s="1">
        <v>18</v>
      </c>
      <c r="G319" s="1">
        <v>660</v>
      </c>
      <c r="H319" s="1">
        <v>670</v>
      </c>
      <c r="I319" s="1">
        <f t="shared" si="1"/>
        <v>10</v>
      </c>
    </row>
    <row r="320" spans="1:9" x14ac:dyDescent="0.25">
      <c r="A320" s="9">
        <v>1</v>
      </c>
      <c r="B320" s="4">
        <v>43885</v>
      </c>
      <c r="C320" s="3">
        <v>13</v>
      </c>
      <c r="D320" s="3">
        <v>1</v>
      </c>
      <c r="E320" s="3">
        <v>30</v>
      </c>
      <c r="F320" s="3">
        <v>1</v>
      </c>
      <c r="G320" s="3">
        <v>2</v>
      </c>
      <c r="H320" s="3">
        <v>2</v>
      </c>
      <c r="I320" s="3">
        <f t="shared" si="1"/>
        <v>0</v>
      </c>
    </row>
    <row r="321" spans="1:10" x14ac:dyDescent="0.25">
      <c r="A321" s="9"/>
      <c r="B321" s="3"/>
      <c r="C321" s="3">
        <v>13</v>
      </c>
      <c r="D321" s="3">
        <v>1</v>
      </c>
      <c r="E321" s="3">
        <v>30</v>
      </c>
      <c r="F321" s="3">
        <v>2</v>
      </c>
      <c r="G321" s="3">
        <v>2</v>
      </c>
      <c r="H321" s="3">
        <v>35</v>
      </c>
      <c r="I321" s="3">
        <f t="shared" si="1"/>
        <v>33</v>
      </c>
    </row>
    <row r="322" spans="1:10" x14ac:dyDescent="0.25">
      <c r="A322" s="9"/>
      <c r="B322" s="3"/>
      <c r="C322" s="3">
        <v>13</v>
      </c>
      <c r="D322" s="3">
        <v>1</v>
      </c>
      <c r="E322" s="3">
        <v>30</v>
      </c>
      <c r="F322" s="3">
        <v>3</v>
      </c>
      <c r="G322" s="3">
        <v>35</v>
      </c>
      <c r="H322" s="3">
        <v>36</v>
      </c>
      <c r="I322" s="3">
        <f t="shared" si="1"/>
        <v>1</v>
      </c>
    </row>
    <row r="323" spans="1:10" x14ac:dyDescent="0.25">
      <c r="A323" s="9"/>
      <c r="B323" s="3"/>
      <c r="C323" s="3">
        <v>13</v>
      </c>
      <c r="D323" s="3">
        <v>1</v>
      </c>
      <c r="E323" s="3">
        <v>30</v>
      </c>
      <c r="F323" s="3">
        <v>4</v>
      </c>
      <c r="G323" s="3">
        <v>36</v>
      </c>
      <c r="H323" s="3">
        <v>36</v>
      </c>
      <c r="I323" s="3">
        <f t="shared" si="1"/>
        <v>0</v>
      </c>
    </row>
    <row r="324" spans="1:10" x14ac:dyDescent="0.25">
      <c r="A324" s="9"/>
      <c r="B324" s="3"/>
      <c r="C324" s="3">
        <v>13</v>
      </c>
      <c r="D324" s="3">
        <v>1</v>
      </c>
      <c r="E324" s="3">
        <v>30</v>
      </c>
      <c r="F324" s="3">
        <v>5</v>
      </c>
      <c r="G324" s="3">
        <v>36</v>
      </c>
      <c r="H324" s="3">
        <v>47</v>
      </c>
      <c r="I324" s="3">
        <f t="shared" si="1"/>
        <v>11</v>
      </c>
    </row>
    <row r="325" spans="1:10" x14ac:dyDescent="0.25">
      <c r="A325" s="9"/>
      <c r="B325" s="3"/>
      <c r="C325" s="3">
        <v>13</v>
      </c>
      <c r="D325" s="3">
        <v>1</v>
      </c>
      <c r="E325" s="3">
        <v>30</v>
      </c>
      <c r="F325" s="3">
        <v>6</v>
      </c>
      <c r="G325" s="3">
        <v>47</v>
      </c>
      <c r="H325" s="3">
        <v>47</v>
      </c>
      <c r="I325" s="3">
        <f t="shared" si="1"/>
        <v>0</v>
      </c>
    </row>
    <row r="326" spans="1:10" x14ac:dyDescent="0.25">
      <c r="A326" s="9"/>
      <c r="B326" s="3"/>
      <c r="C326" s="3">
        <v>13</v>
      </c>
      <c r="D326" s="3">
        <v>1</v>
      </c>
      <c r="E326" s="3">
        <v>30</v>
      </c>
      <c r="F326" s="3">
        <v>7</v>
      </c>
      <c r="G326" s="3">
        <v>47</v>
      </c>
      <c r="H326" s="3">
        <v>57</v>
      </c>
      <c r="I326" s="3">
        <f t="shared" si="1"/>
        <v>10</v>
      </c>
    </row>
    <row r="327" spans="1:10" x14ac:dyDescent="0.25">
      <c r="A327" s="9"/>
      <c r="B327" s="3"/>
      <c r="C327" s="3">
        <v>13</v>
      </c>
      <c r="D327" s="3">
        <v>1</v>
      </c>
      <c r="E327" s="3">
        <v>30</v>
      </c>
      <c r="F327" s="3">
        <v>8</v>
      </c>
      <c r="G327" s="3">
        <v>57</v>
      </c>
      <c r="H327" s="3">
        <v>57</v>
      </c>
      <c r="I327" s="3">
        <f t="shared" si="1"/>
        <v>0</v>
      </c>
    </row>
    <row r="328" spans="1:10" x14ac:dyDescent="0.25">
      <c r="A328" s="5">
        <v>1</v>
      </c>
      <c r="B328" s="2">
        <v>43899</v>
      </c>
      <c r="C328" s="1">
        <v>14</v>
      </c>
      <c r="D328" s="1">
        <v>2</v>
      </c>
      <c r="E328" s="1">
        <v>30</v>
      </c>
      <c r="F328" s="1">
        <v>1</v>
      </c>
      <c r="G328" s="1">
        <v>4</v>
      </c>
      <c r="H328" s="1">
        <v>23</v>
      </c>
      <c r="I328" s="1">
        <f t="shared" si="1"/>
        <v>19</v>
      </c>
      <c r="J328" s="8">
        <f>(I328+I329+I330+I352+I351+I350+I339+I340+I338)/9</f>
        <v>33</v>
      </c>
    </row>
    <row r="329" spans="1:10" x14ac:dyDescent="0.25">
      <c r="C329" s="1">
        <v>14</v>
      </c>
      <c r="D329" s="1">
        <v>2</v>
      </c>
      <c r="E329" s="1">
        <v>30</v>
      </c>
      <c r="F329" s="1">
        <v>2</v>
      </c>
      <c r="G329" s="1">
        <v>23</v>
      </c>
      <c r="H329" s="1">
        <v>63</v>
      </c>
      <c r="I329" s="1">
        <f t="shared" si="1"/>
        <v>40</v>
      </c>
    </row>
    <row r="330" spans="1:10" x14ac:dyDescent="0.25">
      <c r="C330" s="1">
        <v>14</v>
      </c>
      <c r="D330" s="1">
        <v>2</v>
      </c>
      <c r="E330" s="1">
        <v>30</v>
      </c>
      <c r="F330" s="1">
        <v>3</v>
      </c>
      <c r="G330" s="1">
        <v>63</v>
      </c>
      <c r="H330" s="1">
        <v>108</v>
      </c>
      <c r="I330" s="1">
        <f t="shared" ref="I330:I462" si="2">H330-G330</f>
        <v>45</v>
      </c>
    </row>
    <row r="331" spans="1:10" x14ac:dyDescent="0.25">
      <c r="C331" s="1">
        <v>14</v>
      </c>
      <c r="D331" s="1">
        <v>2</v>
      </c>
      <c r="E331" s="1">
        <v>30</v>
      </c>
      <c r="F331" s="1">
        <v>4</v>
      </c>
      <c r="G331" s="1">
        <v>108</v>
      </c>
      <c r="H331" s="1">
        <v>151</v>
      </c>
      <c r="I331" s="1">
        <f t="shared" si="2"/>
        <v>43</v>
      </c>
    </row>
    <row r="332" spans="1:10" x14ac:dyDescent="0.25">
      <c r="C332" s="1">
        <v>14</v>
      </c>
      <c r="D332" s="1">
        <v>2</v>
      </c>
      <c r="E332" s="1">
        <v>30</v>
      </c>
      <c r="F332" s="1">
        <v>5</v>
      </c>
      <c r="G332" s="1">
        <v>151</v>
      </c>
      <c r="H332" s="1">
        <v>192</v>
      </c>
      <c r="I332" s="1">
        <f t="shared" si="2"/>
        <v>41</v>
      </c>
    </row>
    <row r="333" spans="1:10" x14ac:dyDescent="0.25">
      <c r="C333" s="1">
        <v>14</v>
      </c>
      <c r="D333" s="1">
        <v>2</v>
      </c>
      <c r="E333" s="1">
        <v>30</v>
      </c>
      <c r="F333" s="1">
        <v>6</v>
      </c>
      <c r="G333" s="1">
        <v>198</v>
      </c>
      <c r="H333" s="1">
        <v>233</v>
      </c>
      <c r="I333" s="1">
        <f t="shared" si="2"/>
        <v>35</v>
      </c>
    </row>
    <row r="334" spans="1:10" x14ac:dyDescent="0.25">
      <c r="C334" s="1">
        <v>14</v>
      </c>
      <c r="D334" s="1">
        <v>2</v>
      </c>
      <c r="E334" s="1">
        <v>30</v>
      </c>
      <c r="F334" s="1">
        <v>7</v>
      </c>
      <c r="G334" s="1">
        <v>238</v>
      </c>
      <c r="H334" s="1">
        <v>275</v>
      </c>
      <c r="I334" s="1">
        <f t="shared" si="2"/>
        <v>37</v>
      </c>
    </row>
    <row r="335" spans="1:10" x14ac:dyDescent="0.25">
      <c r="C335" s="1">
        <v>14</v>
      </c>
      <c r="D335" s="1">
        <v>2</v>
      </c>
      <c r="E335" s="1">
        <v>30</v>
      </c>
      <c r="F335" s="1">
        <v>8</v>
      </c>
      <c r="G335" s="1">
        <v>275</v>
      </c>
      <c r="H335" s="1">
        <v>312</v>
      </c>
      <c r="I335" s="1">
        <f t="shared" si="2"/>
        <v>37</v>
      </c>
    </row>
    <row r="336" spans="1:10" x14ac:dyDescent="0.25">
      <c r="C336" s="1">
        <v>14</v>
      </c>
      <c r="D336" s="1">
        <v>2</v>
      </c>
      <c r="E336" s="1">
        <v>30</v>
      </c>
      <c r="F336" s="1">
        <v>9</v>
      </c>
      <c r="G336" s="1">
        <v>312</v>
      </c>
      <c r="H336" s="1">
        <v>344</v>
      </c>
      <c r="I336" s="1">
        <f t="shared" si="2"/>
        <v>32</v>
      </c>
    </row>
    <row r="337" spans="3:9" x14ac:dyDescent="0.25">
      <c r="C337" s="1">
        <v>14</v>
      </c>
      <c r="D337" s="1">
        <v>2</v>
      </c>
      <c r="E337" s="1">
        <v>30</v>
      </c>
      <c r="F337" s="1">
        <v>10</v>
      </c>
      <c r="G337" s="1">
        <v>344</v>
      </c>
      <c r="H337" s="1">
        <v>366</v>
      </c>
      <c r="I337" s="1">
        <f t="shared" si="2"/>
        <v>22</v>
      </c>
    </row>
    <row r="338" spans="3:9" x14ac:dyDescent="0.25">
      <c r="C338" s="1">
        <v>14</v>
      </c>
      <c r="D338" s="1">
        <v>2</v>
      </c>
      <c r="E338" s="1">
        <v>30</v>
      </c>
      <c r="F338" s="1">
        <v>11</v>
      </c>
      <c r="G338" s="1">
        <v>366</v>
      </c>
      <c r="H338" s="1">
        <v>402</v>
      </c>
      <c r="I338" s="1">
        <f t="shared" si="2"/>
        <v>36</v>
      </c>
    </row>
    <row r="339" spans="3:9" x14ac:dyDescent="0.25">
      <c r="C339" s="1">
        <v>14</v>
      </c>
      <c r="D339" s="1">
        <v>2</v>
      </c>
      <c r="E339" s="1">
        <v>30</v>
      </c>
      <c r="F339" s="1">
        <v>12</v>
      </c>
      <c r="G339" s="1">
        <v>412</v>
      </c>
      <c r="H339" s="1">
        <v>442</v>
      </c>
      <c r="I339" s="1">
        <f t="shared" si="2"/>
        <v>30</v>
      </c>
    </row>
    <row r="340" spans="3:9" x14ac:dyDescent="0.25">
      <c r="C340" s="1">
        <v>14</v>
      </c>
      <c r="D340" s="1">
        <v>2</v>
      </c>
      <c r="E340" s="1">
        <v>30</v>
      </c>
      <c r="F340" s="1">
        <v>13</v>
      </c>
      <c r="G340" s="1">
        <v>444</v>
      </c>
      <c r="H340" s="1">
        <v>471</v>
      </c>
      <c r="I340" s="1">
        <f t="shared" si="2"/>
        <v>27</v>
      </c>
    </row>
    <row r="341" spans="3:9" x14ac:dyDescent="0.25">
      <c r="C341" s="1">
        <v>14</v>
      </c>
      <c r="D341" s="1">
        <v>2</v>
      </c>
      <c r="E341" s="1">
        <v>30</v>
      </c>
      <c r="F341" s="1">
        <v>14</v>
      </c>
      <c r="G341" s="1">
        <v>471</v>
      </c>
      <c r="H341" s="1">
        <v>503</v>
      </c>
      <c r="I341" s="1">
        <f t="shared" si="2"/>
        <v>32</v>
      </c>
    </row>
    <row r="342" spans="3:9" x14ac:dyDescent="0.25">
      <c r="C342" s="1">
        <v>14</v>
      </c>
      <c r="D342" s="1">
        <v>2</v>
      </c>
      <c r="E342" s="1">
        <v>30</v>
      </c>
      <c r="F342" s="1">
        <v>15</v>
      </c>
      <c r="G342" s="1">
        <v>503</v>
      </c>
      <c r="H342" s="1">
        <v>537</v>
      </c>
      <c r="I342" s="1">
        <f t="shared" si="2"/>
        <v>34</v>
      </c>
    </row>
    <row r="343" spans="3:9" x14ac:dyDescent="0.25">
      <c r="C343" s="1">
        <v>14</v>
      </c>
      <c r="D343" s="1">
        <v>2</v>
      </c>
      <c r="E343" s="1">
        <v>30</v>
      </c>
      <c r="F343" s="1">
        <v>16</v>
      </c>
      <c r="G343" s="1">
        <v>537</v>
      </c>
      <c r="H343" s="1">
        <v>570</v>
      </c>
      <c r="I343" s="1">
        <f t="shared" si="2"/>
        <v>33</v>
      </c>
    </row>
    <row r="344" spans="3:9" x14ac:dyDescent="0.25">
      <c r="C344" s="1">
        <v>14</v>
      </c>
      <c r="D344" s="1">
        <v>2</v>
      </c>
      <c r="E344" s="1">
        <v>30</v>
      </c>
      <c r="F344" s="1">
        <v>17</v>
      </c>
      <c r="G344" s="1">
        <v>570</v>
      </c>
      <c r="H344" s="1">
        <v>607</v>
      </c>
      <c r="I344" s="1">
        <f t="shared" si="2"/>
        <v>37</v>
      </c>
    </row>
    <row r="345" spans="3:9" x14ac:dyDescent="0.25">
      <c r="C345" s="1">
        <v>14</v>
      </c>
      <c r="D345" s="1">
        <v>2</v>
      </c>
      <c r="E345" s="1">
        <v>30</v>
      </c>
      <c r="F345" s="1">
        <v>18</v>
      </c>
      <c r="G345" s="1">
        <v>607</v>
      </c>
      <c r="H345" s="1">
        <v>640</v>
      </c>
      <c r="I345" s="1">
        <f t="shared" si="2"/>
        <v>33</v>
      </c>
    </row>
    <row r="346" spans="3:9" x14ac:dyDescent="0.25">
      <c r="C346" s="1">
        <v>14</v>
      </c>
      <c r="D346" s="1">
        <v>2</v>
      </c>
      <c r="E346" s="1">
        <v>30</v>
      </c>
      <c r="F346" s="1">
        <v>19</v>
      </c>
      <c r="G346" s="1">
        <v>640</v>
      </c>
      <c r="H346" s="1">
        <v>670</v>
      </c>
      <c r="I346" s="1">
        <f t="shared" si="2"/>
        <v>30</v>
      </c>
    </row>
    <row r="347" spans="3:9" x14ac:dyDescent="0.25">
      <c r="C347" s="1">
        <v>14</v>
      </c>
      <c r="D347" s="1">
        <v>2</v>
      </c>
      <c r="E347" s="1">
        <v>30</v>
      </c>
      <c r="F347" s="1">
        <v>20</v>
      </c>
      <c r="G347" s="1">
        <v>683</v>
      </c>
      <c r="H347" s="1">
        <v>724</v>
      </c>
      <c r="I347" s="1">
        <f t="shared" si="2"/>
        <v>41</v>
      </c>
    </row>
    <row r="348" spans="3:9" x14ac:dyDescent="0.25">
      <c r="C348" s="1">
        <v>14</v>
      </c>
      <c r="D348" s="1">
        <v>2</v>
      </c>
      <c r="E348" s="1">
        <v>30</v>
      </c>
      <c r="F348" s="1">
        <v>21</v>
      </c>
      <c r="G348" s="1">
        <v>724</v>
      </c>
      <c r="H348" s="1">
        <v>764</v>
      </c>
      <c r="I348" s="1">
        <f t="shared" si="2"/>
        <v>40</v>
      </c>
    </row>
    <row r="349" spans="3:9" x14ac:dyDescent="0.25">
      <c r="C349" s="1">
        <v>14</v>
      </c>
      <c r="D349" s="1">
        <v>2</v>
      </c>
      <c r="E349" s="1">
        <v>30</v>
      </c>
      <c r="F349" s="1">
        <v>22</v>
      </c>
      <c r="G349" s="1">
        <v>764</v>
      </c>
      <c r="H349" s="1">
        <v>795</v>
      </c>
      <c r="I349" s="1">
        <f t="shared" si="2"/>
        <v>31</v>
      </c>
    </row>
    <row r="350" spans="3:9" x14ac:dyDescent="0.25">
      <c r="C350" s="1">
        <v>14</v>
      </c>
      <c r="D350" s="1">
        <v>2</v>
      </c>
      <c r="E350" s="1">
        <v>30</v>
      </c>
      <c r="F350" s="1">
        <v>23</v>
      </c>
      <c r="G350" s="1">
        <v>795</v>
      </c>
      <c r="H350" s="1">
        <v>834</v>
      </c>
      <c r="I350" s="1">
        <f t="shared" si="2"/>
        <v>39</v>
      </c>
    </row>
    <row r="351" spans="3:9" x14ac:dyDescent="0.25">
      <c r="C351" s="1">
        <v>14</v>
      </c>
      <c r="D351" s="1">
        <v>2</v>
      </c>
      <c r="E351" s="1">
        <v>30</v>
      </c>
      <c r="F351" s="1">
        <v>24</v>
      </c>
      <c r="G351" s="1">
        <v>834</v>
      </c>
      <c r="H351" s="1">
        <v>861</v>
      </c>
      <c r="I351" s="1">
        <f t="shared" si="2"/>
        <v>27</v>
      </c>
    </row>
    <row r="352" spans="3:9" x14ac:dyDescent="0.25">
      <c r="C352" s="1">
        <v>14</v>
      </c>
      <c r="D352" s="1">
        <v>2</v>
      </c>
      <c r="E352" s="1">
        <v>30</v>
      </c>
      <c r="F352" s="1">
        <v>25</v>
      </c>
      <c r="G352" s="1">
        <v>861</v>
      </c>
      <c r="H352" s="1">
        <v>895</v>
      </c>
      <c r="I352" s="1">
        <f t="shared" si="2"/>
        <v>34</v>
      </c>
    </row>
    <row r="353" spans="1:10" x14ac:dyDescent="0.25">
      <c r="A353" s="5">
        <v>1</v>
      </c>
      <c r="B353" s="2">
        <v>43887</v>
      </c>
      <c r="C353" s="1">
        <v>15</v>
      </c>
      <c r="D353" s="1">
        <v>1</v>
      </c>
      <c r="E353" s="1">
        <v>30</v>
      </c>
      <c r="F353" s="1">
        <v>1</v>
      </c>
      <c r="G353" s="1">
        <v>0</v>
      </c>
      <c r="H353" s="1">
        <v>24</v>
      </c>
      <c r="I353" s="1">
        <f t="shared" si="2"/>
        <v>24</v>
      </c>
      <c r="J353" s="8">
        <f>(I353+I354+I355+I372+I371+I370+I363+I362+I364)/9</f>
        <v>49.111111111111114</v>
      </c>
    </row>
    <row r="354" spans="1:10" x14ac:dyDescent="0.25">
      <c r="C354" s="1">
        <v>15</v>
      </c>
      <c r="D354" s="1">
        <v>1</v>
      </c>
      <c r="E354" s="1">
        <v>30</v>
      </c>
      <c r="F354" s="1">
        <v>2</v>
      </c>
      <c r="G354" s="1">
        <v>24</v>
      </c>
      <c r="H354" s="1">
        <v>52</v>
      </c>
      <c r="I354" s="1">
        <f t="shared" si="2"/>
        <v>28</v>
      </c>
    </row>
    <row r="355" spans="1:10" x14ac:dyDescent="0.25">
      <c r="C355" s="1">
        <v>15</v>
      </c>
      <c r="D355" s="1">
        <v>1</v>
      </c>
      <c r="E355" s="1">
        <v>30</v>
      </c>
      <c r="F355" s="1">
        <v>3</v>
      </c>
      <c r="G355" s="1">
        <v>52</v>
      </c>
      <c r="H355" s="1">
        <v>108</v>
      </c>
      <c r="I355" s="1">
        <f t="shared" si="2"/>
        <v>56</v>
      </c>
    </row>
    <row r="356" spans="1:10" x14ac:dyDescent="0.25">
      <c r="C356" s="1">
        <v>15</v>
      </c>
      <c r="D356" s="1">
        <v>1</v>
      </c>
      <c r="E356" s="1">
        <v>30</v>
      </c>
      <c r="F356" s="1">
        <v>4</v>
      </c>
      <c r="G356" s="1">
        <v>108</v>
      </c>
      <c r="H356" s="1">
        <v>152</v>
      </c>
      <c r="I356" s="1">
        <f t="shared" si="2"/>
        <v>44</v>
      </c>
    </row>
    <row r="357" spans="1:10" x14ac:dyDescent="0.25">
      <c r="C357" s="1">
        <v>15</v>
      </c>
      <c r="D357" s="1">
        <v>1</v>
      </c>
      <c r="E357" s="1">
        <v>30</v>
      </c>
      <c r="F357" s="1">
        <v>5</v>
      </c>
      <c r="G357" s="1">
        <v>158</v>
      </c>
      <c r="H357" s="1">
        <v>196</v>
      </c>
      <c r="I357" s="1">
        <f t="shared" si="2"/>
        <v>38</v>
      </c>
    </row>
    <row r="358" spans="1:10" x14ac:dyDescent="0.25">
      <c r="C358" s="1">
        <v>15</v>
      </c>
      <c r="D358" s="1">
        <v>1</v>
      </c>
      <c r="E358" s="1">
        <v>30</v>
      </c>
      <c r="F358" s="1">
        <v>6</v>
      </c>
      <c r="G358" s="1">
        <v>200</v>
      </c>
      <c r="H358" s="1">
        <v>249</v>
      </c>
      <c r="I358" s="1">
        <f t="shared" si="2"/>
        <v>49</v>
      </c>
    </row>
    <row r="359" spans="1:10" x14ac:dyDescent="0.25">
      <c r="C359" s="1">
        <v>15</v>
      </c>
      <c r="D359" s="1">
        <v>1</v>
      </c>
      <c r="E359" s="1">
        <v>30</v>
      </c>
      <c r="F359" s="1">
        <v>7</v>
      </c>
      <c r="G359" s="1">
        <v>254</v>
      </c>
      <c r="H359" s="1">
        <v>304</v>
      </c>
      <c r="I359" s="1">
        <f t="shared" si="2"/>
        <v>50</v>
      </c>
    </row>
    <row r="360" spans="1:10" x14ac:dyDescent="0.25">
      <c r="C360" s="1">
        <v>15</v>
      </c>
      <c r="D360" s="1">
        <v>1</v>
      </c>
      <c r="E360" s="1">
        <v>30</v>
      </c>
      <c r="F360" s="1">
        <v>8</v>
      </c>
      <c r="G360" s="1">
        <v>308</v>
      </c>
      <c r="H360" s="1">
        <v>383</v>
      </c>
      <c r="I360" s="1">
        <f t="shared" si="2"/>
        <v>75</v>
      </c>
    </row>
    <row r="361" spans="1:10" x14ac:dyDescent="0.25">
      <c r="C361" s="1">
        <v>15</v>
      </c>
      <c r="D361" s="1">
        <v>1</v>
      </c>
      <c r="E361" s="1">
        <v>30</v>
      </c>
      <c r="F361" s="1">
        <v>9</v>
      </c>
      <c r="G361" s="1">
        <v>383</v>
      </c>
      <c r="H361" s="1">
        <v>402</v>
      </c>
      <c r="I361" s="1">
        <f t="shared" si="2"/>
        <v>19</v>
      </c>
    </row>
    <row r="362" spans="1:10" x14ac:dyDescent="0.25">
      <c r="C362" s="1">
        <v>15</v>
      </c>
      <c r="D362" s="1">
        <v>1</v>
      </c>
      <c r="E362" s="1">
        <v>30</v>
      </c>
      <c r="F362" s="1">
        <v>10</v>
      </c>
      <c r="G362" s="1">
        <v>412</v>
      </c>
      <c r="H362" s="1">
        <v>462</v>
      </c>
      <c r="I362" s="1">
        <f t="shared" si="2"/>
        <v>50</v>
      </c>
    </row>
    <row r="363" spans="1:10" x14ac:dyDescent="0.25">
      <c r="C363" s="1">
        <v>15</v>
      </c>
      <c r="D363" s="1">
        <v>1</v>
      </c>
      <c r="E363" s="1">
        <v>30</v>
      </c>
      <c r="F363" s="1">
        <v>11</v>
      </c>
      <c r="G363" s="1">
        <v>493</v>
      </c>
      <c r="H363" s="1">
        <v>540</v>
      </c>
      <c r="I363" s="1">
        <f t="shared" si="2"/>
        <v>47</v>
      </c>
    </row>
    <row r="364" spans="1:10" x14ac:dyDescent="0.25">
      <c r="C364" s="1">
        <v>15</v>
      </c>
      <c r="D364" s="1">
        <v>1</v>
      </c>
      <c r="E364" s="1">
        <v>30</v>
      </c>
      <c r="F364" s="1">
        <v>12</v>
      </c>
      <c r="G364" s="1">
        <v>540</v>
      </c>
      <c r="H364" s="1">
        <v>590</v>
      </c>
      <c r="I364" s="1">
        <f t="shared" si="2"/>
        <v>50</v>
      </c>
    </row>
    <row r="365" spans="1:10" x14ac:dyDescent="0.25">
      <c r="C365" s="1">
        <v>15</v>
      </c>
      <c r="D365" s="1">
        <v>1</v>
      </c>
      <c r="E365" s="1">
        <v>30</v>
      </c>
      <c r="F365" s="1">
        <v>13</v>
      </c>
      <c r="G365" s="1">
        <v>590</v>
      </c>
      <c r="H365" s="1">
        <v>639</v>
      </c>
      <c r="I365" s="1">
        <f t="shared" si="2"/>
        <v>49</v>
      </c>
    </row>
    <row r="366" spans="1:10" x14ac:dyDescent="0.25">
      <c r="C366" s="1">
        <v>15</v>
      </c>
      <c r="D366" s="1">
        <v>1</v>
      </c>
      <c r="E366" s="1">
        <v>30</v>
      </c>
      <c r="F366" s="1">
        <v>14</v>
      </c>
      <c r="G366" s="1">
        <v>639</v>
      </c>
      <c r="H366" s="1">
        <v>694</v>
      </c>
      <c r="I366" s="1">
        <f t="shared" si="2"/>
        <v>55</v>
      </c>
    </row>
    <row r="367" spans="1:10" x14ac:dyDescent="0.25">
      <c r="C367" s="1">
        <v>15</v>
      </c>
      <c r="D367" s="1">
        <v>1</v>
      </c>
      <c r="E367" s="1">
        <v>30</v>
      </c>
      <c r="F367" s="1">
        <v>15</v>
      </c>
      <c r="G367" s="1">
        <v>694</v>
      </c>
      <c r="H367" s="1">
        <v>738</v>
      </c>
      <c r="I367" s="1">
        <f t="shared" si="2"/>
        <v>44</v>
      </c>
    </row>
    <row r="368" spans="1:10" x14ac:dyDescent="0.25">
      <c r="C368" s="1">
        <v>15</v>
      </c>
      <c r="D368" s="1">
        <v>1</v>
      </c>
      <c r="E368" s="1">
        <v>30</v>
      </c>
      <c r="F368" s="1">
        <v>16</v>
      </c>
      <c r="G368" s="1">
        <v>738</v>
      </c>
      <c r="H368" s="1">
        <v>791</v>
      </c>
      <c r="I368" s="1">
        <f t="shared" si="2"/>
        <v>53</v>
      </c>
    </row>
    <row r="369" spans="1:10" x14ac:dyDescent="0.25">
      <c r="C369" s="1">
        <v>15</v>
      </c>
      <c r="D369" s="1">
        <v>1</v>
      </c>
      <c r="E369" s="1">
        <v>30</v>
      </c>
      <c r="F369" s="1">
        <v>17</v>
      </c>
      <c r="G369" s="1">
        <v>791</v>
      </c>
      <c r="H369" s="1">
        <v>846</v>
      </c>
      <c r="I369" s="1">
        <f t="shared" si="2"/>
        <v>55</v>
      </c>
    </row>
    <row r="370" spans="1:10" x14ac:dyDescent="0.25">
      <c r="C370" s="1">
        <v>15</v>
      </c>
      <c r="D370" s="1">
        <v>1</v>
      </c>
      <c r="E370" s="1">
        <v>30</v>
      </c>
      <c r="F370" s="1">
        <v>18</v>
      </c>
      <c r="G370" s="1">
        <v>846</v>
      </c>
      <c r="H370" s="1">
        <v>919</v>
      </c>
      <c r="I370" s="1">
        <f t="shared" si="2"/>
        <v>73</v>
      </c>
    </row>
    <row r="371" spans="1:10" x14ac:dyDescent="0.25">
      <c r="C371" s="1">
        <v>15</v>
      </c>
      <c r="D371" s="1">
        <v>1</v>
      </c>
      <c r="E371" s="1">
        <v>30</v>
      </c>
      <c r="F371" s="1">
        <v>19</v>
      </c>
      <c r="G371" s="1">
        <v>919</v>
      </c>
      <c r="H371" s="1">
        <v>976</v>
      </c>
      <c r="I371" s="1">
        <f t="shared" si="2"/>
        <v>57</v>
      </c>
    </row>
    <row r="372" spans="1:10" x14ac:dyDescent="0.25">
      <c r="C372" s="1">
        <v>15</v>
      </c>
      <c r="D372" s="1">
        <v>1</v>
      </c>
      <c r="E372" s="1">
        <v>30</v>
      </c>
      <c r="F372" s="1">
        <v>20</v>
      </c>
      <c r="G372" s="1">
        <v>976</v>
      </c>
      <c r="H372" s="1">
        <v>1033</v>
      </c>
      <c r="I372" s="1">
        <f t="shared" si="2"/>
        <v>57</v>
      </c>
    </row>
    <row r="373" spans="1:10" x14ac:dyDescent="0.25">
      <c r="A373" s="5">
        <v>1</v>
      </c>
      <c r="B373" s="2">
        <v>43885</v>
      </c>
      <c r="C373" s="1">
        <v>16</v>
      </c>
      <c r="D373" s="1">
        <v>2</v>
      </c>
      <c r="E373" s="1">
        <v>30</v>
      </c>
      <c r="F373" s="1">
        <v>1</v>
      </c>
      <c r="G373" s="1">
        <v>0</v>
      </c>
      <c r="H373" s="1">
        <v>0</v>
      </c>
      <c r="I373" s="1">
        <f t="shared" si="2"/>
        <v>0</v>
      </c>
      <c r="J373" s="8">
        <f>(I373+I374+I375+I384+I383+I382+I379+I378+I377)/9</f>
        <v>23.222222222222221</v>
      </c>
    </row>
    <row r="374" spans="1:10" x14ac:dyDescent="0.25">
      <c r="C374" s="1">
        <v>16</v>
      </c>
      <c r="D374" s="1">
        <v>2</v>
      </c>
      <c r="E374" s="1">
        <v>30</v>
      </c>
      <c r="F374" s="1">
        <v>2</v>
      </c>
      <c r="G374" s="1">
        <v>0</v>
      </c>
      <c r="H374" s="1">
        <v>0</v>
      </c>
      <c r="I374" s="1">
        <f t="shared" si="2"/>
        <v>0</v>
      </c>
    </row>
    <row r="375" spans="1:10" x14ac:dyDescent="0.25">
      <c r="C375" s="1">
        <v>16</v>
      </c>
      <c r="D375" s="1">
        <v>2</v>
      </c>
      <c r="E375" s="1">
        <v>30</v>
      </c>
      <c r="F375" s="1">
        <v>3</v>
      </c>
      <c r="G375" s="1">
        <v>0</v>
      </c>
      <c r="H375" s="1">
        <v>1</v>
      </c>
      <c r="I375" s="1">
        <f t="shared" si="2"/>
        <v>1</v>
      </c>
    </row>
    <row r="376" spans="1:10" x14ac:dyDescent="0.25">
      <c r="C376" s="1">
        <v>16</v>
      </c>
      <c r="D376" s="1">
        <v>2</v>
      </c>
      <c r="E376" s="1">
        <v>30</v>
      </c>
      <c r="F376" s="1">
        <v>4</v>
      </c>
      <c r="G376" s="1">
        <v>1</v>
      </c>
      <c r="H376" s="1">
        <v>34</v>
      </c>
      <c r="I376" s="1">
        <f t="shared" si="2"/>
        <v>33</v>
      </c>
    </row>
    <row r="377" spans="1:10" x14ac:dyDescent="0.25">
      <c r="C377" s="1">
        <v>16</v>
      </c>
      <c r="D377" s="1">
        <v>2</v>
      </c>
      <c r="E377" s="1">
        <v>30</v>
      </c>
      <c r="F377" s="1">
        <v>5</v>
      </c>
      <c r="G377" s="1">
        <v>34</v>
      </c>
      <c r="H377" s="1">
        <v>80</v>
      </c>
      <c r="I377" s="1">
        <f t="shared" si="2"/>
        <v>46</v>
      </c>
    </row>
    <row r="378" spans="1:10" x14ac:dyDescent="0.25">
      <c r="C378" s="1">
        <v>16</v>
      </c>
      <c r="D378" s="1">
        <v>2</v>
      </c>
      <c r="E378" s="1">
        <v>30</v>
      </c>
      <c r="F378" s="1">
        <v>6</v>
      </c>
      <c r="G378" s="1">
        <v>81</v>
      </c>
      <c r="H378" s="1">
        <v>108</v>
      </c>
      <c r="I378" s="1">
        <f t="shared" si="2"/>
        <v>27</v>
      </c>
    </row>
    <row r="379" spans="1:10" x14ac:dyDescent="0.25">
      <c r="C379" s="1">
        <v>16</v>
      </c>
      <c r="D379" s="1">
        <v>2</v>
      </c>
      <c r="E379" s="1">
        <v>30</v>
      </c>
      <c r="F379" s="1">
        <v>7</v>
      </c>
      <c r="G379" s="1">
        <v>116</v>
      </c>
      <c r="H379" s="1">
        <v>160</v>
      </c>
      <c r="I379" s="1">
        <f t="shared" si="2"/>
        <v>44</v>
      </c>
    </row>
    <row r="380" spans="1:10" x14ac:dyDescent="0.25">
      <c r="C380" s="1">
        <v>16</v>
      </c>
      <c r="D380" s="1">
        <v>2</v>
      </c>
      <c r="E380" s="1">
        <v>30</v>
      </c>
      <c r="F380" s="1">
        <v>8</v>
      </c>
      <c r="G380" s="1">
        <v>165</v>
      </c>
      <c r="H380" s="1">
        <v>209</v>
      </c>
      <c r="I380" s="1">
        <f t="shared" si="2"/>
        <v>44</v>
      </c>
    </row>
    <row r="381" spans="1:10" x14ac:dyDescent="0.25">
      <c r="C381" s="1">
        <v>16</v>
      </c>
      <c r="D381" s="1">
        <v>2</v>
      </c>
      <c r="E381" s="1">
        <v>30</v>
      </c>
      <c r="F381" s="1">
        <v>9</v>
      </c>
      <c r="G381" s="1">
        <v>209</v>
      </c>
      <c r="H381" s="1">
        <v>229</v>
      </c>
      <c r="I381" s="1">
        <f t="shared" si="2"/>
        <v>20</v>
      </c>
    </row>
    <row r="382" spans="1:10" x14ac:dyDescent="0.25">
      <c r="C382" s="1">
        <v>16</v>
      </c>
      <c r="D382" s="1">
        <v>2</v>
      </c>
      <c r="E382" s="1">
        <v>30</v>
      </c>
      <c r="F382" s="1">
        <v>10</v>
      </c>
      <c r="G382" s="1">
        <v>229</v>
      </c>
      <c r="H382" s="1">
        <v>229</v>
      </c>
      <c r="I382" s="1">
        <f t="shared" si="2"/>
        <v>0</v>
      </c>
    </row>
    <row r="383" spans="1:10" x14ac:dyDescent="0.25">
      <c r="C383" s="1">
        <v>16</v>
      </c>
      <c r="D383" s="1">
        <v>2</v>
      </c>
      <c r="E383" s="1">
        <v>30</v>
      </c>
      <c r="F383" s="1">
        <v>11</v>
      </c>
      <c r="G383" s="1">
        <v>229</v>
      </c>
      <c r="H383" s="1">
        <v>276</v>
      </c>
      <c r="I383" s="1">
        <f t="shared" si="2"/>
        <v>47</v>
      </c>
    </row>
    <row r="384" spans="1:10" x14ac:dyDescent="0.25">
      <c r="C384" s="1">
        <v>16</v>
      </c>
      <c r="D384" s="1">
        <v>2</v>
      </c>
      <c r="E384" s="1">
        <v>30</v>
      </c>
      <c r="F384" s="1">
        <v>12</v>
      </c>
      <c r="G384" s="1">
        <v>276</v>
      </c>
      <c r="H384" s="1">
        <v>320</v>
      </c>
      <c r="I384" s="1">
        <f t="shared" si="2"/>
        <v>44</v>
      </c>
    </row>
    <row r="385" spans="1:10" x14ac:dyDescent="0.25">
      <c r="A385" s="5">
        <v>1</v>
      </c>
      <c r="B385" s="2">
        <v>43889</v>
      </c>
      <c r="C385" s="1">
        <v>17</v>
      </c>
      <c r="D385" s="1">
        <v>1</v>
      </c>
      <c r="E385" s="1">
        <v>30</v>
      </c>
      <c r="F385" s="1">
        <v>1</v>
      </c>
      <c r="G385" s="1">
        <v>1</v>
      </c>
      <c r="H385" s="1">
        <v>25</v>
      </c>
      <c r="I385" s="1">
        <f t="shared" si="2"/>
        <v>24</v>
      </c>
      <c r="J385" s="8">
        <f>(I385+I386+I387+I404+I403+I402+I394+I393+I395)/9</f>
        <v>22.777777777777779</v>
      </c>
    </row>
    <row r="386" spans="1:10" x14ac:dyDescent="0.25">
      <c r="C386" s="1">
        <v>17</v>
      </c>
      <c r="D386" s="1">
        <v>1</v>
      </c>
      <c r="E386" s="1">
        <v>30</v>
      </c>
      <c r="F386" s="1">
        <v>2</v>
      </c>
      <c r="G386" s="1">
        <v>25</v>
      </c>
      <c r="H386" s="1">
        <v>59</v>
      </c>
      <c r="I386" s="1">
        <f t="shared" si="2"/>
        <v>34</v>
      </c>
    </row>
    <row r="387" spans="1:10" x14ac:dyDescent="0.25">
      <c r="C387" s="1">
        <v>17</v>
      </c>
      <c r="D387" s="1">
        <v>1</v>
      </c>
      <c r="E387" s="1">
        <v>30</v>
      </c>
      <c r="F387" s="1">
        <v>3</v>
      </c>
      <c r="G387" s="1">
        <v>59</v>
      </c>
      <c r="H387" s="1">
        <v>82</v>
      </c>
      <c r="I387" s="1">
        <f t="shared" si="2"/>
        <v>23</v>
      </c>
    </row>
    <row r="388" spans="1:10" x14ac:dyDescent="0.25">
      <c r="C388" s="1">
        <v>17</v>
      </c>
      <c r="D388" s="1">
        <v>1</v>
      </c>
      <c r="E388" s="1">
        <v>30</v>
      </c>
      <c r="F388" s="1">
        <v>4</v>
      </c>
      <c r="G388" s="1">
        <v>82</v>
      </c>
      <c r="H388" s="1">
        <v>105</v>
      </c>
      <c r="I388" s="1">
        <f t="shared" si="2"/>
        <v>23</v>
      </c>
    </row>
    <row r="389" spans="1:10" x14ac:dyDescent="0.25">
      <c r="C389" s="1">
        <v>17</v>
      </c>
      <c r="D389" s="1">
        <v>1</v>
      </c>
      <c r="E389" s="1">
        <v>30</v>
      </c>
      <c r="F389" s="1">
        <v>5</v>
      </c>
      <c r="G389" s="1">
        <v>105</v>
      </c>
      <c r="H389" s="1">
        <v>160</v>
      </c>
      <c r="I389" s="1">
        <f t="shared" si="2"/>
        <v>55</v>
      </c>
    </row>
    <row r="390" spans="1:10" x14ac:dyDescent="0.25">
      <c r="C390" s="1">
        <v>17</v>
      </c>
      <c r="D390" s="1">
        <v>1</v>
      </c>
      <c r="E390" s="1">
        <v>30</v>
      </c>
      <c r="F390" s="1">
        <v>6</v>
      </c>
      <c r="G390" s="1">
        <v>162</v>
      </c>
      <c r="H390" s="1">
        <v>218</v>
      </c>
      <c r="I390" s="1">
        <f t="shared" si="2"/>
        <v>56</v>
      </c>
    </row>
    <row r="391" spans="1:10" x14ac:dyDescent="0.25">
      <c r="C391" s="1">
        <v>17</v>
      </c>
      <c r="D391" s="1">
        <v>1</v>
      </c>
      <c r="E391" s="1">
        <v>30</v>
      </c>
      <c r="F391" s="1">
        <v>7</v>
      </c>
      <c r="G391" s="1">
        <v>218</v>
      </c>
      <c r="H391" s="1">
        <v>259</v>
      </c>
      <c r="I391" s="1">
        <f t="shared" si="2"/>
        <v>41</v>
      </c>
    </row>
    <row r="392" spans="1:10" x14ac:dyDescent="0.25">
      <c r="C392" s="1">
        <v>17</v>
      </c>
      <c r="D392" s="1">
        <v>1</v>
      </c>
      <c r="E392" s="1">
        <v>30</v>
      </c>
      <c r="F392" s="1">
        <v>8</v>
      </c>
      <c r="G392" s="1">
        <v>259</v>
      </c>
      <c r="H392" s="1">
        <v>310</v>
      </c>
      <c r="I392" s="1">
        <f t="shared" si="2"/>
        <v>51</v>
      </c>
    </row>
    <row r="393" spans="1:10" x14ac:dyDescent="0.25">
      <c r="C393" s="1">
        <v>17</v>
      </c>
      <c r="D393" s="1">
        <v>1</v>
      </c>
      <c r="E393" s="1">
        <v>30</v>
      </c>
      <c r="F393" s="1">
        <v>9</v>
      </c>
      <c r="G393" s="1">
        <v>317</v>
      </c>
      <c r="H393" s="1">
        <v>362</v>
      </c>
      <c r="I393" s="1">
        <f t="shared" si="2"/>
        <v>45</v>
      </c>
    </row>
    <row r="394" spans="1:10" x14ac:dyDescent="0.25">
      <c r="C394" s="1">
        <v>17</v>
      </c>
      <c r="D394" s="1">
        <v>1</v>
      </c>
      <c r="E394" s="1">
        <v>30</v>
      </c>
      <c r="F394" s="1">
        <v>10</v>
      </c>
      <c r="G394" s="1">
        <v>364</v>
      </c>
      <c r="H394" s="1">
        <v>412</v>
      </c>
      <c r="I394" s="1">
        <f t="shared" si="2"/>
        <v>48</v>
      </c>
    </row>
    <row r="395" spans="1:10" x14ac:dyDescent="0.25">
      <c r="C395" s="1">
        <v>17</v>
      </c>
      <c r="D395" s="1">
        <v>1</v>
      </c>
      <c r="E395" s="1">
        <v>30</v>
      </c>
      <c r="F395" s="1">
        <v>11</v>
      </c>
      <c r="G395" s="1">
        <v>412</v>
      </c>
      <c r="H395" s="1">
        <v>420</v>
      </c>
      <c r="I395" s="1">
        <f t="shared" si="2"/>
        <v>8</v>
      </c>
    </row>
    <row r="396" spans="1:10" x14ac:dyDescent="0.25">
      <c r="C396" s="1">
        <v>17</v>
      </c>
      <c r="D396" s="1">
        <v>1</v>
      </c>
      <c r="E396" s="1">
        <v>30</v>
      </c>
      <c r="F396" s="1">
        <v>12</v>
      </c>
      <c r="G396" s="1">
        <v>420</v>
      </c>
      <c r="H396" s="1">
        <v>447</v>
      </c>
      <c r="I396" s="1">
        <f t="shared" si="2"/>
        <v>27</v>
      </c>
    </row>
    <row r="397" spans="1:10" x14ac:dyDescent="0.25">
      <c r="C397" s="1">
        <v>17</v>
      </c>
      <c r="D397" s="1">
        <v>1</v>
      </c>
      <c r="E397" s="1">
        <v>30</v>
      </c>
      <c r="F397" s="1">
        <v>13</v>
      </c>
      <c r="G397" s="1">
        <v>456</v>
      </c>
      <c r="H397" s="1">
        <v>459</v>
      </c>
      <c r="I397" s="1">
        <f t="shared" si="2"/>
        <v>3</v>
      </c>
    </row>
    <row r="398" spans="1:10" x14ac:dyDescent="0.25">
      <c r="C398" s="1">
        <v>17</v>
      </c>
      <c r="D398" s="1">
        <v>1</v>
      </c>
      <c r="E398" s="1">
        <v>30</v>
      </c>
      <c r="F398" s="1">
        <v>14</v>
      </c>
      <c r="G398" s="1">
        <v>478</v>
      </c>
      <c r="H398" s="1">
        <v>478</v>
      </c>
      <c r="I398" s="1">
        <f t="shared" si="2"/>
        <v>0</v>
      </c>
    </row>
    <row r="399" spans="1:10" x14ac:dyDescent="0.25">
      <c r="C399" s="1">
        <v>17</v>
      </c>
      <c r="D399" s="1">
        <v>1</v>
      </c>
      <c r="E399" s="1">
        <v>30</v>
      </c>
      <c r="F399" s="1">
        <v>15</v>
      </c>
      <c r="G399" s="1">
        <v>478</v>
      </c>
      <c r="H399" s="1">
        <v>485</v>
      </c>
      <c r="I399" s="1">
        <f t="shared" si="2"/>
        <v>7</v>
      </c>
    </row>
    <row r="400" spans="1:10" x14ac:dyDescent="0.25">
      <c r="C400" s="1">
        <v>17</v>
      </c>
      <c r="D400" s="1">
        <v>1</v>
      </c>
      <c r="E400" s="1">
        <v>30</v>
      </c>
      <c r="F400" s="1">
        <v>16</v>
      </c>
      <c r="G400" s="1">
        <v>485</v>
      </c>
      <c r="H400" s="1">
        <v>485</v>
      </c>
      <c r="I400" s="1">
        <f t="shared" si="2"/>
        <v>0</v>
      </c>
    </row>
    <row r="401" spans="1:10" x14ac:dyDescent="0.25">
      <c r="C401" s="1">
        <v>17</v>
      </c>
      <c r="D401" s="1">
        <v>1</v>
      </c>
      <c r="E401" s="1">
        <v>30</v>
      </c>
      <c r="F401" s="1">
        <v>17</v>
      </c>
      <c r="G401" s="1">
        <v>494</v>
      </c>
      <c r="H401" s="1">
        <v>494</v>
      </c>
      <c r="I401" s="1">
        <f t="shared" si="2"/>
        <v>0</v>
      </c>
    </row>
    <row r="402" spans="1:10" x14ac:dyDescent="0.25">
      <c r="C402" s="1">
        <v>17</v>
      </c>
      <c r="D402" s="1">
        <v>1</v>
      </c>
      <c r="E402" s="1">
        <v>30</v>
      </c>
      <c r="F402" s="1">
        <v>18</v>
      </c>
      <c r="G402" s="1">
        <v>494</v>
      </c>
      <c r="H402" s="1">
        <v>494</v>
      </c>
      <c r="I402" s="1">
        <f t="shared" si="2"/>
        <v>0</v>
      </c>
    </row>
    <row r="403" spans="1:10" x14ac:dyDescent="0.25">
      <c r="C403" s="1">
        <v>17</v>
      </c>
      <c r="D403" s="1">
        <v>1</v>
      </c>
      <c r="E403" s="1">
        <v>30</v>
      </c>
      <c r="F403" s="1">
        <v>19</v>
      </c>
      <c r="G403" s="1">
        <v>494</v>
      </c>
      <c r="H403" s="1">
        <v>494</v>
      </c>
      <c r="I403" s="1">
        <f t="shared" si="2"/>
        <v>0</v>
      </c>
    </row>
    <row r="404" spans="1:10" x14ac:dyDescent="0.25">
      <c r="C404" s="1">
        <v>17</v>
      </c>
      <c r="D404" s="1">
        <v>1</v>
      </c>
      <c r="E404" s="1">
        <v>30</v>
      </c>
      <c r="F404" s="1">
        <v>20</v>
      </c>
      <c r="G404" s="1">
        <v>494</v>
      </c>
      <c r="H404" s="1">
        <v>517</v>
      </c>
      <c r="I404" s="1">
        <f t="shared" si="2"/>
        <v>23</v>
      </c>
    </row>
    <row r="405" spans="1:10" x14ac:dyDescent="0.25">
      <c r="A405" s="5">
        <v>1</v>
      </c>
      <c r="B405" s="2">
        <v>43887</v>
      </c>
      <c r="C405" s="1">
        <v>18</v>
      </c>
      <c r="D405" s="1">
        <v>2</v>
      </c>
      <c r="E405" s="1">
        <v>30</v>
      </c>
      <c r="F405" s="1">
        <v>1</v>
      </c>
      <c r="G405" s="1">
        <v>1</v>
      </c>
      <c r="H405" s="1">
        <v>1</v>
      </c>
      <c r="I405" s="1">
        <f t="shared" si="2"/>
        <v>0</v>
      </c>
      <c r="J405" s="8">
        <f>(I405+I406+I407+I429+I428+I427+I416+I417+I418)/9</f>
        <v>21.333333333333332</v>
      </c>
    </row>
    <row r="406" spans="1:10" x14ac:dyDescent="0.25">
      <c r="C406" s="1">
        <v>18</v>
      </c>
      <c r="D406" s="1">
        <v>2</v>
      </c>
      <c r="E406" s="1">
        <v>30</v>
      </c>
      <c r="F406" s="1">
        <v>2</v>
      </c>
      <c r="G406" s="1">
        <v>1</v>
      </c>
      <c r="H406" s="1">
        <v>1</v>
      </c>
      <c r="I406" s="1">
        <f t="shared" si="2"/>
        <v>0</v>
      </c>
    </row>
    <row r="407" spans="1:10" x14ac:dyDescent="0.25">
      <c r="C407" s="1">
        <v>18</v>
      </c>
      <c r="D407" s="1">
        <v>2</v>
      </c>
      <c r="E407" s="1">
        <v>30</v>
      </c>
      <c r="F407" s="1">
        <v>3</v>
      </c>
      <c r="G407" s="1">
        <v>1</v>
      </c>
      <c r="H407" s="1">
        <v>1</v>
      </c>
      <c r="I407" s="1">
        <f t="shared" si="2"/>
        <v>0</v>
      </c>
    </row>
    <row r="408" spans="1:10" x14ac:dyDescent="0.25">
      <c r="C408" s="1">
        <v>18</v>
      </c>
      <c r="D408" s="1">
        <v>2</v>
      </c>
      <c r="E408" s="1">
        <v>30</v>
      </c>
      <c r="F408" s="1">
        <v>4</v>
      </c>
      <c r="G408" s="1">
        <v>1</v>
      </c>
      <c r="H408" s="1">
        <v>41</v>
      </c>
      <c r="I408" s="1">
        <f t="shared" si="2"/>
        <v>40</v>
      </c>
    </row>
    <row r="409" spans="1:10" x14ac:dyDescent="0.25">
      <c r="C409" s="1">
        <v>18</v>
      </c>
      <c r="D409" s="1">
        <v>2</v>
      </c>
      <c r="E409" s="1">
        <v>30</v>
      </c>
      <c r="F409" s="1">
        <v>5</v>
      </c>
      <c r="G409" s="1">
        <v>43</v>
      </c>
      <c r="H409" s="1">
        <v>79</v>
      </c>
      <c r="I409" s="1">
        <f t="shared" si="2"/>
        <v>36</v>
      </c>
    </row>
    <row r="410" spans="1:10" x14ac:dyDescent="0.25">
      <c r="C410" s="1">
        <v>18</v>
      </c>
      <c r="D410" s="1">
        <v>2</v>
      </c>
      <c r="E410" s="1">
        <v>30</v>
      </c>
      <c r="F410" s="1">
        <v>6</v>
      </c>
      <c r="G410" s="1">
        <v>81</v>
      </c>
      <c r="H410" s="1">
        <v>110</v>
      </c>
      <c r="I410" s="1">
        <f t="shared" si="2"/>
        <v>29</v>
      </c>
    </row>
    <row r="411" spans="1:10" x14ac:dyDescent="0.25">
      <c r="C411" s="1">
        <v>18</v>
      </c>
      <c r="D411" s="1">
        <v>2</v>
      </c>
      <c r="E411" s="1">
        <v>30</v>
      </c>
      <c r="F411" s="1">
        <v>7</v>
      </c>
      <c r="G411" s="1">
        <v>110</v>
      </c>
      <c r="H411" s="1">
        <v>138</v>
      </c>
      <c r="I411" s="1">
        <f t="shared" si="2"/>
        <v>28</v>
      </c>
    </row>
    <row r="412" spans="1:10" x14ac:dyDescent="0.25">
      <c r="C412" s="1">
        <v>18</v>
      </c>
      <c r="D412" s="1">
        <v>2</v>
      </c>
      <c r="E412" s="1">
        <v>30</v>
      </c>
      <c r="F412" s="1">
        <v>8</v>
      </c>
      <c r="G412" s="1">
        <v>138</v>
      </c>
      <c r="H412" s="1">
        <v>179</v>
      </c>
      <c r="I412" s="1">
        <f t="shared" si="2"/>
        <v>41</v>
      </c>
    </row>
    <row r="413" spans="1:10" x14ac:dyDescent="0.25">
      <c r="C413" s="1">
        <v>18</v>
      </c>
      <c r="D413" s="1">
        <v>2</v>
      </c>
      <c r="E413" s="1">
        <v>30</v>
      </c>
      <c r="F413" s="1">
        <v>9</v>
      </c>
      <c r="G413" s="1">
        <v>179</v>
      </c>
      <c r="H413" s="1">
        <v>219</v>
      </c>
      <c r="I413" s="1">
        <f t="shared" si="2"/>
        <v>40</v>
      </c>
    </row>
    <row r="414" spans="1:10" x14ac:dyDescent="0.25">
      <c r="C414" s="1">
        <v>18</v>
      </c>
      <c r="D414" s="1">
        <v>2</v>
      </c>
      <c r="E414" s="1">
        <v>30</v>
      </c>
      <c r="F414" s="1">
        <v>10</v>
      </c>
      <c r="G414" s="1">
        <v>219</v>
      </c>
      <c r="H414" s="1">
        <v>246</v>
      </c>
      <c r="I414" s="1">
        <f t="shared" si="2"/>
        <v>27</v>
      </c>
    </row>
    <row r="415" spans="1:10" x14ac:dyDescent="0.25">
      <c r="C415" s="1">
        <v>18</v>
      </c>
      <c r="D415" s="1">
        <v>2</v>
      </c>
      <c r="E415" s="1">
        <v>30</v>
      </c>
      <c r="F415" s="1">
        <v>11</v>
      </c>
      <c r="G415" s="1">
        <v>248</v>
      </c>
      <c r="H415" s="1">
        <v>283</v>
      </c>
      <c r="I415" s="1">
        <f t="shared" si="2"/>
        <v>35</v>
      </c>
    </row>
    <row r="416" spans="1:10" x14ac:dyDescent="0.25">
      <c r="C416" s="1">
        <v>18</v>
      </c>
      <c r="D416" s="1">
        <v>2</v>
      </c>
      <c r="E416" s="1">
        <v>30</v>
      </c>
      <c r="F416" s="1">
        <v>12</v>
      </c>
      <c r="G416" s="1">
        <v>284</v>
      </c>
      <c r="H416" s="1">
        <v>323</v>
      </c>
      <c r="I416" s="1">
        <f t="shared" si="2"/>
        <v>39</v>
      </c>
    </row>
    <row r="417" spans="1:10" x14ac:dyDescent="0.25">
      <c r="C417" s="1">
        <v>18</v>
      </c>
      <c r="D417" s="1">
        <v>2</v>
      </c>
      <c r="E417" s="1">
        <v>30</v>
      </c>
      <c r="F417" s="1">
        <v>13</v>
      </c>
      <c r="G417" s="1">
        <v>320</v>
      </c>
      <c r="H417" s="1">
        <v>362</v>
      </c>
      <c r="I417" s="1">
        <f t="shared" si="2"/>
        <v>42</v>
      </c>
    </row>
    <row r="418" spans="1:10" x14ac:dyDescent="0.25">
      <c r="C418" s="1">
        <v>18</v>
      </c>
      <c r="D418" s="1">
        <v>2</v>
      </c>
      <c r="E418" s="1">
        <v>30</v>
      </c>
      <c r="F418" s="1">
        <v>14</v>
      </c>
      <c r="G418" s="1">
        <v>364</v>
      </c>
      <c r="H418" s="1">
        <v>404</v>
      </c>
      <c r="I418" s="1">
        <f t="shared" si="2"/>
        <v>40</v>
      </c>
    </row>
    <row r="419" spans="1:10" x14ac:dyDescent="0.25">
      <c r="C419" s="1">
        <v>18</v>
      </c>
      <c r="D419" s="1">
        <v>2</v>
      </c>
      <c r="E419" s="1">
        <v>30</v>
      </c>
      <c r="F419" s="1">
        <v>15</v>
      </c>
      <c r="G419" s="1">
        <v>406</v>
      </c>
      <c r="H419" s="1">
        <v>425</v>
      </c>
      <c r="I419" s="1">
        <f t="shared" si="2"/>
        <v>19</v>
      </c>
    </row>
    <row r="420" spans="1:10" x14ac:dyDescent="0.25">
      <c r="C420" s="1">
        <v>18</v>
      </c>
      <c r="D420" s="1">
        <v>2</v>
      </c>
      <c r="E420" s="1">
        <v>30</v>
      </c>
      <c r="F420" s="1">
        <v>16</v>
      </c>
      <c r="G420" s="1">
        <v>426</v>
      </c>
      <c r="H420" s="1">
        <v>450</v>
      </c>
      <c r="I420" s="1">
        <f t="shared" si="2"/>
        <v>24</v>
      </c>
    </row>
    <row r="421" spans="1:10" x14ac:dyDescent="0.25">
      <c r="C421" s="1">
        <v>18</v>
      </c>
      <c r="D421" s="1">
        <v>2</v>
      </c>
      <c r="E421" s="1">
        <v>30</v>
      </c>
      <c r="F421" s="1">
        <v>17</v>
      </c>
      <c r="G421" s="1">
        <v>453</v>
      </c>
      <c r="H421" s="1">
        <v>453</v>
      </c>
      <c r="I421" s="1">
        <f t="shared" si="2"/>
        <v>0</v>
      </c>
    </row>
    <row r="422" spans="1:10" x14ac:dyDescent="0.25">
      <c r="C422" s="1">
        <v>18</v>
      </c>
      <c r="D422" s="1">
        <v>2</v>
      </c>
      <c r="E422" s="1">
        <v>30</v>
      </c>
      <c r="F422" s="1">
        <v>18</v>
      </c>
      <c r="G422" s="1">
        <v>453</v>
      </c>
      <c r="H422" s="1">
        <v>481</v>
      </c>
      <c r="I422" s="1">
        <f t="shared" si="2"/>
        <v>28</v>
      </c>
    </row>
    <row r="423" spans="1:10" x14ac:dyDescent="0.25">
      <c r="C423" s="1">
        <v>18</v>
      </c>
      <c r="D423" s="1">
        <v>2</v>
      </c>
      <c r="E423" s="1">
        <v>30</v>
      </c>
      <c r="F423" s="1">
        <v>19</v>
      </c>
      <c r="G423" s="1">
        <v>482</v>
      </c>
      <c r="H423" s="1">
        <v>526</v>
      </c>
      <c r="I423" s="1">
        <f t="shared" si="2"/>
        <v>44</v>
      </c>
    </row>
    <row r="424" spans="1:10" x14ac:dyDescent="0.25">
      <c r="C424" s="1">
        <v>18</v>
      </c>
      <c r="D424" s="1">
        <v>2</v>
      </c>
      <c r="E424" s="1">
        <v>30</v>
      </c>
      <c r="F424" s="1">
        <v>20</v>
      </c>
      <c r="G424" s="1">
        <v>526</v>
      </c>
      <c r="H424" s="1">
        <v>542</v>
      </c>
      <c r="I424" s="1">
        <f t="shared" si="2"/>
        <v>16</v>
      </c>
    </row>
    <row r="425" spans="1:10" x14ac:dyDescent="0.25">
      <c r="C425" s="1">
        <v>18</v>
      </c>
      <c r="D425" s="1">
        <v>2</v>
      </c>
      <c r="E425" s="1">
        <v>30</v>
      </c>
      <c r="F425" s="1">
        <v>21</v>
      </c>
      <c r="G425" s="1">
        <v>542</v>
      </c>
      <c r="H425" s="1">
        <v>586</v>
      </c>
      <c r="I425" s="1">
        <f t="shared" si="2"/>
        <v>44</v>
      </c>
    </row>
    <row r="426" spans="1:10" x14ac:dyDescent="0.25">
      <c r="C426" s="1">
        <v>18</v>
      </c>
      <c r="D426" s="1">
        <v>2</v>
      </c>
      <c r="E426" s="1">
        <v>30</v>
      </c>
      <c r="F426" s="1">
        <v>22</v>
      </c>
      <c r="G426" s="1">
        <v>588</v>
      </c>
      <c r="H426" s="1">
        <v>635</v>
      </c>
      <c r="I426" s="1">
        <f t="shared" si="2"/>
        <v>47</v>
      </c>
    </row>
    <row r="427" spans="1:10" x14ac:dyDescent="0.25">
      <c r="C427" s="1">
        <v>18</v>
      </c>
      <c r="D427" s="1">
        <v>2</v>
      </c>
      <c r="E427" s="1">
        <v>30</v>
      </c>
      <c r="F427" s="1">
        <v>23</v>
      </c>
      <c r="G427" s="1">
        <v>635</v>
      </c>
      <c r="H427" s="1">
        <v>670</v>
      </c>
      <c r="I427" s="1">
        <f t="shared" si="2"/>
        <v>35</v>
      </c>
    </row>
    <row r="428" spans="1:10" x14ac:dyDescent="0.25">
      <c r="C428" s="1">
        <v>18</v>
      </c>
      <c r="D428" s="1">
        <v>2</v>
      </c>
      <c r="E428" s="1">
        <v>30</v>
      </c>
      <c r="F428" s="1">
        <v>24</v>
      </c>
      <c r="G428" s="1">
        <v>672</v>
      </c>
      <c r="H428" s="1">
        <v>672</v>
      </c>
      <c r="I428" s="1">
        <f t="shared" si="2"/>
        <v>0</v>
      </c>
    </row>
    <row r="429" spans="1:10" x14ac:dyDescent="0.25">
      <c r="C429" s="1">
        <v>18</v>
      </c>
      <c r="D429" s="1">
        <v>2</v>
      </c>
      <c r="E429" s="1">
        <v>30</v>
      </c>
      <c r="F429" s="1">
        <v>25</v>
      </c>
      <c r="G429" s="1">
        <v>672</v>
      </c>
      <c r="H429" s="1">
        <v>708</v>
      </c>
      <c r="I429" s="1">
        <f t="shared" si="2"/>
        <v>36</v>
      </c>
    </row>
    <row r="430" spans="1:10" x14ac:dyDescent="0.25">
      <c r="A430" s="5">
        <v>1</v>
      </c>
      <c r="B430" s="2">
        <v>43885</v>
      </c>
      <c r="C430" s="1">
        <v>19</v>
      </c>
      <c r="D430" s="1">
        <v>2</v>
      </c>
      <c r="E430" s="1">
        <v>30</v>
      </c>
      <c r="F430" s="1">
        <v>1</v>
      </c>
      <c r="G430" s="1">
        <v>14</v>
      </c>
      <c r="H430" s="1">
        <v>14</v>
      </c>
      <c r="I430" s="1">
        <f t="shared" si="2"/>
        <v>0</v>
      </c>
      <c r="J430" s="8">
        <f>(I430+I431+I432+I454+I453+I452+I442+I443+I441)/9</f>
        <v>35</v>
      </c>
    </row>
    <row r="431" spans="1:10" x14ac:dyDescent="0.25">
      <c r="C431" s="1">
        <v>19</v>
      </c>
      <c r="D431" s="1">
        <v>2</v>
      </c>
      <c r="E431" s="1">
        <v>30</v>
      </c>
      <c r="F431" s="1">
        <v>2</v>
      </c>
      <c r="G431" s="1">
        <v>20</v>
      </c>
      <c r="H431" s="1">
        <v>58</v>
      </c>
      <c r="I431" s="1">
        <f t="shared" si="2"/>
        <v>38</v>
      </c>
    </row>
    <row r="432" spans="1:10" x14ac:dyDescent="0.25">
      <c r="C432" s="1">
        <v>19</v>
      </c>
      <c r="D432" s="1">
        <v>2</v>
      </c>
      <c r="E432" s="1">
        <v>30</v>
      </c>
      <c r="F432" s="1">
        <v>3</v>
      </c>
      <c r="G432" s="1">
        <v>60</v>
      </c>
      <c r="H432" s="1">
        <v>100</v>
      </c>
      <c r="I432" s="1">
        <f t="shared" si="2"/>
        <v>40</v>
      </c>
    </row>
    <row r="433" spans="3:9" x14ac:dyDescent="0.25">
      <c r="C433" s="1">
        <v>19</v>
      </c>
      <c r="D433" s="1">
        <v>2</v>
      </c>
      <c r="E433" s="1">
        <v>30</v>
      </c>
      <c r="F433" s="1">
        <v>4</v>
      </c>
      <c r="G433" s="1">
        <v>100</v>
      </c>
      <c r="H433" s="1">
        <v>137</v>
      </c>
      <c r="I433" s="1">
        <f t="shared" si="2"/>
        <v>37</v>
      </c>
    </row>
    <row r="434" spans="3:9" x14ac:dyDescent="0.25">
      <c r="C434" s="1">
        <v>19</v>
      </c>
      <c r="D434" s="1">
        <v>2</v>
      </c>
      <c r="E434" s="1">
        <v>30</v>
      </c>
      <c r="F434" s="1">
        <v>5</v>
      </c>
      <c r="G434" s="1">
        <v>137</v>
      </c>
      <c r="H434" s="1">
        <v>170</v>
      </c>
      <c r="I434" s="1">
        <f t="shared" si="2"/>
        <v>33</v>
      </c>
    </row>
    <row r="435" spans="3:9" x14ac:dyDescent="0.25">
      <c r="C435" s="1">
        <v>19</v>
      </c>
      <c r="D435" s="1">
        <v>2</v>
      </c>
      <c r="E435" s="1">
        <v>30</v>
      </c>
      <c r="F435" s="1">
        <v>6</v>
      </c>
      <c r="G435" s="1">
        <v>170</v>
      </c>
      <c r="H435" s="1">
        <v>217</v>
      </c>
      <c r="I435" s="1">
        <f t="shared" si="2"/>
        <v>47</v>
      </c>
    </row>
    <row r="436" spans="3:9" x14ac:dyDescent="0.25">
      <c r="C436" s="1">
        <v>19</v>
      </c>
      <c r="D436" s="1">
        <v>2</v>
      </c>
      <c r="E436" s="1">
        <v>30</v>
      </c>
      <c r="F436" s="1">
        <v>7</v>
      </c>
      <c r="G436" s="1">
        <v>217</v>
      </c>
      <c r="H436" s="1">
        <v>266</v>
      </c>
      <c r="I436" s="1">
        <f t="shared" si="2"/>
        <v>49</v>
      </c>
    </row>
    <row r="437" spans="3:9" x14ac:dyDescent="0.25">
      <c r="C437" s="1">
        <v>19</v>
      </c>
      <c r="D437" s="1">
        <v>2</v>
      </c>
      <c r="E437" s="1">
        <v>30</v>
      </c>
      <c r="F437" s="1">
        <v>8</v>
      </c>
      <c r="G437" s="1">
        <v>266</v>
      </c>
      <c r="H437" s="1">
        <v>300</v>
      </c>
      <c r="I437" s="1">
        <f t="shared" si="2"/>
        <v>34</v>
      </c>
    </row>
    <row r="438" spans="3:9" x14ac:dyDescent="0.25">
      <c r="C438" s="1">
        <v>19</v>
      </c>
      <c r="D438" s="1">
        <v>2</v>
      </c>
      <c r="E438" s="1">
        <v>30</v>
      </c>
      <c r="F438" s="1">
        <v>9</v>
      </c>
      <c r="G438" s="1">
        <v>302</v>
      </c>
      <c r="H438" s="1">
        <v>341</v>
      </c>
      <c r="I438" s="1">
        <f t="shared" si="2"/>
        <v>39</v>
      </c>
    </row>
    <row r="439" spans="3:9" x14ac:dyDescent="0.25">
      <c r="C439" s="1">
        <v>19</v>
      </c>
      <c r="D439" s="1">
        <v>2</v>
      </c>
      <c r="E439" s="1">
        <v>30</v>
      </c>
      <c r="F439" s="1">
        <v>10</v>
      </c>
      <c r="G439" s="1">
        <v>342</v>
      </c>
      <c r="H439" s="1">
        <v>388</v>
      </c>
      <c r="I439" s="1">
        <f t="shared" si="2"/>
        <v>46</v>
      </c>
    </row>
    <row r="440" spans="3:9" x14ac:dyDescent="0.25">
      <c r="C440" s="1">
        <v>19</v>
      </c>
      <c r="D440" s="1">
        <v>2</v>
      </c>
      <c r="E440" s="1">
        <v>30</v>
      </c>
      <c r="F440" s="1">
        <v>11</v>
      </c>
      <c r="G440" s="1">
        <v>388</v>
      </c>
      <c r="H440" s="1">
        <v>427</v>
      </c>
      <c r="I440" s="1">
        <f t="shared" si="2"/>
        <v>39</v>
      </c>
    </row>
    <row r="441" spans="3:9" x14ac:dyDescent="0.25">
      <c r="C441" s="1">
        <v>19</v>
      </c>
      <c r="D441" s="1">
        <v>2</v>
      </c>
      <c r="E441" s="1">
        <v>30</v>
      </c>
      <c r="F441" s="1">
        <v>12</v>
      </c>
      <c r="G441" s="1">
        <v>427</v>
      </c>
      <c r="H441" s="1">
        <v>474</v>
      </c>
      <c r="I441" s="1">
        <f t="shared" si="2"/>
        <v>47</v>
      </c>
    </row>
    <row r="442" spans="3:9" x14ac:dyDescent="0.25">
      <c r="C442" s="1">
        <v>19</v>
      </c>
      <c r="D442" s="1">
        <v>2</v>
      </c>
      <c r="E442" s="1">
        <v>30</v>
      </c>
      <c r="F442" s="1">
        <v>13</v>
      </c>
      <c r="G442" s="1">
        <v>474</v>
      </c>
      <c r="H442" s="1">
        <v>516</v>
      </c>
      <c r="I442" s="1">
        <f t="shared" si="2"/>
        <v>42</v>
      </c>
    </row>
    <row r="443" spans="3:9" x14ac:dyDescent="0.25">
      <c r="C443" s="1">
        <v>19</v>
      </c>
      <c r="D443" s="1">
        <v>2</v>
      </c>
      <c r="E443" s="1">
        <v>30</v>
      </c>
      <c r="F443" s="1">
        <v>14</v>
      </c>
      <c r="G443" s="1">
        <v>516</v>
      </c>
      <c r="H443" s="1">
        <v>561</v>
      </c>
      <c r="I443" s="1">
        <f t="shared" si="2"/>
        <v>45</v>
      </c>
    </row>
    <row r="444" spans="3:9" x14ac:dyDescent="0.25">
      <c r="C444" s="1">
        <v>19</v>
      </c>
      <c r="D444" s="1">
        <v>2</v>
      </c>
      <c r="E444" s="1">
        <v>30</v>
      </c>
      <c r="F444" s="1">
        <v>15</v>
      </c>
      <c r="G444" s="1">
        <v>561</v>
      </c>
      <c r="H444" s="1">
        <v>600</v>
      </c>
      <c r="I444" s="1">
        <f t="shared" si="2"/>
        <v>39</v>
      </c>
    </row>
    <row r="445" spans="3:9" x14ac:dyDescent="0.25">
      <c r="C445" s="1">
        <v>19</v>
      </c>
      <c r="D445" s="1">
        <v>2</v>
      </c>
      <c r="E445" s="1">
        <v>30</v>
      </c>
      <c r="F445" s="1">
        <v>16</v>
      </c>
      <c r="G445" s="1">
        <v>600</v>
      </c>
      <c r="H445" s="1">
        <v>649</v>
      </c>
      <c r="I445" s="1">
        <f t="shared" si="2"/>
        <v>49</v>
      </c>
    </row>
    <row r="446" spans="3:9" x14ac:dyDescent="0.25">
      <c r="C446" s="1">
        <v>19</v>
      </c>
      <c r="D446" s="1">
        <v>2</v>
      </c>
      <c r="E446" s="1">
        <v>30</v>
      </c>
      <c r="F446" s="1">
        <v>17</v>
      </c>
      <c r="G446" s="1">
        <v>649</v>
      </c>
      <c r="H446" s="1">
        <v>692</v>
      </c>
      <c r="I446" s="1">
        <f t="shared" si="2"/>
        <v>43</v>
      </c>
    </row>
    <row r="447" spans="3:9" x14ac:dyDescent="0.25">
      <c r="C447" s="1">
        <v>19</v>
      </c>
      <c r="D447" s="1">
        <v>2</v>
      </c>
      <c r="E447" s="1">
        <v>30</v>
      </c>
      <c r="F447" s="1">
        <v>18</v>
      </c>
      <c r="G447" s="1">
        <v>692</v>
      </c>
      <c r="H447" s="1">
        <v>737</v>
      </c>
      <c r="I447" s="1">
        <f t="shared" si="2"/>
        <v>45</v>
      </c>
    </row>
    <row r="448" spans="3:9" x14ac:dyDescent="0.25">
      <c r="C448" s="1">
        <v>19</v>
      </c>
      <c r="D448" s="1">
        <v>2</v>
      </c>
      <c r="E448" s="1">
        <v>30</v>
      </c>
      <c r="F448" s="1">
        <v>19</v>
      </c>
      <c r="G448" s="1">
        <v>737</v>
      </c>
      <c r="H448" s="1">
        <v>779</v>
      </c>
      <c r="I448" s="1">
        <f t="shared" si="2"/>
        <v>42</v>
      </c>
    </row>
    <row r="449" spans="1:10" x14ac:dyDescent="0.25">
      <c r="C449" s="1">
        <v>19</v>
      </c>
      <c r="D449" s="1">
        <v>2</v>
      </c>
      <c r="E449" s="1">
        <v>30</v>
      </c>
      <c r="F449" s="1">
        <v>20</v>
      </c>
      <c r="G449" s="1">
        <v>779</v>
      </c>
      <c r="H449" s="1">
        <v>820</v>
      </c>
      <c r="I449" s="1">
        <f t="shared" si="2"/>
        <v>41</v>
      </c>
    </row>
    <row r="450" spans="1:10" x14ac:dyDescent="0.25">
      <c r="C450" s="1">
        <v>19</v>
      </c>
      <c r="D450" s="1">
        <v>2</v>
      </c>
      <c r="E450" s="1">
        <v>30</v>
      </c>
      <c r="F450" s="1">
        <v>21</v>
      </c>
      <c r="G450" s="1">
        <v>823</v>
      </c>
      <c r="H450" s="1">
        <v>869</v>
      </c>
      <c r="I450" s="1">
        <f t="shared" si="2"/>
        <v>46</v>
      </c>
    </row>
    <row r="451" spans="1:10" x14ac:dyDescent="0.25">
      <c r="C451" s="1">
        <v>19</v>
      </c>
      <c r="D451" s="1">
        <v>2</v>
      </c>
      <c r="E451" s="1">
        <v>30</v>
      </c>
      <c r="F451" s="1">
        <v>22</v>
      </c>
      <c r="G451" s="1">
        <v>896</v>
      </c>
      <c r="H451" s="1">
        <v>912</v>
      </c>
      <c r="I451" s="1">
        <f t="shared" si="2"/>
        <v>16</v>
      </c>
    </row>
    <row r="452" spans="1:10" x14ac:dyDescent="0.25">
      <c r="C452" s="1">
        <v>19</v>
      </c>
      <c r="D452" s="1">
        <v>2</v>
      </c>
      <c r="E452" s="1">
        <v>30</v>
      </c>
      <c r="F452" s="1">
        <v>23</v>
      </c>
      <c r="G452" s="1">
        <v>913</v>
      </c>
      <c r="H452" s="1">
        <v>955</v>
      </c>
      <c r="I452" s="1">
        <f t="shared" si="2"/>
        <v>42</v>
      </c>
    </row>
    <row r="453" spans="1:10" x14ac:dyDescent="0.25">
      <c r="C453" s="1">
        <v>19</v>
      </c>
      <c r="D453" s="1">
        <v>2</v>
      </c>
      <c r="E453" s="1">
        <v>30</v>
      </c>
      <c r="F453" s="1">
        <v>24</v>
      </c>
      <c r="G453" s="1">
        <v>955</v>
      </c>
      <c r="H453" s="1">
        <v>996</v>
      </c>
      <c r="I453" s="1">
        <f t="shared" si="2"/>
        <v>41</v>
      </c>
    </row>
    <row r="454" spans="1:10" x14ac:dyDescent="0.25">
      <c r="C454" s="1">
        <v>19</v>
      </c>
      <c r="D454" s="1">
        <v>2</v>
      </c>
      <c r="E454" s="1">
        <v>30</v>
      </c>
      <c r="F454" s="1">
        <v>25</v>
      </c>
      <c r="G454" s="1">
        <v>996</v>
      </c>
      <c r="H454" s="1">
        <v>1016</v>
      </c>
      <c r="I454" s="1">
        <f t="shared" si="2"/>
        <v>20</v>
      </c>
    </row>
    <row r="455" spans="1:10" x14ac:dyDescent="0.25">
      <c r="A455" s="5">
        <v>1</v>
      </c>
      <c r="B455" s="2">
        <v>43889</v>
      </c>
      <c r="C455" s="1">
        <v>20</v>
      </c>
      <c r="D455" s="1">
        <v>2</v>
      </c>
      <c r="E455" s="1">
        <v>30</v>
      </c>
      <c r="F455" s="1">
        <v>1</v>
      </c>
      <c r="G455" s="1">
        <v>0</v>
      </c>
      <c r="H455" s="1">
        <v>16</v>
      </c>
      <c r="I455" s="1">
        <f t="shared" si="2"/>
        <v>16</v>
      </c>
      <c r="J455" s="8">
        <f>(I455+I456+I457+I479+I478+I477+I467+I466+I468)/9</f>
        <v>39.888888888888886</v>
      </c>
    </row>
    <row r="456" spans="1:10" x14ac:dyDescent="0.25">
      <c r="C456" s="1">
        <v>20</v>
      </c>
      <c r="D456" s="1">
        <v>2</v>
      </c>
      <c r="E456" s="1">
        <v>30</v>
      </c>
      <c r="F456" s="1">
        <v>2</v>
      </c>
      <c r="G456" s="1">
        <v>16</v>
      </c>
      <c r="H456" s="1">
        <v>24</v>
      </c>
      <c r="I456" s="1">
        <f t="shared" si="2"/>
        <v>8</v>
      </c>
    </row>
    <row r="457" spans="1:10" x14ac:dyDescent="0.25">
      <c r="C457" s="1">
        <v>20</v>
      </c>
      <c r="D457" s="1">
        <v>2</v>
      </c>
      <c r="E457" s="1">
        <v>30</v>
      </c>
      <c r="F457" s="1">
        <v>3</v>
      </c>
      <c r="G457" s="1">
        <v>24</v>
      </c>
      <c r="H457" s="1">
        <v>66</v>
      </c>
      <c r="I457" s="1">
        <f t="shared" si="2"/>
        <v>42</v>
      </c>
    </row>
    <row r="458" spans="1:10" x14ac:dyDescent="0.25">
      <c r="C458" s="1">
        <v>20</v>
      </c>
      <c r="D458" s="1">
        <v>2</v>
      </c>
      <c r="E458" s="1">
        <v>30</v>
      </c>
      <c r="F458" s="1">
        <v>4</v>
      </c>
      <c r="G458" s="1">
        <v>67</v>
      </c>
      <c r="H458" s="1">
        <v>100</v>
      </c>
      <c r="I458" s="1">
        <f t="shared" si="2"/>
        <v>33</v>
      </c>
    </row>
    <row r="459" spans="1:10" x14ac:dyDescent="0.25">
      <c r="C459" s="1">
        <v>20</v>
      </c>
      <c r="D459" s="1">
        <v>2</v>
      </c>
      <c r="E459" s="1">
        <v>30</v>
      </c>
      <c r="F459" s="1">
        <v>5</v>
      </c>
      <c r="G459" s="1">
        <v>100</v>
      </c>
      <c r="H459" s="1">
        <v>139</v>
      </c>
      <c r="I459" s="1">
        <f t="shared" si="2"/>
        <v>39</v>
      </c>
    </row>
    <row r="460" spans="1:10" x14ac:dyDescent="0.25">
      <c r="C460" s="1">
        <v>20</v>
      </c>
      <c r="D460" s="1">
        <v>2</v>
      </c>
      <c r="E460" s="1">
        <v>30</v>
      </c>
      <c r="F460" s="1">
        <v>6</v>
      </c>
      <c r="G460" s="1">
        <v>139</v>
      </c>
      <c r="H460" s="1">
        <v>194</v>
      </c>
      <c r="I460" s="1">
        <f t="shared" si="2"/>
        <v>55</v>
      </c>
    </row>
    <row r="461" spans="1:10" x14ac:dyDescent="0.25">
      <c r="C461" s="1">
        <v>20</v>
      </c>
      <c r="D461" s="1">
        <v>2</v>
      </c>
      <c r="E461" s="1">
        <v>30</v>
      </c>
      <c r="F461" s="1">
        <v>7</v>
      </c>
      <c r="G461" s="1">
        <v>194</v>
      </c>
      <c r="H461" s="1">
        <v>221</v>
      </c>
      <c r="I461" s="1">
        <f t="shared" si="2"/>
        <v>27</v>
      </c>
    </row>
    <row r="462" spans="1:10" x14ac:dyDescent="0.25">
      <c r="C462" s="1">
        <v>20</v>
      </c>
      <c r="D462" s="1">
        <v>2</v>
      </c>
      <c r="E462" s="1">
        <v>30</v>
      </c>
      <c r="F462" s="1">
        <v>8</v>
      </c>
      <c r="G462" s="1">
        <v>221</v>
      </c>
      <c r="H462" s="1">
        <v>259</v>
      </c>
      <c r="I462" s="1">
        <f t="shared" si="2"/>
        <v>38</v>
      </c>
    </row>
    <row r="463" spans="1:10" x14ac:dyDescent="0.25">
      <c r="C463" s="1">
        <v>20</v>
      </c>
      <c r="D463" s="1">
        <v>2</v>
      </c>
      <c r="E463" s="1">
        <v>30</v>
      </c>
      <c r="F463" s="1">
        <v>9</v>
      </c>
      <c r="G463" s="1">
        <v>260</v>
      </c>
    </row>
    <row r="464" spans="1:10" x14ac:dyDescent="0.25">
      <c r="C464" s="1">
        <v>20</v>
      </c>
      <c r="D464" s="1">
        <v>2</v>
      </c>
      <c r="E464" s="1">
        <v>30</v>
      </c>
      <c r="F464" s="1">
        <v>10</v>
      </c>
      <c r="H464" s="1">
        <v>339</v>
      </c>
    </row>
    <row r="465" spans="1:10" x14ac:dyDescent="0.25">
      <c r="C465" s="1">
        <v>20</v>
      </c>
      <c r="D465" s="1">
        <v>2</v>
      </c>
      <c r="E465" s="1">
        <v>30</v>
      </c>
      <c r="F465" s="1">
        <v>11</v>
      </c>
      <c r="G465" s="1">
        <v>341</v>
      </c>
      <c r="H465" s="1">
        <v>396</v>
      </c>
      <c r="I465" s="1">
        <f t="shared" ref="I465:I719" si="3">H465-G465</f>
        <v>55</v>
      </c>
    </row>
    <row r="466" spans="1:10" x14ac:dyDescent="0.25">
      <c r="C466" s="1">
        <v>20</v>
      </c>
      <c r="D466" s="1">
        <v>2</v>
      </c>
      <c r="E466" s="1">
        <v>30</v>
      </c>
      <c r="F466" s="1">
        <v>12</v>
      </c>
      <c r="G466" s="1">
        <v>396</v>
      </c>
      <c r="H466" s="1">
        <v>443</v>
      </c>
      <c r="I466" s="1">
        <f t="shared" si="3"/>
        <v>47</v>
      </c>
    </row>
    <row r="467" spans="1:10" x14ac:dyDescent="0.25">
      <c r="C467" s="1">
        <v>20</v>
      </c>
      <c r="D467" s="1">
        <v>2</v>
      </c>
      <c r="E467" s="1">
        <v>30</v>
      </c>
      <c r="F467" s="1">
        <v>13</v>
      </c>
      <c r="G467" s="1">
        <v>443</v>
      </c>
      <c r="H467" s="1">
        <v>494</v>
      </c>
      <c r="I467" s="1">
        <f t="shared" si="3"/>
        <v>51</v>
      </c>
    </row>
    <row r="468" spans="1:10" x14ac:dyDescent="0.25">
      <c r="C468" s="1">
        <v>20</v>
      </c>
      <c r="D468" s="1">
        <v>2</v>
      </c>
      <c r="E468" s="1">
        <v>30</v>
      </c>
      <c r="F468" s="1">
        <v>14</v>
      </c>
      <c r="G468" s="1">
        <v>494</v>
      </c>
      <c r="H468" s="1">
        <v>542</v>
      </c>
      <c r="I468" s="1">
        <f t="shared" si="3"/>
        <v>48</v>
      </c>
    </row>
    <row r="469" spans="1:10" x14ac:dyDescent="0.25">
      <c r="C469" s="1">
        <v>20</v>
      </c>
      <c r="D469" s="1">
        <v>2</v>
      </c>
      <c r="E469" s="1">
        <v>30</v>
      </c>
      <c r="F469" s="1">
        <v>15</v>
      </c>
      <c r="G469" s="1">
        <v>542</v>
      </c>
      <c r="H469" s="1">
        <v>589</v>
      </c>
      <c r="I469" s="1">
        <f t="shared" si="3"/>
        <v>47</v>
      </c>
    </row>
    <row r="470" spans="1:10" x14ac:dyDescent="0.25">
      <c r="C470" s="1">
        <v>20</v>
      </c>
      <c r="D470" s="1">
        <v>2</v>
      </c>
      <c r="E470" s="1">
        <v>30</v>
      </c>
      <c r="F470" s="1">
        <v>16</v>
      </c>
      <c r="G470" s="1">
        <v>589</v>
      </c>
      <c r="H470" s="1">
        <v>638</v>
      </c>
      <c r="I470" s="1">
        <f t="shared" si="3"/>
        <v>49</v>
      </c>
    </row>
    <row r="471" spans="1:10" x14ac:dyDescent="0.25">
      <c r="C471" s="1">
        <v>20</v>
      </c>
      <c r="D471" s="1">
        <v>2</v>
      </c>
      <c r="E471" s="1">
        <v>30</v>
      </c>
      <c r="F471" s="1">
        <v>17</v>
      </c>
      <c r="G471" s="1">
        <v>638</v>
      </c>
      <c r="H471" s="1">
        <v>697</v>
      </c>
      <c r="I471" s="1">
        <f t="shared" si="3"/>
        <v>59</v>
      </c>
    </row>
    <row r="472" spans="1:10" x14ac:dyDescent="0.25">
      <c r="C472" s="1">
        <v>20</v>
      </c>
      <c r="D472" s="1">
        <v>2</v>
      </c>
      <c r="E472" s="1">
        <v>30</v>
      </c>
      <c r="F472" s="1">
        <v>18</v>
      </c>
      <c r="G472" s="1">
        <v>698</v>
      </c>
      <c r="H472" s="1">
        <v>753</v>
      </c>
      <c r="I472" s="1">
        <f t="shared" si="3"/>
        <v>55</v>
      </c>
    </row>
    <row r="473" spans="1:10" x14ac:dyDescent="0.25">
      <c r="C473" s="1">
        <v>20</v>
      </c>
      <c r="D473" s="1">
        <v>2</v>
      </c>
      <c r="E473" s="1">
        <v>30</v>
      </c>
      <c r="F473" s="1">
        <v>19</v>
      </c>
      <c r="G473" s="1">
        <v>753</v>
      </c>
      <c r="H473" s="1">
        <v>803</v>
      </c>
      <c r="I473" s="1">
        <f t="shared" si="3"/>
        <v>50</v>
      </c>
    </row>
    <row r="474" spans="1:10" x14ac:dyDescent="0.25">
      <c r="C474" s="1">
        <v>20</v>
      </c>
      <c r="D474" s="1">
        <v>2</v>
      </c>
      <c r="E474" s="1">
        <v>30</v>
      </c>
      <c r="F474" s="1">
        <v>20</v>
      </c>
      <c r="G474" s="1">
        <v>803</v>
      </c>
      <c r="H474" s="1">
        <v>856</v>
      </c>
      <c r="I474" s="1">
        <f t="shared" si="3"/>
        <v>53</v>
      </c>
    </row>
    <row r="475" spans="1:10" x14ac:dyDescent="0.25">
      <c r="C475" s="1">
        <v>20</v>
      </c>
      <c r="D475" s="1">
        <v>2</v>
      </c>
      <c r="E475" s="1">
        <v>30</v>
      </c>
      <c r="F475" s="1">
        <v>21</v>
      </c>
      <c r="G475" s="1">
        <v>856</v>
      </c>
      <c r="H475" s="1">
        <v>911</v>
      </c>
      <c r="I475" s="1">
        <f t="shared" si="3"/>
        <v>55</v>
      </c>
    </row>
    <row r="476" spans="1:10" x14ac:dyDescent="0.25">
      <c r="C476" s="1">
        <v>20</v>
      </c>
      <c r="D476" s="1">
        <v>2</v>
      </c>
      <c r="E476" s="1">
        <v>30</v>
      </c>
      <c r="F476" s="1">
        <v>22</v>
      </c>
      <c r="G476" s="1">
        <v>911</v>
      </c>
      <c r="H476" s="1">
        <v>972</v>
      </c>
      <c r="I476" s="1">
        <f t="shared" si="3"/>
        <v>61</v>
      </c>
    </row>
    <row r="477" spans="1:10" x14ac:dyDescent="0.25">
      <c r="C477" s="1">
        <v>20</v>
      </c>
      <c r="D477" s="1">
        <v>2</v>
      </c>
      <c r="E477" s="1">
        <v>30</v>
      </c>
      <c r="F477" s="1">
        <v>23</v>
      </c>
      <c r="G477" s="1">
        <v>972</v>
      </c>
      <c r="H477" s="1">
        <v>1025</v>
      </c>
      <c r="I477" s="1">
        <f t="shared" si="3"/>
        <v>53</v>
      </c>
    </row>
    <row r="478" spans="1:10" x14ac:dyDescent="0.25">
      <c r="C478" s="1">
        <v>20</v>
      </c>
      <c r="D478" s="1">
        <v>2</v>
      </c>
      <c r="E478" s="1">
        <v>30</v>
      </c>
      <c r="F478" s="1">
        <v>24</v>
      </c>
      <c r="G478" s="1">
        <v>1025</v>
      </c>
      <c r="H478" s="1">
        <v>1063</v>
      </c>
      <c r="I478" s="1">
        <f t="shared" si="3"/>
        <v>38</v>
      </c>
    </row>
    <row r="479" spans="1:10" x14ac:dyDescent="0.25">
      <c r="C479" s="1">
        <v>20</v>
      </c>
      <c r="D479" s="1">
        <v>2</v>
      </c>
      <c r="E479" s="1">
        <v>30</v>
      </c>
      <c r="F479" s="1">
        <v>25</v>
      </c>
      <c r="G479" s="1">
        <v>1063</v>
      </c>
      <c r="H479" s="1">
        <v>1119</v>
      </c>
      <c r="I479" s="1">
        <f t="shared" si="3"/>
        <v>56</v>
      </c>
    </row>
    <row r="480" spans="1:10" x14ac:dyDescent="0.25">
      <c r="A480" s="5">
        <v>2</v>
      </c>
      <c r="B480" s="2">
        <v>43896</v>
      </c>
      <c r="C480" s="1">
        <v>13</v>
      </c>
      <c r="D480" s="1">
        <v>1</v>
      </c>
      <c r="E480" s="1">
        <v>30</v>
      </c>
      <c r="F480" s="1">
        <v>1</v>
      </c>
      <c r="G480" s="1">
        <v>8</v>
      </c>
      <c r="H480" s="1">
        <v>42</v>
      </c>
      <c r="I480" s="1">
        <f t="shared" si="3"/>
        <v>34</v>
      </c>
      <c r="J480" s="8">
        <f>(I480+I481+I482+I504+I503+I502+I491+I492+I492+I493)/9</f>
        <v>49</v>
      </c>
    </row>
    <row r="481" spans="3:9" x14ac:dyDescent="0.25">
      <c r="C481" s="1">
        <v>13</v>
      </c>
      <c r="D481" s="1">
        <v>1</v>
      </c>
      <c r="E481" s="1">
        <v>30</v>
      </c>
      <c r="F481" s="1">
        <v>2</v>
      </c>
      <c r="G481" s="1">
        <v>42</v>
      </c>
      <c r="H481" s="1">
        <v>74</v>
      </c>
      <c r="I481" s="1">
        <f t="shared" si="3"/>
        <v>32</v>
      </c>
    </row>
    <row r="482" spans="3:9" x14ac:dyDescent="0.25">
      <c r="C482" s="1">
        <v>13</v>
      </c>
      <c r="D482" s="1">
        <v>1</v>
      </c>
      <c r="E482" s="1">
        <v>30</v>
      </c>
      <c r="F482" s="1">
        <v>3</v>
      </c>
      <c r="G482" s="1">
        <v>74</v>
      </c>
      <c r="H482" s="1">
        <v>110</v>
      </c>
      <c r="I482" s="1">
        <f t="shared" si="3"/>
        <v>36</v>
      </c>
    </row>
    <row r="483" spans="3:9" x14ac:dyDescent="0.25">
      <c r="C483" s="1">
        <v>13</v>
      </c>
      <c r="D483" s="1">
        <v>1</v>
      </c>
      <c r="E483" s="1">
        <v>30</v>
      </c>
      <c r="F483" s="1">
        <v>4</v>
      </c>
      <c r="G483" s="1">
        <v>110</v>
      </c>
      <c r="H483" s="1">
        <v>158</v>
      </c>
      <c r="I483" s="1">
        <f t="shared" si="3"/>
        <v>48</v>
      </c>
    </row>
    <row r="484" spans="3:9" x14ac:dyDescent="0.25">
      <c r="C484" s="1">
        <v>13</v>
      </c>
      <c r="D484" s="1">
        <v>1</v>
      </c>
      <c r="E484" s="1">
        <v>30</v>
      </c>
      <c r="F484" s="1">
        <v>5</v>
      </c>
      <c r="G484" s="1">
        <v>158</v>
      </c>
      <c r="H484" s="1">
        <v>215</v>
      </c>
      <c r="I484" s="1">
        <f t="shared" si="3"/>
        <v>57</v>
      </c>
    </row>
    <row r="485" spans="3:9" x14ac:dyDescent="0.25">
      <c r="C485" s="1">
        <v>13</v>
      </c>
      <c r="D485" s="1">
        <v>1</v>
      </c>
      <c r="E485" s="1">
        <v>30</v>
      </c>
      <c r="F485" s="1">
        <v>6</v>
      </c>
      <c r="G485" s="1">
        <v>215</v>
      </c>
      <c r="H485" s="1">
        <v>278</v>
      </c>
      <c r="I485" s="1">
        <f t="shared" si="3"/>
        <v>63</v>
      </c>
    </row>
    <row r="486" spans="3:9" x14ac:dyDescent="0.25">
      <c r="C486" s="1">
        <v>13</v>
      </c>
      <c r="D486" s="1">
        <v>1</v>
      </c>
      <c r="E486" s="1">
        <v>30</v>
      </c>
      <c r="F486" s="1">
        <v>7</v>
      </c>
      <c r="G486" s="1">
        <v>280</v>
      </c>
      <c r="H486" s="1">
        <v>331</v>
      </c>
      <c r="I486" s="1">
        <f t="shared" si="3"/>
        <v>51</v>
      </c>
    </row>
    <row r="487" spans="3:9" x14ac:dyDescent="0.25">
      <c r="C487" s="1">
        <v>13</v>
      </c>
      <c r="D487" s="1">
        <v>1</v>
      </c>
      <c r="E487" s="1">
        <v>30</v>
      </c>
      <c r="F487" s="1">
        <v>8</v>
      </c>
      <c r="G487" s="1">
        <v>331</v>
      </c>
      <c r="H487" s="1">
        <v>399</v>
      </c>
      <c r="I487" s="1">
        <f t="shared" si="3"/>
        <v>68</v>
      </c>
    </row>
    <row r="488" spans="3:9" x14ac:dyDescent="0.25">
      <c r="C488" s="1">
        <v>13</v>
      </c>
      <c r="D488" s="1">
        <v>1</v>
      </c>
      <c r="E488" s="1">
        <v>30</v>
      </c>
      <c r="F488" s="1">
        <v>9</v>
      </c>
      <c r="G488" s="1">
        <v>399</v>
      </c>
      <c r="H488" s="1">
        <v>453</v>
      </c>
      <c r="I488" s="1">
        <f t="shared" si="3"/>
        <v>54</v>
      </c>
    </row>
    <row r="489" spans="3:9" x14ac:dyDescent="0.25">
      <c r="C489" s="1">
        <v>13</v>
      </c>
      <c r="D489" s="1">
        <v>1</v>
      </c>
      <c r="E489" s="1">
        <v>30</v>
      </c>
      <c r="F489" s="1">
        <v>10</v>
      </c>
      <c r="G489" s="1">
        <v>453</v>
      </c>
      <c r="H489" s="1">
        <v>501</v>
      </c>
      <c r="I489" s="1">
        <f t="shared" si="3"/>
        <v>48</v>
      </c>
    </row>
    <row r="490" spans="3:9" x14ac:dyDescent="0.25">
      <c r="C490" s="1">
        <v>13</v>
      </c>
      <c r="D490" s="1">
        <v>1</v>
      </c>
      <c r="E490" s="1">
        <v>30</v>
      </c>
      <c r="F490" s="1">
        <v>11</v>
      </c>
      <c r="G490" s="1">
        <v>501</v>
      </c>
      <c r="H490" s="1">
        <v>559</v>
      </c>
      <c r="I490" s="1">
        <f t="shared" si="3"/>
        <v>58</v>
      </c>
    </row>
    <row r="491" spans="3:9" x14ac:dyDescent="0.25">
      <c r="C491" s="1">
        <v>13</v>
      </c>
      <c r="D491" s="1">
        <v>1</v>
      </c>
      <c r="E491" s="1">
        <v>30</v>
      </c>
      <c r="F491" s="1">
        <v>12</v>
      </c>
      <c r="G491" s="1">
        <v>559</v>
      </c>
      <c r="H491" s="1">
        <v>606</v>
      </c>
      <c r="I491" s="1">
        <f t="shared" si="3"/>
        <v>47</v>
      </c>
    </row>
    <row r="492" spans="3:9" x14ac:dyDescent="0.25">
      <c r="C492" s="1">
        <v>13</v>
      </c>
      <c r="D492" s="1">
        <v>1</v>
      </c>
      <c r="E492" s="1">
        <v>30</v>
      </c>
      <c r="F492" s="1">
        <v>13</v>
      </c>
      <c r="G492" s="1">
        <v>606</v>
      </c>
      <c r="H492" s="1">
        <v>659</v>
      </c>
      <c r="I492" s="1">
        <f t="shared" si="3"/>
        <v>53</v>
      </c>
    </row>
    <row r="493" spans="3:9" x14ac:dyDescent="0.25">
      <c r="C493" s="1">
        <v>13</v>
      </c>
      <c r="D493" s="1">
        <v>1</v>
      </c>
      <c r="E493" s="1">
        <v>30</v>
      </c>
      <c r="F493" s="1">
        <v>14</v>
      </c>
      <c r="G493" s="1">
        <v>659</v>
      </c>
      <c r="H493" s="1">
        <v>719</v>
      </c>
      <c r="I493" s="1">
        <f t="shared" si="3"/>
        <v>60</v>
      </c>
    </row>
    <row r="494" spans="3:9" x14ac:dyDescent="0.25">
      <c r="C494" s="1">
        <v>13</v>
      </c>
      <c r="D494" s="1">
        <v>1</v>
      </c>
      <c r="E494" s="1">
        <v>30</v>
      </c>
      <c r="F494" s="1">
        <v>15</v>
      </c>
      <c r="G494" s="1">
        <v>719</v>
      </c>
      <c r="H494" s="1">
        <v>765</v>
      </c>
      <c r="I494" s="1">
        <f t="shared" si="3"/>
        <v>46</v>
      </c>
    </row>
    <row r="495" spans="3:9" x14ac:dyDescent="0.25">
      <c r="C495" s="1">
        <v>13</v>
      </c>
      <c r="D495" s="1">
        <v>1</v>
      </c>
      <c r="E495" s="1">
        <v>30</v>
      </c>
      <c r="F495" s="1">
        <v>16</v>
      </c>
      <c r="G495" s="1">
        <v>766</v>
      </c>
      <c r="H495" s="1">
        <v>821</v>
      </c>
      <c r="I495" s="1">
        <f t="shared" si="3"/>
        <v>55</v>
      </c>
    </row>
    <row r="496" spans="3:9" x14ac:dyDescent="0.25">
      <c r="C496" s="1">
        <v>13</v>
      </c>
      <c r="D496" s="1">
        <v>1</v>
      </c>
      <c r="E496" s="1">
        <v>30</v>
      </c>
      <c r="F496" s="1">
        <v>17</v>
      </c>
      <c r="G496" s="1">
        <v>821</v>
      </c>
      <c r="H496" s="1">
        <v>870</v>
      </c>
      <c r="I496" s="1">
        <f t="shared" si="3"/>
        <v>49</v>
      </c>
    </row>
    <row r="497" spans="1:10" x14ac:dyDescent="0.25">
      <c r="C497" s="1">
        <v>13</v>
      </c>
      <c r="D497" s="1">
        <v>1</v>
      </c>
      <c r="E497" s="1">
        <v>30</v>
      </c>
      <c r="F497" s="1">
        <v>18</v>
      </c>
      <c r="G497" s="1">
        <v>870</v>
      </c>
      <c r="H497" s="1">
        <v>933</v>
      </c>
      <c r="I497" s="1">
        <f t="shared" si="3"/>
        <v>63</v>
      </c>
    </row>
    <row r="498" spans="1:10" x14ac:dyDescent="0.25">
      <c r="C498" s="1">
        <v>13</v>
      </c>
      <c r="D498" s="1">
        <v>1</v>
      </c>
      <c r="E498" s="1">
        <v>30</v>
      </c>
      <c r="F498" s="1">
        <v>19</v>
      </c>
      <c r="G498" s="1">
        <v>933</v>
      </c>
      <c r="H498" s="1">
        <v>986</v>
      </c>
      <c r="I498" s="1">
        <f t="shared" si="3"/>
        <v>53</v>
      </c>
    </row>
    <row r="499" spans="1:10" x14ac:dyDescent="0.25">
      <c r="C499" s="1">
        <v>13</v>
      </c>
      <c r="D499" s="1">
        <v>1</v>
      </c>
      <c r="E499" s="1">
        <v>30</v>
      </c>
      <c r="F499" s="1">
        <v>20</v>
      </c>
      <c r="G499" s="1">
        <v>986</v>
      </c>
      <c r="H499" s="1">
        <v>1035</v>
      </c>
      <c r="I499" s="1">
        <f t="shared" si="3"/>
        <v>49</v>
      </c>
    </row>
    <row r="500" spans="1:10" x14ac:dyDescent="0.25">
      <c r="C500" s="1">
        <v>13</v>
      </c>
      <c r="D500" s="1">
        <v>1</v>
      </c>
      <c r="E500" s="1">
        <v>30</v>
      </c>
      <c r="F500" s="1">
        <v>21</v>
      </c>
      <c r="G500" s="1">
        <v>1035</v>
      </c>
      <c r="H500" s="1">
        <v>1087</v>
      </c>
      <c r="I500" s="1">
        <f t="shared" si="3"/>
        <v>52</v>
      </c>
    </row>
    <row r="501" spans="1:10" x14ac:dyDescent="0.25">
      <c r="C501" s="1">
        <v>13</v>
      </c>
      <c r="D501" s="1">
        <v>1</v>
      </c>
      <c r="E501" s="1">
        <v>30</v>
      </c>
      <c r="F501" s="1">
        <v>22</v>
      </c>
      <c r="G501" s="1">
        <v>1087</v>
      </c>
      <c r="H501" s="1">
        <v>1146</v>
      </c>
      <c r="I501" s="1">
        <f t="shared" si="3"/>
        <v>59</v>
      </c>
    </row>
    <row r="502" spans="1:10" x14ac:dyDescent="0.25">
      <c r="C502" s="1">
        <v>13</v>
      </c>
      <c r="D502" s="1">
        <v>1</v>
      </c>
      <c r="E502" s="1">
        <v>30</v>
      </c>
      <c r="F502" s="1">
        <v>23</v>
      </c>
      <c r="G502" s="1">
        <v>1149</v>
      </c>
      <c r="H502" s="1">
        <v>1183</v>
      </c>
      <c r="I502" s="1">
        <f t="shared" si="3"/>
        <v>34</v>
      </c>
    </row>
    <row r="503" spans="1:10" x14ac:dyDescent="0.25">
      <c r="C503" s="1">
        <v>13</v>
      </c>
      <c r="D503" s="1">
        <v>1</v>
      </c>
      <c r="E503" s="1">
        <v>30</v>
      </c>
      <c r="F503" s="1">
        <v>24</v>
      </c>
      <c r="G503" s="1">
        <v>1183</v>
      </c>
      <c r="H503" s="1">
        <v>1222</v>
      </c>
      <c r="I503" s="1">
        <f t="shared" si="3"/>
        <v>39</v>
      </c>
    </row>
    <row r="504" spans="1:10" x14ac:dyDescent="0.25">
      <c r="C504" s="1">
        <v>13</v>
      </c>
      <c r="D504" s="1">
        <v>1</v>
      </c>
      <c r="E504" s="1">
        <v>30</v>
      </c>
      <c r="F504" s="1">
        <v>25</v>
      </c>
      <c r="G504" s="1">
        <v>1222</v>
      </c>
      <c r="H504" s="1">
        <v>1275</v>
      </c>
      <c r="I504" s="1">
        <f t="shared" si="3"/>
        <v>53</v>
      </c>
    </row>
    <row r="505" spans="1:10" x14ac:dyDescent="0.25">
      <c r="A505" s="5">
        <v>2</v>
      </c>
      <c r="B505" s="2">
        <v>43894</v>
      </c>
      <c r="C505" s="1">
        <v>14</v>
      </c>
      <c r="D505" s="1">
        <v>2</v>
      </c>
      <c r="E505" s="1">
        <v>30</v>
      </c>
      <c r="F505" s="1">
        <v>1</v>
      </c>
      <c r="G505" s="1">
        <v>0</v>
      </c>
      <c r="H505" s="1">
        <v>40</v>
      </c>
      <c r="I505" s="1">
        <f t="shared" si="3"/>
        <v>40</v>
      </c>
      <c r="J505" s="8">
        <f>(I505+I506+I507+I529+I528+I527+I516+I517+I517+I518)/9</f>
        <v>50</v>
      </c>
    </row>
    <row r="506" spans="1:10" x14ac:dyDescent="0.25">
      <c r="C506" s="1">
        <v>14</v>
      </c>
      <c r="D506" s="1">
        <v>2</v>
      </c>
      <c r="E506" s="1">
        <v>30</v>
      </c>
      <c r="F506" s="1">
        <v>2</v>
      </c>
      <c r="G506" s="1">
        <v>43</v>
      </c>
      <c r="H506" s="1">
        <v>75</v>
      </c>
      <c r="I506" s="1">
        <f t="shared" si="3"/>
        <v>32</v>
      </c>
    </row>
    <row r="507" spans="1:10" x14ac:dyDescent="0.25">
      <c r="C507" s="1">
        <v>14</v>
      </c>
      <c r="D507" s="1">
        <v>2</v>
      </c>
      <c r="E507" s="1">
        <v>30</v>
      </c>
      <c r="F507" s="1">
        <v>3</v>
      </c>
      <c r="G507" s="1">
        <v>75</v>
      </c>
      <c r="H507" s="1">
        <v>127</v>
      </c>
      <c r="I507" s="1">
        <f t="shared" si="3"/>
        <v>52</v>
      </c>
    </row>
    <row r="508" spans="1:10" x14ac:dyDescent="0.25">
      <c r="C508" s="1">
        <v>14</v>
      </c>
      <c r="D508" s="1">
        <v>2</v>
      </c>
      <c r="E508" s="1">
        <v>30</v>
      </c>
      <c r="F508" s="1">
        <v>4</v>
      </c>
      <c r="G508" s="1">
        <v>127</v>
      </c>
      <c r="H508" s="1">
        <v>171</v>
      </c>
      <c r="I508" s="1">
        <f t="shared" si="3"/>
        <v>44</v>
      </c>
    </row>
    <row r="509" spans="1:10" x14ac:dyDescent="0.25">
      <c r="C509" s="1">
        <v>14</v>
      </c>
      <c r="D509" s="1">
        <v>2</v>
      </c>
      <c r="E509" s="1">
        <v>30</v>
      </c>
      <c r="F509" s="1">
        <v>5</v>
      </c>
      <c r="G509" s="1">
        <v>171</v>
      </c>
      <c r="H509" s="1">
        <v>218</v>
      </c>
      <c r="I509" s="1">
        <f t="shared" si="3"/>
        <v>47</v>
      </c>
    </row>
    <row r="510" spans="1:10" x14ac:dyDescent="0.25">
      <c r="C510" s="1">
        <v>14</v>
      </c>
      <c r="D510" s="1">
        <v>2</v>
      </c>
      <c r="E510" s="1">
        <v>30</v>
      </c>
      <c r="F510" s="1">
        <v>6</v>
      </c>
      <c r="G510" s="1">
        <v>218</v>
      </c>
      <c r="H510" s="1">
        <v>248</v>
      </c>
      <c r="I510" s="1">
        <f t="shared" si="3"/>
        <v>30</v>
      </c>
    </row>
    <row r="511" spans="1:10" x14ac:dyDescent="0.25">
      <c r="C511" s="1">
        <v>14</v>
      </c>
      <c r="D511" s="1">
        <v>2</v>
      </c>
      <c r="E511" s="1">
        <v>30</v>
      </c>
      <c r="F511" s="1">
        <v>7</v>
      </c>
      <c r="G511" s="1">
        <v>252</v>
      </c>
      <c r="H511" s="1">
        <v>306</v>
      </c>
      <c r="I511" s="1">
        <f t="shared" si="3"/>
        <v>54</v>
      </c>
    </row>
    <row r="512" spans="1:10" x14ac:dyDescent="0.25">
      <c r="C512" s="1">
        <v>14</v>
      </c>
      <c r="D512" s="1">
        <v>2</v>
      </c>
      <c r="E512" s="1">
        <v>30</v>
      </c>
      <c r="F512" s="1">
        <v>8</v>
      </c>
      <c r="G512" s="1">
        <v>306</v>
      </c>
      <c r="H512" s="1">
        <v>355</v>
      </c>
      <c r="I512" s="1">
        <f t="shared" si="3"/>
        <v>49</v>
      </c>
    </row>
    <row r="513" spans="3:9" x14ac:dyDescent="0.25">
      <c r="C513" s="1">
        <v>14</v>
      </c>
      <c r="D513" s="1">
        <v>2</v>
      </c>
      <c r="E513" s="1">
        <v>30</v>
      </c>
      <c r="F513" s="1">
        <v>9</v>
      </c>
      <c r="G513" s="1">
        <v>355</v>
      </c>
      <c r="H513" s="1">
        <v>403</v>
      </c>
      <c r="I513" s="1">
        <f t="shared" si="3"/>
        <v>48</v>
      </c>
    </row>
    <row r="514" spans="3:9" x14ac:dyDescent="0.25">
      <c r="C514" s="1">
        <v>14</v>
      </c>
      <c r="D514" s="1">
        <v>2</v>
      </c>
      <c r="E514" s="1">
        <v>30</v>
      </c>
      <c r="F514" s="1">
        <v>10</v>
      </c>
      <c r="G514" s="1">
        <v>408</v>
      </c>
      <c r="H514" s="1">
        <v>462</v>
      </c>
      <c r="I514" s="1">
        <f t="shared" si="3"/>
        <v>54</v>
      </c>
    </row>
    <row r="515" spans="3:9" x14ac:dyDescent="0.25">
      <c r="C515" s="1">
        <v>14</v>
      </c>
      <c r="D515" s="1">
        <v>2</v>
      </c>
      <c r="E515" s="1">
        <v>30</v>
      </c>
      <c r="F515" s="1">
        <v>11</v>
      </c>
      <c r="G515" s="1">
        <v>462</v>
      </c>
      <c r="H515" s="1">
        <v>509</v>
      </c>
      <c r="I515" s="1">
        <f t="shared" si="3"/>
        <v>47</v>
      </c>
    </row>
    <row r="516" spans="3:9" x14ac:dyDescent="0.25">
      <c r="C516" s="1">
        <v>14</v>
      </c>
      <c r="D516" s="1">
        <v>2</v>
      </c>
      <c r="E516" s="1">
        <v>30</v>
      </c>
      <c r="F516" s="1">
        <v>12</v>
      </c>
      <c r="G516" s="1">
        <v>509</v>
      </c>
      <c r="H516" s="1">
        <v>556</v>
      </c>
      <c r="I516" s="1">
        <f t="shared" si="3"/>
        <v>47</v>
      </c>
    </row>
    <row r="517" spans="3:9" x14ac:dyDescent="0.25">
      <c r="C517" s="1">
        <v>14</v>
      </c>
      <c r="D517" s="1">
        <v>2</v>
      </c>
      <c r="E517" s="1">
        <v>30</v>
      </c>
      <c r="F517" s="1">
        <v>13</v>
      </c>
      <c r="G517" s="1">
        <v>556</v>
      </c>
      <c r="H517" s="1">
        <v>605</v>
      </c>
      <c r="I517" s="1">
        <f t="shared" si="3"/>
        <v>49</v>
      </c>
    </row>
    <row r="518" spans="3:9" x14ac:dyDescent="0.25">
      <c r="C518" s="1">
        <v>14</v>
      </c>
      <c r="D518" s="1">
        <v>2</v>
      </c>
      <c r="E518" s="1">
        <v>30</v>
      </c>
      <c r="F518" s="1">
        <v>14</v>
      </c>
      <c r="G518" s="1">
        <v>605</v>
      </c>
      <c r="H518" s="1">
        <v>649</v>
      </c>
      <c r="I518" s="1">
        <f t="shared" si="3"/>
        <v>44</v>
      </c>
    </row>
    <row r="519" spans="3:9" x14ac:dyDescent="0.25">
      <c r="C519" s="1">
        <v>14</v>
      </c>
      <c r="D519" s="1">
        <v>2</v>
      </c>
      <c r="E519" s="1">
        <v>30</v>
      </c>
      <c r="F519" s="1">
        <v>15</v>
      </c>
      <c r="G519" s="1">
        <v>649</v>
      </c>
      <c r="H519" s="1">
        <v>693</v>
      </c>
      <c r="I519" s="1">
        <f t="shared" si="3"/>
        <v>44</v>
      </c>
    </row>
    <row r="520" spans="3:9" x14ac:dyDescent="0.25">
      <c r="C520" s="1">
        <v>14</v>
      </c>
      <c r="D520" s="1">
        <v>2</v>
      </c>
      <c r="E520" s="1">
        <v>30</v>
      </c>
      <c r="F520" s="1">
        <v>16</v>
      </c>
      <c r="G520" s="1">
        <v>699</v>
      </c>
      <c r="H520" s="1">
        <v>751</v>
      </c>
      <c r="I520" s="1">
        <f t="shared" si="3"/>
        <v>52</v>
      </c>
    </row>
    <row r="521" spans="3:9" x14ac:dyDescent="0.25">
      <c r="C521" s="1">
        <v>14</v>
      </c>
      <c r="D521" s="1">
        <v>2</v>
      </c>
      <c r="E521" s="1">
        <v>30</v>
      </c>
      <c r="F521" s="1">
        <v>17</v>
      </c>
      <c r="G521" s="1">
        <v>751</v>
      </c>
      <c r="H521" s="1">
        <v>799</v>
      </c>
      <c r="I521" s="1">
        <f t="shared" si="3"/>
        <v>48</v>
      </c>
    </row>
    <row r="522" spans="3:9" x14ac:dyDescent="0.25">
      <c r="C522" s="1">
        <v>14</v>
      </c>
      <c r="D522" s="1">
        <v>2</v>
      </c>
      <c r="E522" s="1">
        <v>30</v>
      </c>
      <c r="F522" s="1">
        <v>18</v>
      </c>
      <c r="G522" s="1">
        <v>800</v>
      </c>
      <c r="H522" s="1">
        <v>850</v>
      </c>
      <c r="I522" s="1">
        <f t="shared" si="3"/>
        <v>50</v>
      </c>
    </row>
    <row r="523" spans="3:9" x14ac:dyDescent="0.25">
      <c r="C523" s="1">
        <v>14</v>
      </c>
      <c r="D523" s="1">
        <v>2</v>
      </c>
      <c r="E523" s="1">
        <v>30</v>
      </c>
      <c r="F523" s="1">
        <v>19</v>
      </c>
      <c r="G523" s="1">
        <v>860</v>
      </c>
      <c r="H523" s="1">
        <v>907</v>
      </c>
      <c r="I523" s="1">
        <f t="shared" si="3"/>
        <v>47</v>
      </c>
    </row>
    <row r="524" spans="3:9" x14ac:dyDescent="0.25">
      <c r="C524" s="1">
        <v>14</v>
      </c>
      <c r="D524" s="1">
        <v>2</v>
      </c>
      <c r="E524" s="1">
        <v>30</v>
      </c>
      <c r="F524" s="1">
        <v>20</v>
      </c>
      <c r="G524" s="1">
        <v>911</v>
      </c>
      <c r="H524" s="1">
        <v>961</v>
      </c>
      <c r="I524" s="1">
        <f t="shared" si="3"/>
        <v>50</v>
      </c>
    </row>
    <row r="525" spans="3:9" x14ac:dyDescent="0.25">
      <c r="C525" s="1">
        <v>14</v>
      </c>
      <c r="D525" s="1">
        <v>2</v>
      </c>
      <c r="E525" s="1">
        <v>30</v>
      </c>
      <c r="F525" s="1">
        <v>21</v>
      </c>
      <c r="G525" s="1">
        <v>961</v>
      </c>
      <c r="H525" s="1">
        <v>1010</v>
      </c>
      <c r="I525" s="1">
        <f t="shared" si="3"/>
        <v>49</v>
      </c>
    </row>
    <row r="526" spans="3:9" x14ac:dyDescent="0.25">
      <c r="C526" s="1">
        <v>14</v>
      </c>
      <c r="D526" s="1">
        <v>2</v>
      </c>
      <c r="E526" s="1">
        <v>30</v>
      </c>
      <c r="F526" s="1">
        <v>22</v>
      </c>
      <c r="G526" s="1">
        <v>1010</v>
      </c>
      <c r="H526" s="1">
        <v>1060</v>
      </c>
      <c r="I526" s="1">
        <f t="shared" si="3"/>
        <v>50</v>
      </c>
    </row>
    <row r="527" spans="3:9" x14ac:dyDescent="0.25">
      <c r="C527" s="1">
        <v>14</v>
      </c>
      <c r="D527" s="1">
        <v>2</v>
      </c>
      <c r="E527" s="1">
        <v>30</v>
      </c>
      <c r="F527" s="1">
        <v>23</v>
      </c>
      <c r="G527" s="1">
        <v>1060</v>
      </c>
      <c r="H527" s="1">
        <v>1095</v>
      </c>
      <c r="I527" s="1">
        <f t="shared" si="3"/>
        <v>35</v>
      </c>
    </row>
    <row r="528" spans="3:9" x14ac:dyDescent="0.25">
      <c r="C528" s="1">
        <v>14</v>
      </c>
      <c r="D528" s="1">
        <v>2</v>
      </c>
      <c r="E528" s="1">
        <v>30</v>
      </c>
      <c r="F528" s="1">
        <v>24</v>
      </c>
      <c r="G528" s="1">
        <v>1095</v>
      </c>
      <c r="H528" s="1">
        <v>1144</v>
      </c>
      <c r="I528" s="1">
        <f t="shared" si="3"/>
        <v>49</v>
      </c>
    </row>
    <row r="529" spans="1:10" x14ac:dyDescent="0.25">
      <c r="C529" s="1">
        <v>14</v>
      </c>
      <c r="D529" s="1">
        <v>2</v>
      </c>
      <c r="E529" s="1">
        <v>30</v>
      </c>
      <c r="F529" s="1">
        <v>25</v>
      </c>
      <c r="G529" s="1">
        <v>1146</v>
      </c>
      <c r="H529" s="1">
        <v>1199</v>
      </c>
      <c r="I529" s="1">
        <f t="shared" si="3"/>
        <v>53</v>
      </c>
    </row>
    <row r="530" spans="1:10" x14ac:dyDescent="0.25">
      <c r="A530" s="5">
        <v>2</v>
      </c>
      <c r="B530" s="2">
        <v>43892</v>
      </c>
      <c r="C530" s="1">
        <v>15</v>
      </c>
      <c r="D530" s="1">
        <v>1</v>
      </c>
      <c r="E530" s="1">
        <v>30</v>
      </c>
      <c r="F530" s="1">
        <v>1</v>
      </c>
      <c r="G530" s="1">
        <v>0</v>
      </c>
      <c r="H530" s="1">
        <v>22</v>
      </c>
      <c r="I530" s="1">
        <f t="shared" si="3"/>
        <v>22</v>
      </c>
      <c r="J530" s="8">
        <f>(I530+I531+I532+I554+I553+I552+I542+I543+I541)/9</f>
        <v>43.333333333333336</v>
      </c>
    </row>
    <row r="531" spans="1:10" x14ac:dyDescent="0.25">
      <c r="C531" s="1">
        <v>15</v>
      </c>
      <c r="D531" s="1">
        <v>1</v>
      </c>
      <c r="E531" s="1">
        <v>30</v>
      </c>
      <c r="F531" s="1">
        <v>2</v>
      </c>
      <c r="G531" s="1">
        <v>23</v>
      </c>
      <c r="H531" s="1">
        <v>50</v>
      </c>
      <c r="I531" s="1">
        <f t="shared" si="3"/>
        <v>27</v>
      </c>
    </row>
    <row r="532" spans="1:10" x14ac:dyDescent="0.25">
      <c r="C532" s="1">
        <v>15</v>
      </c>
      <c r="D532" s="1">
        <v>1</v>
      </c>
      <c r="E532" s="1">
        <v>30</v>
      </c>
      <c r="F532" s="1">
        <v>3</v>
      </c>
      <c r="G532" s="1">
        <v>50</v>
      </c>
      <c r="H532" s="1">
        <v>94</v>
      </c>
      <c r="I532" s="1">
        <f t="shared" si="3"/>
        <v>44</v>
      </c>
    </row>
    <row r="533" spans="1:10" x14ac:dyDescent="0.25">
      <c r="C533" s="1">
        <v>15</v>
      </c>
      <c r="D533" s="1">
        <v>1</v>
      </c>
      <c r="E533" s="1">
        <v>30</v>
      </c>
      <c r="F533" s="1">
        <v>4</v>
      </c>
      <c r="G533" s="1">
        <v>98</v>
      </c>
      <c r="H533" s="1">
        <v>154</v>
      </c>
      <c r="I533" s="1">
        <f t="shared" si="3"/>
        <v>56</v>
      </c>
    </row>
    <row r="534" spans="1:10" x14ac:dyDescent="0.25">
      <c r="C534" s="1">
        <v>15</v>
      </c>
      <c r="D534" s="1">
        <v>1</v>
      </c>
      <c r="E534" s="1">
        <v>30</v>
      </c>
      <c r="F534" s="1">
        <v>5</v>
      </c>
      <c r="G534" s="1">
        <v>155</v>
      </c>
      <c r="H534" s="1">
        <v>192</v>
      </c>
      <c r="I534" s="1">
        <f t="shared" si="3"/>
        <v>37</v>
      </c>
    </row>
    <row r="535" spans="1:10" x14ac:dyDescent="0.25">
      <c r="C535" s="1">
        <v>15</v>
      </c>
      <c r="D535" s="1">
        <v>1</v>
      </c>
      <c r="E535" s="1">
        <v>30</v>
      </c>
      <c r="F535" s="1">
        <v>6</v>
      </c>
      <c r="G535" s="1">
        <v>192</v>
      </c>
      <c r="H535" s="1">
        <v>247</v>
      </c>
      <c r="I535" s="1">
        <f t="shared" si="3"/>
        <v>55</v>
      </c>
    </row>
    <row r="536" spans="1:10" x14ac:dyDescent="0.25">
      <c r="C536" s="1">
        <v>15</v>
      </c>
      <c r="D536" s="1">
        <v>1</v>
      </c>
      <c r="E536" s="1">
        <v>30</v>
      </c>
      <c r="F536" s="1">
        <v>7</v>
      </c>
      <c r="G536" s="1">
        <v>252</v>
      </c>
      <c r="H536" s="1">
        <v>300</v>
      </c>
      <c r="I536" s="1">
        <f t="shared" si="3"/>
        <v>48</v>
      </c>
    </row>
    <row r="537" spans="1:10" x14ac:dyDescent="0.25">
      <c r="C537" s="1">
        <v>15</v>
      </c>
      <c r="D537" s="1">
        <v>1</v>
      </c>
      <c r="E537" s="1">
        <v>30</v>
      </c>
      <c r="F537" s="1">
        <v>8</v>
      </c>
      <c r="G537" s="1">
        <v>300</v>
      </c>
      <c r="H537" s="1">
        <v>348</v>
      </c>
      <c r="I537" s="1">
        <f t="shared" si="3"/>
        <v>48</v>
      </c>
    </row>
    <row r="538" spans="1:10" x14ac:dyDescent="0.25">
      <c r="C538" s="1">
        <v>15</v>
      </c>
      <c r="D538" s="1">
        <v>1</v>
      </c>
      <c r="E538" s="1">
        <v>30</v>
      </c>
      <c r="F538" s="1">
        <v>9</v>
      </c>
      <c r="G538" s="1">
        <v>348</v>
      </c>
      <c r="H538" s="1">
        <v>398</v>
      </c>
      <c r="I538" s="1">
        <f t="shared" si="3"/>
        <v>50</v>
      </c>
    </row>
    <row r="539" spans="1:10" x14ac:dyDescent="0.25">
      <c r="C539" s="1">
        <v>15</v>
      </c>
      <c r="D539" s="1">
        <v>1</v>
      </c>
      <c r="E539" s="1">
        <v>30</v>
      </c>
      <c r="F539" s="1">
        <v>10</v>
      </c>
      <c r="G539" s="1">
        <v>408</v>
      </c>
      <c r="H539" s="1">
        <v>450</v>
      </c>
      <c r="I539" s="1">
        <f t="shared" si="3"/>
        <v>42</v>
      </c>
    </row>
    <row r="540" spans="1:10" x14ac:dyDescent="0.25">
      <c r="C540" s="1">
        <v>15</v>
      </c>
      <c r="D540" s="1">
        <v>1</v>
      </c>
      <c r="E540" s="1">
        <v>30</v>
      </c>
      <c r="F540" s="1">
        <v>11</v>
      </c>
      <c r="G540" s="1">
        <v>458</v>
      </c>
      <c r="H540" s="1">
        <v>501</v>
      </c>
      <c r="I540" s="1">
        <f t="shared" si="3"/>
        <v>43</v>
      </c>
    </row>
    <row r="541" spans="1:10" x14ac:dyDescent="0.25">
      <c r="C541" s="1">
        <v>15</v>
      </c>
      <c r="D541" s="1">
        <v>1</v>
      </c>
      <c r="E541" s="1">
        <v>30</v>
      </c>
      <c r="F541" s="1">
        <v>12</v>
      </c>
      <c r="G541" s="1">
        <v>509</v>
      </c>
      <c r="H541" s="1">
        <v>565</v>
      </c>
      <c r="I541" s="1">
        <f t="shared" si="3"/>
        <v>56</v>
      </c>
    </row>
    <row r="542" spans="1:10" x14ac:dyDescent="0.25">
      <c r="C542" s="1">
        <v>15</v>
      </c>
      <c r="D542" s="1">
        <v>1</v>
      </c>
      <c r="E542" s="1">
        <v>30</v>
      </c>
      <c r="F542" s="1">
        <v>13</v>
      </c>
      <c r="G542" s="1">
        <v>572</v>
      </c>
      <c r="H542" s="1">
        <v>622</v>
      </c>
      <c r="I542" s="1">
        <f t="shared" si="3"/>
        <v>50</v>
      </c>
    </row>
    <row r="543" spans="1:10" x14ac:dyDescent="0.25">
      <c r="C543" s="1">
        <v>15</v>
      </c>
      <c r="D543" s="1">
        <v>1</v>
      </c>
      <c r="E543" s="1">
        <v>30</v>
      </c>
      <c r="F543" s="1">
        <v>14</v>
      </c>
      <c r="G543" s="1">
        <v>622</v>
      </c>
      <c r="H543" s="1">
        <v>655</v>
      </c>
      <c r="I543" s="1">
        <f t="shared" si="3"/>
        <v>33</v>
      </c>
    </row>
    <row r="544" spans="1:10" x14ac:dyDescent="0.25">
      <c r="C544" s="1">
        <v>15</v>
      </c>
      <c r="D544" s="1">
        <v>1</v>
      </c>
      <c r="E544" s="1">
        <v>30</v>
      </c>
      <c r="F544" s="1">
        <v>15</v>
      </c>
      <c r="G544" s="1">
        <v>655</v>
      </c>
      <c r="H544" s="1">
        <v>701</v>
      </c>
      <c r="I544" s="1">
        <f t="shared" si="3"/>
        <v>46</v>
      </c>
    </row>
    <row r="545" spans="1:9" x14ac:dyDescent="0.25">
      <c r="C545" s="1">
        <v>15</v>
      </c>
      <c r="D545" s="1">
        <v>1</v>
      </c>
      <c r="E545" s="1">
        <v>30</v>
      </c>
      <c r="F545" s="1">
        <v>16</v>
      </c>
      <c r="G545" s="1">
        <v>701</v>
      </c>
      <c r="H545" s="1">
        <v>750</v>
      </c>
      <c r="I545" s="1">
        <f t="shared" si="3"/>
        <v>49</v>
      </c>
    </row>
    <row r="546" spans="1:9" x14ac:dyDescent="0.25">
      <c r="C546" s="1">
        <v>15</v>
      </c>
      <c r="D546" s="1">
        <v>1</v>
      </c>
      <c r="E546" s="1">
        <v>30</v>
      </c>
      <c r="F546" s="1">
        <v>17</v>
      </c>
      <c r="G546" s="1">
        <v>752</v>
      </c>
      <c r="H546" s="1">
        <v>804</v>
      </c>
      <c r="I546" s="1">
        <f t="shared" si="3"/>
        <v>52</v>
      </c>
    </row>
    <row r="547" spans="1:9" x14ac:dyDescent="0.25">
      <c r="C547" s="1">
        <v>15</v>
      </c>
      <c r="D547" s="1">
        <v>1</v>
      </c>
      <c r="E547" s="1">
        <v>30</v>
      </c>
      <c r="F547" s="1">
        <v>18</v>
      </c>
      <c r="G547" s="1">
        <v>804</v>
      </c>
      <c r="H547" s="1">
        <v>849</v>
      </c>
      <c r="I547" s="1">
        <f t="shared" si="3"/>
        <v>45</v>
      </c>
    </row>
    <row r="548" spans="1:9" x14ac:dyDescent="0.25">
      <c r="C548" s="1">
        <v>15</v>
      </c>
      <c r="D548" s="1">
        <v>1</v>
      </c>
      <c r="E548" s="1">
        <v>30</v>
      </c>
      <c r="F548" s="1">
        <v>19</v>
      </c>
      <c r="G548" s="1">
        <v>849</v>
      </c>
      <c r="H548" s="1">
        <v>894</v>
      </c>
      <c r="I548" s="1">
        <f t="shared" si="3"/>
        <v>45</v>
      </c>
    </row>
    <row r="549" spans="1:9" x14ac:dyDescent="0.25">
      <c r="C549" s="1">
        <v>15</v>
      </c>
      <c r="D549" s="1">
        <v>1</v>
      </c>
      <c r="E549" s="1">
        <v>30</v>
      </c>
      <c r="F549" s="1">
        <v>20</v>
      </c>
      <c r="G549" s="1">
        <v>894</v>
      </c>
      <c r="H549" s="1">
        <v>949</v>
      </c>
      <c r="I549" s="1">
        <f t="shared" si="3"/>
        <v>55</v>
      </c>
    </row>
    <row r="550" spans="1:9" x14ac:dyDescent="0.25">
      <c r="C550" s="1">
        <v>15</v>
      </c>
      <c r="D550" s="1">
        <v>1</v>
      </c>
      <c r="E550" s="1">
        <v>30</v>
      </c>
      <c r="F550" s="1">
        <v>21</v>
      </c>
      <c r="G550" s="1">
        <v>949</v>
      </c>
      <c r="H550" s="1">
        <v>1002</v>
      </c>
      <c r="I550" s="1">
        <f t="shared" si="3"/>
        <v>53</v>
      </c>
    </row>
    <row r="551" spans="1:9" x14ac:dyDescent="0.25">
      <c r="C551" s="1">
        <v>15</v>
      </c>
      <c r="D551" s="1">
        <v>1</v>
      </c>
      <c r="E551" s="1">
        <v>30</v>
      </c>
      <c r="F551" s="1">
        <v>22</v>
      </c>
      <c r="G551" s="1">
        <v>1002</v>
      </c>
      <c r="H551" s="1">
        <v>1054</v>
      </c>
      <c r="I551" s="1">
        <f t="shared" si="3"/>
        <v>52</v>
      </c>
    </row>
    <row r="552" spans="1:9" x14ac:dyDescent="0.25">
      <c r="C552" s="1">
        <v>15</v>
      </c>
      <c r="D552" s="1">
        <v>1</v>
      </c>
      <c r="E552" s="1">
        <v>30</v>
      </c>
      <c r="F552" s="1">
        <v>23</v>
      </c>
      <c r="G552" s="1">
        <v>1054</v>
      </c>
      <c r="H552" s="1">
        <v>1104</v>
      </c>
      <c r="I552" s="1">
        <f t="shared" si="3"/>
        <v>50</v>
      </c>
    </row>
    <row r="553" spans="1:9" x14ac:dyDescent="0.25">
      <c r="C553" s="1">
        <v>15</v>
      </c>
      <c r="D553" s="1">
        <v>1</v>
      </c>
      <c r="E553" s="1">
        <v>30</v>
      </c>
      <c r="F553" s="1">
        <v>24</v>
      </c>
      <c r="G553" s="1">
        <v>1104</v>
      </c>
      <c r="H553" s="1">
        <v>1154</v>
      </c>
      <c r="I553" s="1">
        <f t="shared" si="3"/>
        <v>50</v>
      </c>
    </row>
    <row r="554" spans="1:9" x14ac:dyDescent="0.25">
      <c r="C554" s="1">
        <v>15</v>
      </c>
      <c r="D554" s="1">
        <v>1</v>
      </c>
      <c r="E554" s="1">
        <v>30</v>
      </c>
      <c r="F554" s="1">
        <v>25</v>
      </c>
      <c r="G554" s="1">
        <v>1151</v>
      </c>
      <c r="H554" s="1">
        <v>1209</v>
      </c>
      <c r="I554" s="1">
        <f t="shared" si="3"/>
        <v>58</v>
      </c>
    </row>
    <row r="555" spans="1:9" x14ac:dyDescent="0.25">
      <c r="A555" s="9">
        <v>2</v>
      </c>
      <c r="B555" s="4">
        <v>43896</v>
      </c>
      <c r="C555" s="3">
        <v>16</v>
      </c>
      <c r="D555" s="3">
        <v>2</v>
      </c>
      <c r="E555" s="3">
        <v>30</v>
      </c>
      <c r="F555" s="3">
        <v>1</v>
      </c>
      <c r="G555" s="3">
        <v>2</v>
      </c>
      <c r="H555" s="3">
        <v>38</v>
      </c>
      <c r="I555" s="3">
        <f t="shared" si="3"/>
        <v>36</v>
      </c>
    </row>
    <row r="556" spans="1:9" x14ac:dyDescent="0.25">
      <c r="A556" s="9"/>
      <c r="B556" s="3"/>
      <c r="C556" s="3">
        <v>16</v>
      </c>
      <c r="D556" s="3">
        <v>2</v>
      </c>
      <c r="E556" s="3">
        <v>30</v>
      </c>
      <c r="F556" s="3">
        <v>2</v>
      </c>
      <c r="G556" s="3">
        <v>40</v>
      </c>
      <c r="H556" s="3">
        <v>82</v>
      </c>
      <c r="I556" s="3">
        <f t="shared" si="3"/>
        <v>42</v>
      </c>
    </row>
    <row r="557" spans="1:9" x14ac:dyDescent="0.25">
      <c r="A557" s="9"/>
      <c r="B557" s="3"/>
      <c r="C557" s="3">
        <v>16</v>
      </c>
      <c r="D557" s="3">
        <v>2</v>
      </c>
      <c r="E557" s="3">
        <v>30</v>
      </c>
      <c r="F557" s="3">
        <v>3</v>
      </c>
      <c r="G557" s="3">
        <v>82</v>
      </c>
      <c r="H557" s="3">
        <v>82</v>
      </c>
      <c r="I557" s="3">
        <f t="shared" si="3"/>
        <v>0</v>
      </c>
    </row>
    <row r="558" spans="1:9" x14ac:dyDescent="0.25">
      <c r="A558" s="9"/>
      <c r="B558" s="3"/>
      <c r="C558" s="3">
        <v>16</v>
      </c>
      <c r="D558" s="3">
        <v>2</v>
      </c>
      <c r="E558" s="3">
        <v>30</v>
      </c>
      <c r="F558" s="3">
        <v>4</v>
      </c>
      <c r="G558" s="3">
        <v>82</v>
      </c>
      <c r="H558" s="3">
        <v>111</v>
      </c>
      <c r="I558" s="3">
        <f t="shared" si="3"/>
        <v>29</v>
      </c>
    </row>
    <row r="559" spans="1:9" x14ac:dyDescent="0.25">
      <c r="A559" s="9"/>
      <c r="B559" s="3"/>
      <c r="C559" s="3">
        <v>16</v>
      </c>
      <c r="D559" s="3">
        <v>2</v>
      </c>
      <c r="E559" s="3">
        <v>30</v>
      </c>
      <c r="F559" s="3">
        <v>5</v>
      </c>
      <c r="G559" s="3">
        <v>111</v>
      </c>
      <c r="H559" s="3">
        <v>140</v>
      </c>
      <c r="I559" s="3">
        <f t="shared" si="3"/>
        <v>29</v>
      </c>
    </row>
    <row r="560" spans="1:9" x14ac:dyDescent="0.25">
      <c r="A560" s="9"/>
      <c r="B560" s="3"/>
      <c r="C560" s="3">
        <v>16</v>
      </c>
      <c r="D560" s="3">
        <v>2</v>
      </c>
      <c r="E560" s="3">
        <v>30</v>
      </c>
      <c r="F560" s="3">
        <v>6</v>
      </c>
      <c r="G560" s="3">
        <v>143</v>
      </c>
      <c r="H560" s="3">
        <v>143</v>
      </c>
      <c r="I560" s="3">
        <f t="shared" si="3"/>
        <v>0</v>
      </c>
    </row>
    <row r="561" spans="1:10" x14ac:dyDescent="0.25">
      <c r="A561" s="5">
        <v>2</v>
      </c>
      <c r="B561" s="2">
        <v>43894</v>
      </c>
      <c r="C561" s="1">
        <v>17</v>
      </c>
      <c r="D561" s="1">
        <v>1</v>
      </c>
      <c r="E561" s="1">
        <v>30</v>
      </c>
      <c r="F561" s="1">
        <v>1</v>
      </c>
      <c r="G561" s="1">
        <v>0</v>
      </c>
      <c r="H561" s="1">
        <v>42</v>
      </c>
      <c r="I561" s="1">
        <f t="shared" si="3"/>
        <v>42</v>
      </c>
      <c r="J561" s="8">
        <f>(I561+I562+I563+I585+I584+I583+I572+I573+I574)/9</f>
        <v>36.444444444444443</v>
      </c>
    </row>
    <row r="562" spans="1:10" x14ac:dyDescent="0.25">
      <c r="C562" s="1">
        <v>17</v>
      </c>
      <c r="D562" s="1">
        <v>1</v>
      </c>
      <c r="E562" s="1">
        <v>30</v>
      </c>
      <c r="F562" s="1">
        <v>2</v>
      </c>
      <c r="G562" s="1">
        <v>42</v>
      </c>
      <c r="H562" s="1">
        <v>59</v>
      </c>
      <c r="I562" s="1">
        <f t="shared" si="3"/>
        <v>17</v>
      </c>
    </row>
    <row r="563" spans="1:10" x14ac:dyDescent="0.25">
      <c r="C563" s="1">
        <v>17</v>
      </c>
      <c r="D563" s="1">
        <v>1</v>
      </c>
      <c r="E563" s="1">
        <v>30</v>
      </c>
      <c r="F563" s="1">
        <v>3</v>
      </c>
      <c r="G563" s="1">
        <v>61</v>
      </c>
      <c r="H563" s="1">
        <v>71</v>
      </c>
      <c r="I563" s="1">
        <f t="shared" si="3"/>
        <v>10</v>
      </c>
    </row>
    <row r="564" spans="1:10" x14ac:dyDescent="0.25">
      <c r="C564" s="1">
        <v>17</v>
      </c>
      <c r="D564" s="1">
        <v>1</v>
      </c>
      <c r="E564" s="1">
        <v>30</v>
      </c>
      <c r="F564" s="1">
        <v>4</v>
      </c>
      <c r="G564" s="1">
        <v>71</v>
      </c>
      <c r="H564" s="1">
        <v>88</v>
      </c>
      <c r="I564" s="1">
        <f t="shared" si="3"/>
        <v>17</v>
      </c>
    </row>
    <row r="565" spans="1:10" x14ac:dyDescent="0.25">
      <c r="C565" s="1">
        <v>17</v>
      </c>
      <c r="D565" s="1">
        <v>1</v>
      </c>
      <c r="E565" s="1">
        <v>30</v>
      </c>
      <c r="F565" s="1">
        <v>5</v>
      </c>
      <c r="G565" s="1">
        <v>94</v>
      </c>
      <c r="H565" s="1">
        <v>107</v>
      </c>
      <c r="I565" s="1">
        <f t="shared" si="3"/>
        <v>13</v>
      </c>
    </row>
    <row r="566" spans="1:10" x14ac:dyDescent="0.25">
      <c r="C566" s="1">
        <v>17</v>
      </c>
      <c r="D566" s="1">
        <v>1</v>
      </c>
      <c r="E566" s="1">
        <v>30</v>
      </c>
      <c r="F566" s="1">
        <v>6</v>
      </c>
      <c r="G566" s="1">
        <v>110</v>
      </c>
      <c r="H566" s="1">
        <v>159</v>
      </c>
      <c r="I566" s="1">
        <f t="shared" si="3"/>
        <v>49</v>
      </c>
    </row>
    <row r="567" spans="1:10" x14ac:dyDescent="0.25">
      <c r="C567" s="1">
        <v>17</v>
      </c>
      <c r="D567" s="1">
        <v>1</v>
      </c>
      <c r="E567" s="1">
        <v>30</v>
      </c>
      <c r="F567" s="1">
        <v>7</v>
      </c>
      <c r="G567" s="1">
        <v>159</v>
      </c>
      <c r="H567" s="1">
        <v>203</v>
      </c>
      <c r="I567" s="1">
        <f t="shared" si="3"/>
        <v>44</v>
      </c>
    </row>
    <row r="568" spans="1:10" x14ac:dyDescent="0.25">
      <c r="C568" s="1">
        <v>17</v>
      </c>
      <c r="D568" s="1">
        <v>1</v>
      </c>
      <c r="E568" s="1">
        <v>30</v>
      </c>
      <c r="F568" s="1">
        <v>8</v>
      </c>
      <c r="G568" s="1">
        <v>203</v>
      </c>
      <c r="H568" s="1">
        <v>218</v>
      </c>
      <c r="I568" s="1">
        <f t="shared" si="3"/>
        <v>15</v>
      </c>
    </row>
    <row r="569" spans="1:10" x14ac:dyDescent="0.25">
      <c r="C569" s="1">
        <v>17</v>
      </c>
      <c r="D569" s="1">
        <v>1</v>
      </c>
      <c r="E569" s="1">
        <v>30</v>
      </c>
      <c r="F569" s="1">
        <v>9</v>
      </c>
      <c r="G569" s="1">
        <v>225</v>
      </c>
      <c r="H569" s="1">
        <v>267</v>
      </c>
      <c r="I569" s="1">
        <f t="shared" si="3"/>
        <v>42</v>
      </c>
    </row>
    <row r="570" spans="1:10" x14ac:dyDescent="0.25">
      <c r="C570" s="1">
        <v>17</v>
      </c>
      <c r="D570" s="1">
        <v>1</v>
      </c>
      <c r="E570" s="1">
        <v>30</v>
      </c>
      <c r="F570" s="1">
        <v>10</v>
      </c>
      <c r="G570" s="1">
        <v>267</v>
      </c>
      <c r="H570" s="1">
        <v>301</v>
      </c>
      <c r="I570" s="1">
        <f t="shared" si="3"/>
        <v>34</v>
      </c>
    </row>
    <row r="571" spans="1:10" x14ac:dyDescent="0.25">
      <c r="C571" s="1">
        <v>17</v>
      </c>
      <c r="D571" s="1">
        <v>1</v>
      </c>
      <c r="E571" s="1">
        <v>30</v>
      </c>
      <c r="F571" s="1">
        <v>11</v>
      </c>
      <c r="G571" s="1">
        <v>301</v>
      </c>
      <c r="H571" s="1">
        <v>338</v>
      </c>
      <c r="I571" s="1">
        <f t="shared" si="3"/>
        <v>37</v>
      </c>
    </row>
    <row r="572" spans="1:10" x14ac:dyDescent="0.25">
      <c r="C572" s="1">
        <v>17</v>
      </c>
      <c r="D572" s="1">
        <v>1</v>
      </c>
      <c r="E572" s="1">
        <v>30</v>
      </c>
      <c r="F572" s="1">
        <v>12</v>
      </c>
      <c r="G572" s="1">
        <v>339</v>
      </c>
      <c r="H572" s="1">
        <v>361</v>
      </c>
      <c r="I572" s="1">
        <f t="shared" si="3"/>
        <v>22</v>
      </c>
    </row>
    <row r="573" spans="1:10" x14ac:dyDescent="0.25">
      <c r="C573" s="1">
        <v>17</v>
      </c>
      <c r="D573" s="1">
        <v>1</v>
      </c>
      <c r="E573" s="1">
        <v>30</v>
      </c>
      <c r="F573" s="1">
        <v>13</v>
      </c>
      <c r="G573" s="1">
        <v>364</v>
      </c>
      <c r="H573" s="1">
        <v>411</v>
      </c>
      <c r="I573" s="1">
        <f t="shared" si="3"/>
        <v>47</v>
      </c>
    </row>
    <row r="574" spans="1:10" x14ac:dyDescent="0.25">
      <c r="C574" s="1">
        <v>17</v>
      </c>
      <c r="D574" s="1">
        <v>1</v>
      </c>
      <c r="E574" s="1">
        <v>30</v>
      </c>
      <c r="F574" s="1">
        <v>14</v>
      </c>
      <c r="G574" s="1">
        <v>414</v>
      </c>
      <c r="H574" s="1">
        <v>456</v>
      </c>
      <c r="I574" s="1">
        <f t="shared" si="3"/>
        <v>42</v>
      </c>
    </row>
    <row r="575" spans="1:10" x14ac:dyDescent="0.25">
      <c r="C575" s="1">
        <v>17</v>
      </c>
      <c r="D575" s="1">
        <v>1</v>
      </c>
      <c r="E575" s="1">
        <v>30</v>
      </c>
      <c r="F575" s="1">
        <v>15</v>
      </c>
      <c r="G575" s="1">
        <v>456</v>
      </c>
      <c r="H575" s="1">
        <v>492</v>
      </c>
      <c r="I575" s="1">
        <f t="shared" si="3"/>
        <v>36</v>
      </c>
    </row>
    <row r="576" spans="1:10" x14ac:dyDescent="0.25">
      <c r="C576" s="1">
        <v>17</v>
      </c>
      <c r="D576" s="1">
        <v>1</v>
      </c>
      <c r="E576" s="1">
        <v>30</v>
      </c>
      <c r="F576" s="1">
        <v>16</v>
      </c>
      <c r="G576" s="1">
        <v>492</v>
      </c>
      <c r="H576" s="1">
        <v>530</v>
      </c>
      <c r="I576" s="1">
        <f t="shared" si="3"/>
        <v>38</v>
      </c>
    </row>
    <row r="577" spans="1:10" x14ac:dyDescent="0.25">
      <c r="C577" s="1">
        <v>17</v>
      </c>
      <c r="D577" s="1">
        <v>1</v>
      </c>
      <c r="E577" s="1">
        <v>30</v>
      </c>
      <c r="F577" s="1">
        <v>17</v>
      </c>
      <c r="G577" s="1">
        <v>535</v>
      </c>
      <c r="H577" s="1">
        <v>547</v>
      </c>
      <c r="I577" s="1">
        <f t="shared" si="3"/>
        <v>12</v>
      </c>
    </row>
    <row r="578" spans="1:10" x14ac:dyDescent="0.25">
      <c r="C578" s="1">
        <v>17</v>
      </c>
      <c r="D578" s="1">
        <v>1</v>
      </c>
      <c r="E578" s="1">
        <v>30</v>
      </c>
      <c r="F578" s="1">
        <v>18</v>
      </c>
      <c r="G578" s="1">
        <v>550</v>
      </c>
      <c r="H578" s="1">
        <v>604</v>
      </c>
      <c r="I578" s="1">
        <f t="shared" si="3"/>
        <v>54</v>
      </c>
    </row>
    <row r="579" spans="1:10" x14ac:dyDescent="0.25">
      <c r="C579" s="1">
        <v>17</v>
      </c>
      <c r="D579" s="1">
        <v>1</v>
      </c>
      <c r="E579" s="1">
        <v>30</v>
      </c>
      <c r="F579" s="1">
        <v>19</v>
      </c>
      <c r="G579" s="1">
        <v>604</v>
      </c>
      <c r="H579" s="1">
        <v>650</v>
      </c>
      <c r="I579" s="1">
        <f t="shared" si="3"/>
        <v>46</v>
      </c>
    </row>
    <row r="580" spans="1:10" x14ac:dyDescent="0.25">
      <c r="C580" s="1">
        <v>17</v>
      </c>
      <c r="D580" s="1">
        <v>1</v>
      </c>
      <c r="E580" s="1">
        <v>30</v>
      </c>
      <c r="F580" s="1">
        <v>20</v>
      </c>
      <c r="G580" s="1">
        <v>652</v>
      </c>
      <c r="H580" s="1">
        <v>705</v>
      </c>
      <c r="I580" s="1">
        <f t="shared" si="3"/>
        <v>53</v>
      </c>
    </row>
    <row r="581" spans="1:10" x14ac:dyDescent="0.25">
      <c r="C581" s="1">
        <v>17</v>
      </c>
      <c r="D581" s="1">
        <v>1</v>
      </c>
      <c r="E581" s="1">
        <v>30</v>
      </c>
      <c r="F581" s="1">
        <v>21</v>
      </c>
      <c r="G581" s="1">
        <v>705</v>
      </c>
      <c r="H581" s="1">
        <v>756</v>
      </c>
      <c r="I581" s="1">
        <f t="shared" si="3"/>
        <v>51</v>
      </c>
    </row>
    <row r="582" spans="1:10" x14ac:dyDescent="0.25">
      <c r="C582" s="1">
        <v>17</v>
      </c>
      <c r="D582" s="1">
        <v>1</v>
      </c>
      <c r="E582" s="1">
        <v>30</v>
      </c>
      <c r="F582" s="1">
        <v>22</v>
      </c>
      <c r="G582" s="1">
        <v>763</v>
      </c>
      <c r="H582" s="1">
        <v>810</v>
      </c>
      <c r="I582" s="1">
        <f t="shared" si="3"/>
        <v>47</v>
      </c>
    </row>
    <row r="583" spans="1:10" x14ac:dyDescent="0.25">
      <c r="C583" s="1">
        <v>17</v>
      </c>
      <c r="D583" s="1">
        <v>1</v>
      </c>
      <c r="E583" s="1">
        <v>30</v>
      </c>
      <c r="F583" s="1">
        <v>23</v>
      </c>
      <c r="G583" s="1">
        <v>810</v>
      </c>
      <c r="H583" s="1">
        <v>856</v>
      </c>
      <c r="I583" s="1">
        <f t="shared" si="3"/>
        <v>46</v>
      </c>
    </row>
    <row r="584" spans="1:10" x14ac:dyDescent="0.25">
      <c r="C584" s="1">
        <v>17</v>
      </c>
      <c r="D584" s="1">
        <v>1</v>
      </c>
      <c r="E584" s="1">
        <v>30</v>
      </c>
      <c r="F584" s="1">
        <v>24</v>
      </c>
      <c r="G584" s="1">
        <v>860</v>
      </c>
      <c r="H584" s="1">
        <v>904</v>
      </c>
      <c r="I584" s="1">
        <f t="shared" si="3"/>
        <v>44</v>
      </c>
    </row>
    <row r="585" spans="1:10" x14ac:dyDescent="0.25">
      <c r="C585" s="1">
        <v>17</v>
      </c>
      <c r="D585" s="1">
        <v>1</v>
      </c>
      <c r="E585" s="1">
        <v>30</v>
      </c>
      <c r="F585" s="1">
        <v>25</v>
      </c>
      <c r="G585" s="1">
        <v>904</v>
      </c>
      <c r="H585" s="1">
        <v>962</v>
      </c>
      <c r="I585" s="1">
        <f t="shared" si="3"/>
        <v>58</v>
      </c>
    </row>
    <row r="586" spans="1:10" x14ac:dyDescent="0.25">
      <c r="A586" s="5">
        <v>2</v>
      </c>
      <c r="B586" s="2">
        <v>43892</v>
      </c>
      <c r="C586" s="1">
        <v>18</v>
      </c>
      <c r="D586" s="1">
        <v>2</v>
      </c>
      <c r="E586" s="1">
        <v>30</v>
      </c>
      <c r="F586" s="1">
        <v>1</v>
      </c>
      <c r="G586" s="1">
        <v>0</v>
      </c>
      <c r="H586" s="1">
        <v>9</v>
      </c>
      <c r="I586" s="1">
        <f t="shared" si="3"/>
        <v>9</v>
      </c>
      <c r="J586" s="8">
        <f>(I586+I587+I588+I608+I607+I606+I596+I597+I598)/9</f>
        <v>31.777777777777779</v>
      </c>
    </row>
    <row r="587" spans="1:10" x14ac:dyDescent="0.25">
      <c r="C587" s="1">
        <v>18</v>
      </c>
      <c r="D587" s="1">
        <v>2</v>
      </c>
      <c r="E587" s="1">
        <v>30</v>
      </c>
      <c r="F587" s="1">
        <v>2</v>
      </c>
      <c r="G587" s="1">
        <v>9</v>
      </c>
      <c r="H587" s="1">
        <v>42</v>
      </c>
      <c r="I587" s="1">
        <f t="shared" si="3"/>
        <v>33</v>
      </c>
    </row>
    <row r="588" spans="1:10" x14ac:dyDescent="0.25">
      <c r="C588" s="1">
        <v>18</v>
      </c>
      <c r="D588" s="1">
        <v>2</v>
      </c>
      <c r="E588" s="1">
        <v>30</v>
      </c>
      <c r="F588" s="1">
        <v>3</v>
      </c>
      <c r="G588" s="1">
        <v>42</v>
      </c>
      <c r="H588" s="1">
        <v>80</v>
      </c>
      <c r="I588" s="1">
        <f t="shared" si="3"/>
        <v>38</v>
      </c>
    </row>
    <row r="589" spans="1:10" x14ac:dyDescent="0.25">
      <c r="C589" s="1">
        <v>18</v>
      </c>
      <c r="D589" s="1">
        <v>2</v>
      </c>
      <c r="E589" s="1">
        <v>30</v>
      </c>
      <c r="F589" s="1">
        <v>4</v>
      </c>
      <c r="G589" s="1">
        <v>80</v>
      </c>
      <c r="H589" s="1">
        <v>118</v>
      </c>
      <c r="I589" s="1">
        <f t="shared" si="3"/>
        <v>38</v>
      </c>
    </row>
    <row r="590" spans="1:10" x14ac:dyDescent="0.25">
      <c r="C590" s="1">
        <v>18</v>
      </c>
      <c r="D590" s="1">
        <v>2</v>
      </c>
      <c r="E590" s="1">
        <v>30</v>
      </c>
      <c r="F590" s="1">
        <v>5</v>
      </c>
      <c r="G590" s="1">
        <v>120</v>
      </c>
      <c r="H590" s="1">
        <v>158</v>
      </c>
      <c r="I590" s="1">
        <f t="shared" si="3"/>
        <v>38</v>
      </c>
    </row>
    <row r="591" spans="1:10" x14ac:dyDescent="0.25">
      <c r="C591" s="1">
        <v>18</v>
      </c>
      <c r="D591" s="1">
        <v>2</v>
      </c>
      <c r="E591" s="1">
        <v>30</v>
      </c>
      <c r="F591" s="1">
        <v>6</v>
      </c>
      <c r="G591" s="1">
        <v>158</v>
      </c>
      <c r="H591" s="1">
        <v>201</v>
      </c>
      <c r="I591" s="1">
        <f t="shared" si="3"/>
        <v>43</v>
      </c>
    </row>
    <row r="592" spans="1:10" x14ac:dyDescent="0.25">
      <c r="C592" s="1">
        <v>18</v>
      </c>
      <c r="D592" s="1">
        <v>2</v>
      </c>
      <c r="E592" s="1">
        <v>30</v>
      </c>
      <c r="F592" s="1">
        <v>7</v>
      </c>
      <c r="G592" s="1">
        <v>206</v>
      </c>
      <c r="H592" s="1">
        <v>248</v>
      </c>
      <c r="I592" s="1">
        <f t="shared" si="3"/>
        <v>42</v>
      </c>
    </row>
    <row r="593" spans="3:9" x14ac:dyDescent="0.25">
      <c r="C593" s="1">
        <v>18</v>
      </c>
      <c r="D593" s="1">
        <v>2</v>
      </c>
      <c r="E593" s="1">
        <v>30</v>
      </c>
      <c r="F593" s="1">
        <v>8</v>
      </c>
      <c r="G593" s="1">
        <v>254</v>
      </c>
      <c r="H593" s="1">
        <v>300</v>
      </c>
      <c r="I593" s="1">
        <f t="shared" si="3"/>
        <v>46</v>
      </c>
    </row>
    <row r="594" spans="3:9" x14ac:dyDescent="0.25">
      <c r="C594" s="1">
        <v>18</v>
      </c>
      <c r="D594" s="1">
        <v>2</v>
      </c>
      <c r="E594" s="1">
        <v>30</v>
      </c>
      <c r="F594" s="1">
        <v>9</v>
      </c>
      <c r="G594" s="1">
        <v>300</v>
      </c>
      <c r="H594" s="1">
        <v>338</v>
      </c>
      <c r="I594" s="1">
        <f t="shared" si="3"/>
        <v>38</v>
      </c>
    </row>
    <row r="595" spans="3:9" x14ac:dyDescent="0.25">
      <c r="C595" s="1">
        <v>18</v>
      </c>
      <c r="D595" s="1">
        <v>2</v>
      </c>
      <c r="E595" s="1">
        <v>30</v>
      </c>
      <c r="F595" s="1">
        <v>10</v>
      </c>
      <c r="G595" s="1">
        <v>338</v>
      </c>
      <c r="H595" s="1">
        <v>380</v>
      </c>
      <c r="I595" s="1">
        <f t="shared" si="3"/>
        <v>42</v>
      </c>
    </row>
    <row r="596" spans="3:9" x14ac:dyDescent="0.25">
      <c r="C596" s="1">
        <v>18</v>
      </c>
      <c r="D596" s="1">
        <v>2</v>
      </c>
      <c r="E596" s="1">
        <v>30</v>
      </c>
      <c r="F596" s="1">
        <v>11</v>
      </c>
      <c r="G596" s="1">
        <v>380</v>
      </c>
      <c r="H596" s="1">
        <v>416</v>
      </c>
      <c r="I596" s="1">
        <f t="shared" si="3"/>
        <v>36</v>
      </c>
    </row>
    <row r="597" spans="3:9" x14ac:dyDescent="0.25">
      <c r="C597" s="1">
        <v>18</v>
      </c>
      <c r="D597" s="1">
        <v>2</v>
      </c>
      <c r="E597" s="1">
        <v>30</v>
      </c>
      <c r="F597" s="1">
        <v>12</v>
      </c>
      <c r="G597" s="1">
        <v>419</v>
      </c>
      <c r="H597" s="1">
        <v>466</v>
      </c>
      <c r="I597" s="1">
        <f t="shared" si="3"/>
        <v>47</v>
      </c>
    </row>
    <row r="598" spans="3:9" x14ac:dyDescent="0.25">
      <c r="C598" s="1">
        <v>18</v>
      </c>
      <c r="D598" s="1">
        <v>2</v>
      </c>
      <c r="E598" s="1">
        <v>30</v>
      </c>
      <c r="F598" s="1">
        <v>13</v>
      </c>
      <c r="G598" s="1">
        <v>467</v>
      </c>
      <c r="H598" s="1">
        <v>470</v>
      </c>
      <c r="I598" s="1">
        <f t="shared" si="3"/>
        <v>3</v>
      </c>
    </row>
    <row r="599" spans="3:9" x14ac:dyDescent="0.25">
      <c r="C599" s="1">
        <v>18</v>
      </c>
      <c r="D599" s="1">
        <v>2</v>
      </c>
      <c r="E599" s="1">
        <v>30</v>
      </c>
      <c r="F599" s="1">
        <v>14</v>
      </c>
      <c r="G599" s="1">
        <v>482</v>
      </c>
      <c r="H599" s="1">
        <v>529</v>
      </c>
      <c r="I599" s="1">
        <f t="shared" si="3"/>
        <v>47</v>
      </c>
    </row>
    <row r="600" spans="3:9" x14ac:dyDescent="0.25">
      <c r="C600" s="1">
        <v>18</v>
      </c>
      <c r="D600" s="1">
        <v>2</v>
      </c>
      <c r="E600" s="1">
        <v>30</v>
      </c>
      <c r="F600" s="1">
        <v>15</v>
      </c>
      <c r="G600" s="1">
        <v>532</v>
      </c>
      <c r="H600" s="1">
        <v>577</v>
      </c>
      <c r="I600" s="1">
        <f t="shared" si="3"/>
        <v>45</v>
      </c>
    </row>
    <row r="601" spans="3:9" x14ac:dyDescent="0.25">
      <c r="C601" s="1">
        <v>18</v>
      </c>
      <c r="D601" s="1">
        <v>2</v>
      </c>
      <c r="E601" s="1">
        <v>30</v>
      </c>
      <c r="F601" s="1">
        <v>16</v>
      </c>
      <c r="G601" s="1">
        <v>577</v>
      </c>
      <c r="H601" s="1">
        <v>620</v>
      </c>
      <c r="I601" s="1">
        <f t="shared" si="3"/>
        <v>43</v>
      </c>
    </row>
    <row r="602" spans="3:9" x14ac:dyDescent="0.25">
      <c r="C602" s="1">
        <v>18</v>
      </c>
      <c r="D602" s="1">
        <v>2</v>
      </c>
      <c r="E602" s="1">
        <v>30</v>
      </c>
      <c r="F602" s="1">
        <v>17</v>
      </c>
      <c r="G602" s="1">
        <v>622</v>
      </c>
      <c r="H602" s="1">
        <v>667</v>
      </c>
      <c r="I602" s="1">
        <f t="shared" si="3"/>
        <v>45</v>
      </c>
    </row>
    <row r="603" spans="3:9" x14ac:dyDescent="0.25">
      <c r="C603" s="1">
        <v>18</v>
      </c>
      <c r="D603" s="1">
        <v>2</v>
      </c>
      <c r="E603" s="1">
        <v>30</v>
      </c>
      <c r="F603" s="1">
        <v>18</v>
      </c>
      <c r="G603" s="1">
        <v>667</v>
      </c>
      <c r="H603" s="1">
        <v>715</v>
      </c>
      <c r="I603" s="1">
        <f t="shared" si="3"/>
        <v>48</v>
      </c>
    </row>
    <row r="604" spans="3:9" x14ac:dyDescent="0.25">
      <c r="C604" s="1">
        <v>18</v>
      </c>
      <c r="D604" s="1">
        <v>2</v>
      </c>
      <c r="E604" s="1">
        <v>30</v>
      </c>
      <c r="F604" s="1">
        <v>19</v>
      </c>
      <c r="G604" s="1">
        <v>715</v>
      </c>
      <c r="H604" s="1">
        <v>749</v>
      </c>
      <c r="I604" s="1">
        <f t="shared" si="3"/>
        <v>34</v>
      </c>
    </row>
    <row r="605" spans="3:9" x14ac:dyDescent="0.25">
      <c r="C605" s="1">
        <v>18</v>
      </c>
      <c r="D605" s="1">
        <v>2</v>
      </c>
      <c r="E605" s="1">
        <v>30</v>
      </c>
      <c r="F605" s="1">
        <v>20</v>
      </c>
      <c r="G605" s="1">
        <v>756</v>
      </c>
      <c r="H605" s="1">
        <v>802</v>
      </c>
      <c r="I605" s="1">
        <f t="shared" si="3"/>
        <v>46</v>
      </c>
    </row>
    <row r="606" spans="3:9" x14ac:dyDescent="0.25">
      <c r="C606" s="1">
        <v>18</v>
      </c>
      <c r="D606" s="1">
        <v>2</v>
      </c>
      <c r="E606" s="1">
        <v>30</v>
      </c>
      <c r="F606" s="1">
        <v>21</v>
      </c>
      <c r="G606" s="1">
        <v>802</v>
      </c>
      <c r="H606" s="1">
        <v>839</v>
      </c>
      <c r="I606" s="1">
        <f t="shared" si="3"/>
        <v>37</v>
      </c>
    </row>
    <row r="607" spans="3:9" x14ac:dyDescent="0.25">
      <c r="C607" s="1">
        <v>18</v>
      </c>
      <c r="D607" s="1">
        <v>2</v>
      </c>
      <c r="E607" s="1">
        <v>30</v>
      </c>
      <c r="F607" s="1">
        <v>22</v>
      </c>
      <c r="G607" s="1">
        <v>839</v>
      </c>
      <c r="H607" s="1">
        <v>881</v>
      </c>
      <c r="I607" s="1">
        <f t="shared" si="3"/>
        <v>42</v>
      </c>
    </row>
    <row r="608" spans="3:9" x14ac:dyDescent="0.25">
      <c r="C608" s="1">
        <v>18</v>
      </c>
      <c r="D608" s="1">
        <v>2</v>
      </c>
      <c r="E608" s="1">
        <v>30</v>
      </c>
      <c r="F608" s="1">
        <v>23</v>
      </c>
      <c r="G608" s="1">
        <v>881</v>
      </c>
      <c r="H608" s="1">
        <v>922</v>
      </c>
      <c r="I608" s="1">
        <f t="shared" si="3"/>
        <v>41</v>
      </c>
    </row>
    <row r="609" spans="1:10" x14ac:dyDescent="0.25">
      <c r="A609" s="5">
        <v>2</v>
      </c>
      <c r="B609" s="2">
        <v>43896</v>
      </c>
      <c r="C609" s="1">
        <v>19</v>
      </c>
      <c r="D609" s="1">
        <v>2</v>
      </c>
      <c r="E609" s="1">
        <v>30</v>
      </c>
      <c r="F609" s="1">
        <v>1</v>
      </c>
      <c r="G609" s="1">
        <v>0</v>
      </c>
      <c r="H609" s="1">
        <v>41</v>
      </c>
      <c r="I609" s="1">
        <f t="shared" si="3"/>
        <v>41</v>
      </c>
      <c r="J609" s="8">
        <f>(I609+I610+I611+I633+I632+I631+I620+I621+I622)/9</f>
        <v>34.555555555555557</v>
      </c>
    </row>
    <row r="610" spans="1:10" x14ac:dyDescent="0.25">
      <c r="C610" s="1">
        <v>19</v>
      </c>
      <c r="D610" s="1">
        <v>2</v>
      </c>
      <c r="E610" s="1">
        <v>30</v>
      </c>
      <c r="F610" s="1">
        <v>2</v>
      </c>
      <c r="G610" s="1">
        <v>41</v>
      </c>
      <c r="H610" s="1">
        <v>80</v>
      </c>
      <c r="I610" s="1">
        <f t="shared" si="3"/>
        <v>39</v>
      </c>
    </row>
    <row r="611" spans="1:10" x14ac:dyDescent="0.25">
      <c r="C611" s="1">
        <v>19</v>
      </c>
      <c r="D611" s="1">
        <v>2</v>
      </c>
      <c r="E611" s="1">
        <v>30</v>
      </c>
      <c r="F611" s="1">
        <v>3</v>
      </c>
      <c r="G611" s="1">
        <v>83</v>
      </c>
      <c r="H611" s="1">
        <v>119</v>
      </c>
      <c r="I611" s="1">
        <f t="shared" si="3"/>
        <v>36</v>
      </c>
    </row>
    <row r="612" spans="1:10" x14ac:dyDescent="0.25">
      <c r="C612" s="1">
        <v>19</v>
      </c>
      <c r="D612" s="1">
        <v>2</v>
      </c>
      <c r="E612" s="1">
        <v>30</v>
      </c>
      <c r="F612" s="1">
        <v>4</v>
      </c>
      <c r="G612" s="1">
        <v>119</v>
      </c>
      <c r="H612" s="1">
        <v>159</v>
      </c>
      <c r="I612" s="1">
        <f t="shared" si="3"/>
        <v>40</v>
      </c>
    </row>
    <row r="613" spans="1:10" x14ac:dyDescent="0.25">
      <c r="C613" s="1">
        <v>19</v>
      </c>
      <c r="D613" s="1">
        <v>2</v>
      </c>
      <c r="E613" s="1">
        <v>30</v>
      </c>
      <c r="F613" s="1">
        <v>5</v>
      </c>
      <c r="G613" s="1">
        <v>159</v>
      </c>
      <c r="H613" s="1">
        <v>193</v>
      </c>
      <c r="I613" s="1">
        <f t="shared" si="3"/>
        <v>34</v>
      </c>
    </row>
    <row r="614" spans="1:10" x14ac:dyDescent="0.25">
      <c r="C614" s="1">
        <v>19</v>
      </c>
      <c r="D614" s="1">
        <v>2</v>
      </c>
      <c r="E614" s="1">
        <v>30</v>
      </c>
      <c r="F614" s="1">
        <v>6</v>
      </c>
      <c r="G614" s="1">
        <v>193</v>
      </c>
      <c r="H614" s="1">
        <v>224</v>
      </c>
      <c r="I614" s="1">
        <f t="shared" si="3"/>
        <v>31</v>
      </c>
    </row>
    <row r="615" spans="1:10" x14ac:dyDescent="0.25">
      <c r="C615" s="1">
        <v>19</v>
      </c>
      <c r="D615" s="1">
        <v>2</v>
      </c>
      <c r="E615" s="1">
        <v>30</v>
      </c>
      <c r="F615" s="1">
        <v>7</v>
      </c>
      <c r="G615" s="1">
        <v>224</v>
      </c>
      <c r="H615" s="1">
        <v>257</v>
      </c>
      <c r="I615" s="1">
        <f t="shared" si="3"/>
        <v>33</v>
      </c>
    </row>
    <row r="616" spans="1:10" x14ac:dyDescent="0.25">
      <c r="C616" s="1">
        <v>19</v>
      </c>
      <c r="D616" s="1">
        <v>2</v>
      </c>
      <c r="E616" s="1">
        <v>30</v>
      </c>
      <c r="F616" s="1">
        <v>8</v>
      </c>
      <c r="G616" s="1">
        <v>257</v>
      </c>
      <c r="H616" s="1">
        <v>288</v>
      </c>
      <c r="I616" s="1">
        <f t="shared" si="3"/>
        <v>31</v>
      </c>
    </row>
    <row r="617" spans="1:10" x14ac:dyDescent="0.25">
      <c r="C617" s="1">
        <v>19</v>
      </c>
      <c r="D617" s="1">
        <v>2</v>
      </c>
      <c r="E617" s="1">
        <v>30</v>
      </c>
      <c r="F617" s="1">
        <v>9</v>
      </c>
      <c r="G617" s="1">
        <v>288</v>
      </c>
      <c r="H617" s="1">
        <v>323</v>
      </c>
      <c r="I617" s="1">
        <f t="shared" si="3"/>
        <v>35</v>
      </c>
    </row>
    <row r="618" spans="1:10" x14ac:dyDescent="0.25">
      <c r="C618" s="1">
        <v>19</v>
      </c>
      <c r="D618" s="1">
        <v>2</v>
      </c>
      <c r="E618" s="1">
        <v>30</v>
      </c>
      <c r="F618" s="1">
        <v>10</v>
      </c>
      <c r="G618" s="1">
        <v>323</v>
      </c>
      <c r="H618" s="1">
        <v>359</v>
      </c>
      <c r="I618" s="1">
        <f t="shared" si="3"/>
        <v>36</v>
      </c>
    </row>
    <row r="619" spans="1:10" x14ac:dyDescent="0.25">
      <c r="C619" s="1">
        <v>19</v>
      </c>
      <c r="D619" s="1">
        <v>2</v>
      </c>
      <c r="E619" s="1">
        <v>30</v>
      </c>
      <c r="F619" s="1">
        <v>11</v>
      </c>
      <c r="G619" s="1">
        <v>359</v>
      </c>
      <c r="H619" s="1">
        <v>383</v>
      </c>
      <c r="I619" s="1">
        <f t="shared" si="3"/>
        <v>24</v>
      </c>
    </row>
    <row r="620" spans="1:10" x14ac:dyDescent="0.25">
      <c r="C620" s="1">
        <v>19</v>
      </c>
      <c r="D620" s="1">
        <v>2</v>
      </c>
      <c r="E620" s="1">
        <v>30</v>
      </c>
      <c r="F620" s="1">
        <v>12</v>
      </c>
      <c r="G620" s="1">
        <v>383</v>
      </c>
      <c r="H620" s="1">
        <v>407</v>
      </c>
      <c r="I620" s="1">
        <f t="shared" si="3"/>
        <v>24</v>
      </c>
    </row>
    <row r="621" spans="1:10" x14ac:dyDescent="0.25">
      <c r="C621" s="1">
        <v>19</v>
      </c>
      <c r="D621" s="1">
        <v>2</v>
      </c>
      <c r="E621" s="1">
        <v>30</v>
      </c>
      <c r="F621" s="1">
        <v>13</v>
      </c>
      <c r="G621" s="1">
        <v>407</v>
      </c>
      <c r="H621" s="1">
        <v>441</v>
      </c>
      <c r="I621" s="1">
        <f t="shared" si="3"/>
        <v>34</v>
      </c>
    </row>
    <row r="622" spans="1:10" x14ac:dyDescent="0.25">
      <c r="C622" s="1">
        <v>19</v>
      </c>
      <c r="D622" s="1">
        <v>2</v>
      </c>
      <c r="E622" s="1">
        <v>30</v>
      </c>
      <c r="F622" s="1">
        <v>14</v>
      </c>
      <c r="G622" s="1">
        <v>441</v>
      </c>
      <c r="H622" s="1">
        <v>453</v>
      </c>
      <c r="I622" s="1">
        <f t="shared" si="3"/>
        <v>12</v>
      </c>
    </row>
    <row r="623" spans="1:10" x14ac:dyDescent="0.25">
      <c r="C623" s="1">
        <v>19</v>
      </c>
      <c r="D623" s="1">
        <v>2</v>
      </c>
      <c r="E623" s="1">
        <v>30</v>
      </c>
      <c r="F623" s="1">
        <v>15</v>
      </c>
      <c r="G623" s="1">
        <v>457</v>
      </c>
      <c r="H623" s="1">
        <v>505</v>
      </c>
      <c r="I623" s="1">
        <f t="shared" si="3"/>
        <v>48</v>
      </c>
    </row>
    <row r="624" spans="1:10" x14ac:dyDescent="0.25">
      <c r="C624" s="1">
        <v>19</v>
      </c>
      <c r="D624" s="1">
        <v>2</v>
      </c>
      <c r="E624" s="1">
        <v>30</v>
      </c>
      <c r="F624" s="1">
        <v>16</v>
      </c>
      <c r="G624" s="1">
        <v>505</v>
      </c>
      <c r="H624" s="1">
        <v>553</v>
      </c>
      <c r="I624" s="1">
        <f t="shared" si="3"/>
        <v>48</v>
      </c>
    </row>
    <row r="625" spans="1:10" x14ac:dyDescent="0.25">
      <c r="C625" s="1">
        <v>19</v>
      </c>
      <c r="D625" s="1">
        <v>2</v>
      </c>
      <c r="E625" s="1">
        <v>30</v>
      </c>
      <c r="F625" s="1">
        <v>17</v>
      </c>
      <c r="G625" s="1">
        <v>553</v>
      </c>
      <c r="H625" s="1">
        <v>612</v>
      </c>
      <c r="I625" s="1">
        <f t="shared" si="3"/>
        <v>59</v>
      </c>
    </row>
    <row r="626" spans="1:10" x14ac:dyDescent="0.25">
      <c r="C626" s="1">
        <v>19</v>
      </c>
      <c r="D626" s="1">
        <v>2</v>
      </c>
      <c r="E626" s="1">
        <v>30</v>
      </c>
      <c r="F626" s="1">
        <v>18</v>
      </c>
      <c r="G626" s="1">
        <v>612</v>
      </c>
      <c r="H626" s="1">
        <v>660</v>
      </c>
      <c r="I626" s="1">
        <f t="shared" si="3"/>
        <v>48</v>
      </c>
    </row>
    <row r="627" spans="1:10" x14ac:dyDescent="0.25">
      <c r="C627" s="1">
        <v>19</v>
      </c>
      <c r="D627" s="1">
        <v>2</v>
      </c>
      <c r="E627" s="1">
        <v>30</v>
      </c>
      <c r="F627" s="1">
        <v>19</v>
      </c>
      <c r="G627" s="1">
        <v>660</v>
      </c>
      <c r="H627" s="1">
        <v>713</v>
      </c>
      <c r="I627" s="1">
        <f t="shared" si="3"/>
        <v>53</v>
      </c>
    </row>
    <row r="628" spans="1:10" x14ac:dyDescent="0.25">
      <c r="C628" s="1">
        <v>19</v>
      </c>
      <c r="D628" s="1">
        <v>2</v>
      </c>
      <c r="E628" s="1">
        <v>30</v>
      </c>
      <c r="F628" s="1">
        <v>20</v>
      </c>
      <c r="G628" s="1">
        <v>716</v>
      </c>
      <c r="H628" s="1">
        <v>760</v>
      </c>
      <c r="I628" s="1">
        <f t="shared" si="3"/>
        <v>44</v>
      </c>
    </row>
    <row r="629" spans="1:10" x14ac:dyDescent="0.25">
      <c r="C629" s="1">
        <v>19</v>
      </c>
      <c r="D629" s="1">
        <v>2</v>
      </c>
      <c r="E629" s="1">
        <v>30</v>
      </c>
      <c r="F629" s="1">
        <v>21</v>
      </c>
      <c r="G629" s="1">
        <v>760</v>
      </c>
      <c r="H629" s="1">
        <v>805</v>
      </c>
      <c r="I629" s="1">
        <f t="shared" si="3"/>
        <v>45</v>
      </c>
    </row>
    <row r="630" spans="1:10" x14ac:dyDescent="0.25">
      <c r="C630" s="1">
        <v>19</v>
      </c>
      <c r="D630" s="1">
        <v>2</v>
      </c>
      <c r="E630" s="1">
        <v>30</v>
      </c>
      <c r="F630" s="1">
        <v>22</v>
      </c>
      <c r="G630" s="1">
        <v>810</v>
      </c>
      <c r="H630" s="1">
        <v>851</v>
      </c>
      <c r="I630" s="1">
        <f t="shared" si="3"/>
        <v>41</v>
      </c>
    </row>
    <row r="631" spans="1:10" x14ac:dyDescent="0.25">
      <c r="C631" s="1">
        <v>19</v>
      </c>
      <c r="D631" s="1">
        <v>2</v>
      </c>
      <c r="E631" s="1">
        <v>30</v>
      </c>
      <c r="F631" s="1">
        <v>23</v>
      </c>
      <c r="G631" s="1">
        <v>851</v>
      </c>
      <c r="H631" s="1">
        <v>889</v>
      </c>
      <c r="I631" s="1">
        <f t="shared" si="3"/>
        <v>38</v>
      </c>
    </row>
    <row r="632" spans="1:10" x14ac:dyDescent="0.25">
      <c r="C632" s="1">
        <v>19</v>
      </c>
      <c r="D632" s="1">
        <v>2</v>
      </c>
      <c r="E632" s="1">
        <v>30</v>
      </c>
      <c r="F632" s="1">
        <v>24</v>
      </c>
      <c r="G632" s="1">
        <v>897</v>
      </c>
      <c r="H632" s="1">
        <v>945</v>
      </c>
      <c r="I632" s="1">
        <f t="shared" si="3"/>
        <v>48</v>
      </c>
    </row>
    <row r="633" spans="1:10" x14ac:dyDescent="0.25">
      <c r="C633" s="1">
        <v>19</v>
      </c>
      <c r="D633" s="1">
        <v>2</v>
      </c>
      <c r="E633" s="1">
        <v>30</v>
      </c>
      <c r="F633" s="1">
        <v>25</v>
      </c>
      <c r="G633" s="1">
        <v>945</v>
      </c>
      <c r="H633" s="1">
        <v>984</v>
      </c>
      <c r="I633" s="1">
        <f t="shared" si="3"/>
        <v>39</v>
      </c>
    </row>
    <row r="634" spans="1:10" x14ac:dyDescent="0.25">
      <c r="A634" s="5">
        <v>2</v>
      </c>
      <c r="B634" s="2">
        <v>43894</v>
      </c>
      <c r="C634" s="1">
        <v>20</v>
      </c>
      <c r="D634" s="1">
        <v>2</v>
      </c>
      <c r="E634" s="1">
        <v>30</v>
      </c>
      <c r="F634" s="1">
        <v>1</v>
      </c>
      <c r="G634" s="1">
        <v>0</v>
      </c>
      <c r="H634" s="1">
        <v>45</v>
      </c>
      <c r="I634" s="1">
        <f t="shared" si="3"/>
        <v>45</v>
      </c>
      <c r="J634" s="8">
        <f>(I634+I635+I636+I658+I657+I656+I645+I646+I647)/9</f>
        <v>44.333333333333336</v>
      </c>
    </row>
    <row r="635" spans="1:10" x14ac:dyDescent="0.25">
      <c r="C635" s="1">
        <v>20</v>
      </c>
      <c r="D635" s="1">
        <v>2</v>
      </c>
      <c r="E635" s="1">
        <v>30</v>
      </c>
      <c r="F635" s="1">
        <v>2</v>
      </c>
      <c r="G635" s="1">
        <v>45</v>
      </c>
      <c r="H635" s="1">
        <v>81</v>
      </c>
      <c r="I635" s="1">
        <f t="shared" si="3"/>
        <v>36</v>
      </c>
    </row>
    <row r="636" spans="1:10" x14ac:dyDescent="0.25">
      <c r="C636" s="1">
        <v>20</v>
      </c>
      <c r="D636" s="1">
        <v>2</v>
      </c>
      <c r="E636" s="1">
        <v>30</v>
      </c>
      <c r="F636" s="1">
        <v>3</v>
      </c>
      <c r="G636" s="1">
        <v>81</v>
      </c>
      <c r="H636" s="1">
        <v>127</v>
      </c>
      <c r="I636" s="1">
        <f t="shared" si="3"/>
        <v>46</v>
      </c>
    </row>
    <row r="637" spans="1:10" x14ac:dyDescent="0.25">
      <c r="C637" s="1">
        <v>20</v>
      </c>
      <c r="D637" s="1">
        <v>2</v>
      </c>
      <c r="E637" s="1">
        <v>30</v>
      </c>
      <c r="F637" s="1">
        <v>4</v>
      </c>
      <c r="G637" s="1">
        <v>127</v>
      </c>
      <c r="H637" s="1">
        <v>160</v>
      </c>
      <c r="I637" s="1">
        <f t="shared" si="3"/>
        <v>33</v>
      </c>
    </row>
    <row r="638" spans="1:10" x14ac:dyDescent="0.25">
      <c r="C638" s="1">
        <v>20</v>
      </c>
      <c r="D638" s="1">
        <v>2</v>
      </c>
      <c r="E638" s="1">
        <v>30</v>
      </c>
      <c r="F638" s="1">
        <v>5</v>
      </c>
      <c r="G638" s="1">
        <v>161</v>
      </c>
      <c r="H638" s="1">
        <v>209</v>
      </c>
      <c r="I638" s="1">
        <f t="shared" si="3"/>
        <v>48</v>
      </c>
    </row>
    <row r="639" spans="1:10" x14ac:dyDescent="0.25">
      <c r="C639" s="1">
        <v>20</v>
      </c>
      <c r="D639" s="1">
        <v>2</v>
      </c>
      <c r="E639" s="1">
        <v>30</v>
      </c>
      <c r="F639" s="1">
        <v>6</v>
      </c>
      <c r="G639" s="1">
        <v>210</v>
      </c>
      <c r="H639" s="1">
        <v>249</v>
      </c>
      <c r="I639" s="1">
        <f t="shared" si="3"/>
        <v>39</v>
      </c>
    </row>
    <row r="640" spans="1:10" x14ac:dyDescent="0.25">
      <c r="C640" s="1">
        <v>20</v>
      </c>
      <c r="D640" s="1">
        <v>2</v>
      </c>
      <c r="E640" s="1">
        <v>30</v>
      </c>
      <c r="F640" s="1">
        <v>7</v>
      </c>
      <c r="G640" s="1">
        <v>249</v>
      </c>
      <c r="H640" s="1">
        <v>296</v>
      </c>
      <c r="I640" s="1">
        <f t="shared" si="3"/>
        <v>47</v>
      </c>
    </row>
    <row r="641" spans="3:9" x14ac:dyDescent="0.25">
      <c r="C641" s="1">
        <v>20</v>
      </c>
      <c r="D641" s="1">
        <v>2</v>
      </c>
      <c r="E641" s="1">
        <v>30</v>
      </c>
      <c r="F641" s="1">
        <v>8</v>
      </c>
      <c r="G641" s="1">
        <v>296</v>
      </c>
      <c r="H641" s="1">
        <v>343</v>
      </c>
      <c r="I641" s="1">
        <f t="shared" si="3"/>
        <v>47</v>
      </c>
    </row>
    <row r="642" spans="3:9" x14ac:dyDescent="0.25">
      <c r="C642" s="1">
        <v>20</v>
      </c>
      <c r="D642" s="1">
        <v>2</v>
      </c>
      <c r="E642" s="1">
        <v>30</v>
      </c>
      <c r="F642" s="1">
        <v>9</v>
      </c>
      <c r="G642" s="1">
        <v>346</v>
      </c>
      <c r="H642" s="1">
        <v>402</v>
      </c>
      <c r="I642" s="1">
        <f t="shared" si="3"/>
        <v>56</v>
      </c>
    </row>
    <row r="643" spans="3:9" x14ac:dyDescent="0.25">
      <c r="C643" s="1">
        <v>20</v>
      </c>
      <c r="D643" s="1">
        <v>2</v>
      </c>
      <c r="E643" s="1">
        <v>30</v>
      </c>
      <c r="F643" s="1">
        <v>10</v>
      </c>
      <c r="G643" s="1">
        <v>402</v>
      </c>
      <c r="H643" s="1">
        <v>439</v>
      </c>
      <c r="I643" s="1">
        <f t="shared" si="3"/>
        <v>37</v>
      </c>
    </row>
    <row r="644" spans="3:9" x14ac:dyDescent="0.25">
      <c r="C644" s="1">
        <v>20</v>
      </c>
      <c r="D644" s="1">
        <v>2</v>
      </c>
      <c r="E644" s="1">
        <v>30</v>
      </c>
      <c r="F644" s="1">
        <v>11</v>
      </c>
      <c r="G644" s="1">
        <v>439</v>
      </c>
      <c r="H644" s="1">
        <v>482</v>
      </c>
      <c r="I644" s="1">
        <f t="shared" si="3"/>
        <v>43</v>
      </c>
    </row>
    <row r="645" spans="3:9" x14ac:dyDescent="0.25">
      <c r="C645" s="1">
        <v>20</v>
      </c>
      <c r="D645" s="1">
        <v>2</v>
      </c>
      <c r="E645" s="1">
        <v>30</v>
      </c>
      <c r="F645" s="1">
        <v>12</v>
      </c>
      <c r="G645" s="1">
        <v>482</v>
      </c>
      <c r="H645" s="1">
        <v>519</v>
      </c>
      <c r="I645" s="1">
        <f t="shared" si="3"/>
        <v>37</v>
      </c>
    </row>
    <row r="646" spans="3:9" x14ac:dyDescent="0.25">
      <c r="C646" s="1">
        <v>20</v>
      </c>
      <c r="D646" s="1">
        <v>2</v>
      </c>
      <c r="E646" s="1">
        <v>30</v>
      </c>
      <c r="F646" s="1">
        <v>13</v>
      </c>
      <c r="G646" s="1">
        <v>519</v>
      </c>
      <c r="H646" s="1">
        <v>558</v>
      </c>
      <c r="I646" s="1">
        <f t="shared" si="3"/>
        <v>39</v>
      </c>
    </row>
    <row r="647" spans="3:9" x14ac:dyDescent="0.25">
      <c r="C647" s="1">
        <v>20</v>
      </c>
      <c r="D647" s="1">
        <v>2</v>
      </c>
      <c r="E647" s="1">
        <v>30</v>
      </c>
      <c r="F647" s="1">
        <v>14</v>
      </c>
      <c r="G647" s="1">
        <v>558</v>
      </c>
      <c r="H647" s="1">
        <v>609</v>
      </c>
      <c r="I647" s="1">
        <f t="shared" si="3"/>
        <v>51</v>
      </c>
    </row>
    <row r="648" spans="3:9" x14ac:dyDescent="0.25">
      <c r="C648" s="1">
        <v>20</v>
      </c>
      <c r="D648" s="1">
        <v>2</v>
      </c>
      <c r="E648" s="1">
        <v>30</v>
      </c>
      <c r="F648" s="1">
        <v>15</v>
      </c>
      <c r="G648" s="1">
        <v>609</v>
      </c>
      <c r="H648" s="1">
        <v>660</v>
      </c>
      <c r="I648" s="1">
        <f t="shared" si="3"/>
        <v>51</v>
      </c>
    </row>
    <row r="649" spans="3:9" x14ac:dyDescent="0.25">
      <c r="C649" s="1">
        <v>20</v>
      </c>
      <c r="D649" s="1">
        <v>2</v>
      </c>
      <c r="E649" s="1">
        <v>30</v>
      </c>
      <c r="F649" s="1">
        <v>16</v>
      </c>
      <c r="G649" s="1">
        <v>663</v>
      </c>
      <c r="H649" s="1">
        <v>710</v>
      </c>
      <c r="I649" s="1">
        <f t="shared" si="3"/>
        <v>47</v>
      </c>
    </row>
    <row r="650" spans="3:9" x14ac:dyDescent="0.25">
      <c r="C650" s="1">
        <v>20</v>
      </c>
      <c r="D650" s="1">
        <v>2</v>
      </c>
      <c r="E650" s="1">
        <v>30</v>
      </c>
      <c r="F650" s="1">
        <v>17</v>
      </c>
      <c r="G650" s="1">
        <v>711</v>
      </c>
      <c r="H650" s="1">
        <v>764</v>
      </c>
      <c r="I650" s="1">
        <f t="shared" si="3"/>
        <v>53</v>
      </c>
    </row>
    <row r="651" spans="3:9" x14ac:dyDescent="0.25">
      <c r="C651" s="1">
        <v>20</v>
      </c>
      <c r="D651" s="1">
        <v>2</v>
      </c>
      <c r="E651" s="1">
        <v>30</v>
      </c>
      <c r="F651" s="1">
        <v>18</v>
      </c>
      <c r="G651" s="1">
        <v>764</v>
      </c>
      <c r="H651" s="1">
        <v>812</v>
      </c>
      <c r="I651" s="1">
        <f t="shared" si="3"/>
        <v>48</v>
      </c>
    </row>
    <row r="652" spans="3:9" x14ac:dyDescent="0.25">
      <c r="C652" s="1">
        <v>20</v>
      </c>
      <c r="D652" s="1">
        <v>2</v>
      </c>
      <c r="E652" s="1">
        <v>30</v>
      </c>
      <c r="F652" s="1">
        <v>19</v>
      </c>
      <c r="G652" s="1">
        <v>817</v>
      </c>
      <c r="H652" s="1">
        <v>871</v>
      </c>
      <c r="I652" s="1">
        <f t="shared" si="3"/>
        <v>54</v>
      </c>
    </row>
    <row r="653" spans="3:9" x14ac:dyDescent="0.25">
      <c r="C653" s="1">
        <v>20</v>
      </c>
      <c r="D653" s="1">
        <v>2</v>
      </c>
      <c r="E653" s="1">
        <v>30</v>
      </c>
      <c r="F653" s="1">
        <v>20</v>
      </c>
      <c r="G653" s="1">
        <v>871</v>
      </c>
      <c r="H653" s="1">
        <v>912</v>
      </c>
      <c r="I653" s="1">
        <f t="shared" si="3"/>
        <v>41</v>
      </c>
    </row>
    <row r="654" spans="3:9" x14ac:dyDescent="0.25">
      <c r="C654" s="1">
        <v>20</v>
      </c>
      <c r="D654" s="1">
        <v>2</v>
      </c>
      <c r="E654" s="1">
        <v>30</v>
      </c>
      <c r="F654" s="1">
        <v>21</v>
      </c>
      <c r="G654" s="1">
        <v>916</v>
      </c>
      <c r="H654" s="1">
        <v>958</v>
      </c>
      <c r="I654" s="1">
        <f t="shared" si="3"/>
        <v>42</v>
      </c>
    </row>
    <row r="655" spans="3:9" x14ac:dyDescent="0.25">
      <c r="C655" s="1">
        <v>20</v>
      </c>
      <c r="D655" s="1">
        <v>2</v>
      </c>
      <c r="E655" s="1">
        <v>30</v>
      </c>
      <c r="F655" s="1">
        <v>22</v>
      </c>
      <c r="G655" s="1">
        <v>958</v>
      </c>
      <c r="H655" s="1">
        <v>1013</v>
      </c>
      <c r="I655" s="1">
        <f t="shared" si="3"/>
        <v>55</v>
      </c>
    </row>
    <row r="656" spans="3:9" x14ac:dyDescent="0.25">
      <c r="C656" s="1">
        <v>20</v>
      </c>
      <c r="D656" s="1">
        <v>2</v>
      </c>
      <c r="E656" s="1">
        <v>30</v>
      </c>
      <c r="F656" s="1">
        <v>23</v>
      </c>
      <c r="G656" s="1">
        <v>1013</v>
      </c>
      <c r="H656" s="1">
        <v>1060</v>
      </c>
      <c r="I656" s="1">
        <f t="shared" si="3"/>
        <v>47</v>
      </c>
    </row>
    <row r="657" spans="1:10" x14ac:dyDescent="0.25">
      <c r="C657" s="1">
        <v>20</v>
      </c>
      <c r="D657" s="1">
        <v>2</v>
      </c>
      <c r="E657" s="1">
        <v>30</v>
      </c>
      <c r="F657" s="1">
        <v>24</v>
      </c>
      <c r="G657" s="1">
        <v>1060</v>
      </c>
      <c r="H657" s="1">
        <v>1110</v>
      </c>
      <c r="I657" s="1">
        <f t="shared" si="3"/>
        <v>50</v>
      </c>
    </row>
    <row r="658" spans="1:10" x14ac:dyDescent="0.25">
      <c r="C658" s="1">
        <v>20</v>
      </c>
      <c r="D658" s="1">
        <v>2</v>
      </c>
      <c r="E658" s="1">
        <v>30</v>
      </c>
      <c r="F658" s="1">
        <v>25</v>
      </c>
      <c r="G658" s="1">
        <v>1110</v>
      </c>
      <c r="H658" s="1">
        <v>1158</v>
      </c>
      <c r="I658" s="1">
        <f t="shared" si="3"/>
        <v>48</v>
      </c>
    </row>
    <row r="659" spans="1:10" x14ac:dyDescent="0.25">
      <c r="A659" s="5">
        <v>1</v>
      </c>
      <c r="B659" s="2">
        <v>43969</v>
      </c>
      <c r="C659" s="1">
        <v>21</v>
      </c>
      <c r="D659" s="1">
        <v>2</v>
      </c>
      <c r="E659" s="1">
        <v>30</v>
      </c>
      <c r="F659" s="1">
        <v>1</v>
      </c>
      <c r="G659" s="1">
        <v>1</v>
      </c>
      <c r="H659" s="1">
        <v>52</v>
      </c>
      <c r="I659" s="1">
        <f t="shared" si="3"/>
        <v>51</v>
      </c>
      <c r="J659" s="8">
        <f>(I659+I660+I661+I683+I682+I681+I670+I669+I671)/9</f>
        <v>47</v>
      </c>
    </row>
    <row r="660" spans="1:10" x14ac:dyDescent="0.25">
      <c r="C660" s="1">
        <v>21</v>
      </c>
      <c r="D660" s="1">
        <v>2</v>
      </c>
      <c r="E660" s="1">
        <v>30</v>
      </c>
      <c r="F660" s="1">
        <v>2</v>
      </c>
      <c r="G660" s="1">
        <v>53</v>
      </c>
      <c r="H660" s="1">
        <v>98</v>
      </c>
      <c r="I660" s="1">
        <f t="shared" si="3"/>
        <v>45</v>
      </c>
    </row>
    <row r="661" spans="1:10" x14ac:dyDescent="0.25">
      <c r="C661" s="1">
        <v>21</v>
      </c>
      <c r="D661" s="1">
        <v>2</v>
      </c>
      <c r="E661" s="1">
        <v>30</v>
      </c>
      <c r="F661" s="1">
        <v>3</v>
      </c>
      <c r="G661" s="1">
        <v>101</v>
      </c>
      <c r="H661" s="1">
        <v>149</v>
      </c>
      <c r="I661" s="1">
        <f t="shared" si="3"/>
        <v>48</v>
      </c>
    </row>
    <row r="662" spans="1:10" x14ac:dyDescent="0.25">
      <c r="C662" s="1">
        <v>21</v>
      </c>
      <c r="D662" s="1">
        <v>2</v>
      </c>
      <c r="E662" s="1">
        <v>30</v>
      </c>
      <c r="F662" s="1">
        <v>4</v>
      </c>
      <c r="G662" s="1">
        <v>149</v>
      </c>
      <c r="H662" s="1">
        <v>187</v>
      </c>
      <c r="I662" s="1">
        <f t="shared" si="3"/>
        <v>38</v>
      </c>
    </row>
    <row r="663" spans="1:10" x14ac:dyDescent="0.25">
      <c r="C663" s="1">
        <v>21</v>
      </c>
      <c r="D663" s="1">
        <v>2</v>
      </c>
      <c r="E663" s="1">
        <v>30</v>
      </c>
      <c r="F663" s="1">
        <v>5</v>
      </c>
      <c r="G663" s="1">
        <v>187</v>
      </c>
      <c r="H663" s="1">
        <v>241</v>
      </c>
      <c r="I663" s="1">
        <f t="shared" si="3"/>
        <v>54</v>
      </c>
    </row>
    <row r="664" spans="1:10" x14ac:dyDescent="0.25">
      <c r="C664" s="1">
        <v>21</v>
      </c>
      <c r="D664" s="1">
        <v>2</v>
      </c>
      <c r="E664" s="1">
        <v>30</v>
      </c>
      <c r="F664" s="1">
        <v>6</v>
      </c>
      <c r="G664" s="1">
        <v>241</v>
      </c>
      <c r="H664" s="1">
        <v>292</v>
      </c>
      <c r="I664" s="1">
        <f t="shared" si="3"/>
        <v>51</v>
      </c>
    </row>
    <row r="665" spans="1:10" x14ac:dyDescent="0.25">
      <c r="C665" s="1">
        <v>21</v>
      </c>
      <c r="D665" s="1">
        <v>2</v>
      </c>
      <c r="E665" s="1">
        <v>30</v>
      </c>
      <c r="F665" s="1">
        <v>7</v>
      </c>
      <c r="G665" s="1">
        <v>292</v>
      </c>
      <c r="H665" s="1">
        <v>345</v>
      </c>
      <c r="I665" s="1">
        <f t="shared" si="3"/>
        <v>53</v>
      </c>
    </row>
    <row r="666" spans="1:10" x14ac:dyDescent="0.25">
      <c r="C666" s="1">
        <v>21</v>
      </c>
      <c r="D666" s="1">
        <v>2</v>
      </c>
      <c r="E666" s="1">
        <v>30</v>
      </c>
      <c r="F666" s="1">
        <v>8</v>
      </c>
      <c r="G666" s="1">
        <v>345</v>
      </c>
      <c r="H666" s="1">
        <v>396</v>
      </c>
      <c r="I666" s="1">
        <f t="shared" si="3"/>
        <v>51</v>
      </c>
    </row>
    <row r="667" spans="1:10" x14ac:dyDescent="0.25">
      <c r="C667" s="1">
        <v>21</v>
      </c>
      <c r="D667" s="1">
        <v>2</v>
      </c>
      <c r="E667" s="1">
        <v>30</v>
      </c>
      <c r="F667" s="1">
        <v>9</v>
      </c>
      <c r="G667" s="1">
        <v>396</v>
      </c>
      <c r="H667" s="1">
        <v>448</v>
      </c>
      <c r="I667" s="1">
        <f t="shared" si="3"/>
        <v>52</v>
      </c>
    </row>
    <row r="668" spans="1:10" x14ac:dyDescent="0.25">
      <c r="C668" s="1">
        <v>21</v>
      </c>
      <c r="D668" s="1">
        <v>2</v>
      </c>
      <c r="E668" s="1">
        <v>30</v>
      </c>
      <c r="F668" s="1">
        <v>10</v>
      </c>
      <c r="G668" s="1">
        <v>448</v>
      </c>
      <c r="H668" s="1">
        <v>490</v>
      </c>
      <c r="I668" s="1">
        <f t="shared" si="3"/>
        <v>42</v>
      </c>
    </row>
    <row r="669" spans="1:10" x14ac:dyDescent="0.25">
      <c r="C669" s="1">
        <v>21</v>
      </c>
      <c r="D669" s="1">
        <v>2</v>
      </c>
      <c r="E669" s="1">
        <v>30</v>
      </c>
      <c r="F669" s="1">
        <v>11</v>
      </c>
      <c r="G669" s="1">
        <v>490</v>
      </c>
      <c r="H669" s="1">
        <v>542</v>
      </c>
      <c r="I669" s="1">
        <f t="shared" si="3"/>
        <v>52</v>
      </c>
    </row>
    <row r="670" spans="1:10" x14ac:dyDescent="0.25">
      <c r="C670" s="1">
        <v>21</v>
      </c>
      <c r="D670" s="1">
        <v>2</v>
      </c>
      <c r="E670" s="1">
        <v>30</v>
      </c>
      <c r="F670" s="1">
        <v>12</v>
      </c>
      <c r="G670" s="1">
        <v>542</v>
      </c>
      <c r="H670" s="1">
        <v>585</v>
      </c>
      <c r="I670" s="1">
        <f t="shared" si="3"/>
        <v>43</v>
      </c>
    </row>
    <row r="671" spans="1:10" x14ac:dyDescent="0.25">
      <c r="C671" s="1">
        <v>21</v>
      </c>
      <c r="D671" s="1">
        <v>2</v>
      </c>
      <c r="E671" s="1">
        <v>30</v>
      </c>
      <c r="F671" s="1">
        <v>13</v>
      </c>
      <c r="G671" s="1">
        <v>585</v>
      </c>
      <c r="H671" s="1">
        <v>630</v>
      </c>
      <c r="I671" s="1">
        <f t="shared" si="3"/>
        <v>45</v>
      </c>
    </row>
    <row r="672" spans="1:10" x14ac:dyDescent="0.25">
      <c r="C672" s="1">
        <v>21</v>
      </c>
      <c r="D672" s="1">
        <v>2</v>
      </c>
      <c r="E672" s="1">
        <v>30</v>
      </c>
      <c r="F672" s="1">
        <v>14</v>
      </c>
      <c r="G672" s="1">
        <v>630</v>
      </c>
      <c r="H672" s="1">
        <v>676</v>
      </c>
      <c r="I672" s="1">
        <f t="shared" si="3"/>
        <v>46</v>
      </c>
    </row>
    <row r="673" spans="1:10" x14ac:dyDescent="0.25">
      <c r="C673" s="1">
        <v>21</v>
      </c>
      <c r="D673" s="1">
        <v>2</v>
      </c>
      <c r="E673" s="1">
        <v>30</v>
      </c>
      <c r="F673" s="1">
        <v>15</v>
      </c>
      <c r="G673" s="1">
        <v>676</v>
      </c>
      <c r="H673" s="1">
        <v>729</v>
      </c>
      <c r="I673" s="1">
        <f t="shared" si="3"/>
        <v>53</v>
      </c>
    </row>
    <row r="674" spans="1:10" x14ac:dyDescent="0.25">
      <c r="C674" s="1">
        <v>21</v>
      </c>
      <c r="D674" s="1">
        <v>2</v>
      </c>
      <c r="E674" s="1">
        <v>30</v>
      </c>
      <c r="F674" s="1">
        <v>16</v>
      </c>
      <c r="G674" s="1">
        <v>729</v>
      </c>
      <c r="H674" s="1">
        <v>778</v>
      </c>
      <c r="I674" s="1">
        <f t="shared" si="3"/>
        <v>49</v>
      </c>
    </row>
    <row r="675" spans="1:10" x14ac:dyDescent="0.25">
      <c r="C675" s="1">
        <v>21</v>
      </c>
      <c r="D675" s="1">
        <v>2</v>
      </c>
      <c r="E675" s="1">
        <v>30</v>
      </c>
      <c r="F675" s="1">
        <v>17</v>
      </c>
      <c r="G675" s="1">
        <v>778</v>
      </c>
      <c r="H675" s="1">
        <v>827</v>
      </c>
      <c r="I675" s="1">
        <f t="shared" si="3"/>
        <v>49</v>
      </c>
    </row>
    <row r="676" spans="1:10" x14ac:dyDescent="0.25">
      <c r="C676" s="1">
        <v>21</v>
      </c>
      <c r="D676" s="1">
        <v>2</v>
      </c>
      <c r="E676" s="1">
        <v>30</v>
      </c>
      <c r="F676" s="1">
        <v>18</v>
      </c>
      <c r="G676" s="1">
        <v>827</v>
      </c>
      <c r="H676" s="1">
        <v>876</v>
      </c>
      <c r="I676" s="1">
        <f t="shared" si="3"/>
        <v>49</v>
      </c>
    </row>
    <row r="677" spans="1:10" x14ac:dyDescent="0.25">
      <c r="C677" s="1">
        <v>21</v>
      </c>
      <c r="D677" s="1">
        <v>2</v>
      </c>
      <c r="E677" s="1">
        <v>30</v>
      </c>
      <c r="F677" s="1">
        <v>19</v>
      </c>
      <c r="G677" s="1">
        <v>876</v>
      </c>
      <c r="H677" s="1">
        <v>929</v>
      </c>
      <c r="I677" s="1">
        <f t="shared" si="3"/>
        <v>53</v>
      </c>
    </row>
    <row r="678" spans="1:10" x14ac:dyDescent="0.25">
      <c r="C678" s="1">
        <v>21</v>
      </c>
      <c r="D678" s="1">
        <v>2</v>
      </c>
      <c r="E678" s="1">
        <v>30</v>
      </c>
      <c r="F678" s="1">
        <v>20</v>
      </c>
      <c r="G678" s="1">
        <v>929</v>
      </c>
      <c r="H678" s="1">
        <v>978</v>
      </c>
      <c r="I678" s="1">
        <f t="shared" si="3"/>
        <v>49</v>
      </c>
    </row>
    <row r="679" spans="1:10" x14ac:dyDescent="0.25">
      <c r="C679" s="1">
        <v>21</v>
      </c>
      <c r="D679" s="1">
        <v>2</v>
      </c>
      <c r="E679" s="1">
        <v>30</v>
      </c>
      <c r="F679" s="1">
        <v>21</v>
      </c>
      <c r="G679" s="1">
        <v>978</v>
      </c>
      <c r="H679" s="1">
        <v>1021</v>
      </c>
      <c r="I679" s="1">
        <f t="shared" si="3"/>
        <v>43</v>
      </c>
    </row>
    <row r="680" spans="1:10" x14ac:dyDescent="0.25">
      <c r="C680" s="1">
        <v>21</v>
      </c>
      <c r="D680" s="1">
        <v>2</v>
      </c>
      <c r="E680" s="1">
        <v>30</v>
      </c>
      <c r="F680" s="1">
        <v>22</v>
      </c>
      <c r="G680" s="1">
        <v>1021</v>
      </c>
      <c r="H680" s="1">
        <v>1079</v>
      </c>
      <c r="I680" s="1">
        <f t="shared" si="3"/>
        <v>58</v>
      </c>
    </row>
    <row r="681" spans="1:10" x14ac:dyDescent="0.25">
      <c r="C681" s="1">
        <v>21</v>
      </c>
      <c r="D681" s="1">
        <v>2</v>
      </c>
      <c r="E681" s="1">
        <v>30</v>
      </c>
      <c r="F681" s="1">
        <v>23</v>
      </c>
      <c r="G681" s="1">
        <v>1097</v>
      </c>
      <c r="H681" s="1">
        <v>1135</v>
      </c>
      <c r="I681" s="1">
        <f t="shared" si="3"/>
        <v>38</v>
      </c>
    </row>
    <row r="682" spans="1:10" x14ac:dyDescent="0.25">
      <c r="C682" s="1">
        <v>21</v>
      </c>
      <c r="D682" s="1">
        <v>2</v>
      </c>
      <c r="E682" s="1">
        <v>30</v>
      </c>
      <c r="F682" s="1">
        <v>24</v>
      </c>
      <c r="G682" s="1">
        <v>1136</v>
      </c>
      <c r="H682" s="1">
        <v>1186</v>
      </c>
      <c r="I682" s="1">
        <f t="shared" si="3"/>
        <v>50</v>
      </c>
    </row>
    <row r="683" spans="1:10" x14ac:dyDescent="0.25">
      <c r="C683" s="1">
        <v>21</v>
      </c>
      <c r="D683" s="1">
        <v>2</v>
      </c>
      <c r="E683" s="1">
        <v>30</v>
      </c>
      <c r="F683" s="1">
        <v>25</v>
      </c>
      <c r="G683" s="1">
        <v>1186</v>
      </c>
      <c r="H683" s="1">
        <v>1237</v>
      </c>
      <c r="I683" s="1">
        <f t="shared" si="3"/>
        <v>51</v>
      </c>
    </row>
    <row r="684" spans="1:10" x14ac:dyDescent="0.25">
      <c r="A684" s="5">
        <v>1</v>
      </c>
      <c r="B684" s="2">
        <v>43957</v>
      </c>
      <c r="C684" s="1">
        <v>22</v>
      </c>
      <c r="D684" s="1">
        <v>1</v>
      </c>
      <c r="E684" s="1">
        <v>30</v>
      </c>
      <c r="F684" s="1">
        <v>1</v>
      </c>
      <c r="G684" s="1">
        <v>0</v>
      </c>
      <c r="H684" s="1">
        <v>38</v>
      </c>
      <c r="I684" s="1">
        <f t="shared" si="3"/>
        <v>38</v>
      </c>
      <c r="J684" s="8">
        <f>(I684+I685+I686+I708+I707+I706+I694+I695+I696)/9</f>
        <v>39.222222222222221</v>
      </c>
    </row>
    <row r="685" spans="1:10" x14ac:dyDescent="0.25">
      <c r="C685" s="1">
        <v>22</v>
      </c>
      <c r="D685" s="1">
        <v>1</v>
      </c>
      <c r="E685" s="1">
        <v>30</v>
      </c>
      <c r="F685" s="1">
        <v>2</v>
      </c>
      <c r="G685" s="1">
        <v>38</v>
      </c>
      <c r="H685" s="1">
        <v>81</v>
      </c>
      <c r="I685" s="1">
        <f t="shared" si="3"/>
        <v>43</v>
      </c>
    </row>
    <row r="686" spans="1:10" x14ac:dyDescent="0.25">
      <c r="C686" s="1">
        <v>22</v>
      </c>
      <c r="D686" s="1">
        <v>1</v>
      </c>
      <c r="E686" s="1">
        <v>30</v>
      </c>
      <c r="F686" s="1">
        <v>3</v>
      </c>
      <c r="G686" s="1">
        <v>84</v>
      </c>
      <c r="H686" s="1">
        <v>130</v>
      </c>
      <c r="I686" s="1">
        <f t="shared" si="3"/>
        <v>46</v>
      </c>
    </row>
    <row r="687" spans="1:10" x14ac:dyDescent="0.25">
      <c r="C687" s="1">
        <v>22</v>
      </c>
      <c r="D687" s="1">
        <v>1</v>
      </c>
      <c r="E687" s="1">
        <v>30</v>
      </c>
      <c r="F687" s="1">
        <v>4</v>
      </c>
      <c r="G687" s="1">
        <v>130</v>
      </c>
      <c r="H687" s="1">
        <v>177</v>
      </c>
      <c r="I687" s="1">
        <f t="shared" si="3"/>
        <v>47</v>
      </c>
    </row>
    <row r="688" spans="1:10" x14ac:dyDescent="0.25">
      <c r="C688" s="1">
        <v>22</v>
      </c>
      <c r="D688" s="1">
        <v>1</v>
      </c>
      <c r="E688" s="1">
        <v>30</v>
      </c>
      <c r="F688" s="1">
        <v>5</v>
      </c>
      <c r="G688" s="1">
        <v>177</v>
      </c>
      <c r="H688" s="1">
        <v>228</v>
      </c>
      <c r="I688" s="1">
        <f t="shared" si="3"/>
        <v>51</v>
      </c>
    </row>
    <row r="689" spans="3:9" x14ac:dyDescent="0.25">
      <c r="C689" s="1">
        <v>22</v>
      </c>
      <c r="D689" s="1">
        <v>1</v>
      </c>
      <c r="E689" s="1">
        <v>30</v>
      </c>
      <c r="F689" s="1">
        <v>6</v>
      </c>
      <c r="G689" s="1">
        <v>233</v>
      </c>
      <c r="H689" s="1">
        <v>279</v>
      </c>
      <c r="I689" s="1">
        <f t="shared" si="3"/>
        <v>46</v>
      </c>
    </row>
    <row r="690" spans="3:9" x14ac:dyDescent="0.25">
      <c r="C690" s="1">
        <v>22</v>
      </c>
      <c r="D690" s="1">
        <v>1</v>
      </c>
      <c r="E690" s="1">
        <v>30</v>
      </c>
      <c r="F690" s="1">
        <v>7</v>
      </c>
      <c r="G690" s="1">
        <v>283</v>
      </c>
      <c r="H690" s="1">
        <v>327</v>
      </c>
      <c r="I690" s="1">
        <f t="shared" si="3"/>
        <v>44</v>
      </c>
    </row>
    <row r="691" spans="3:9" x14ac:dyDescent="0.25">
      <c r="C691" s="1">
        <v>22</v>
      </c>
      <c r="D691" s="1">
        <v>1</v>
      </c>
      <c r="E691" s="1">
        <v>30</v>
      </c>
      <c r="F691" s="1">
        <v>8</v>
      </c>
      <c r="G691" s="1">
        <v>337</v>
      </c>
      <c r="H691" s="1">
        <v>381</v>
      </c>
      <c r="I691" s="1">
        <f t="shared" si="3"/>
        <v>44</v>
      </c>
    </row>
    <row r="692" spans="3:9" x14ac:dyDescent="0.25">
      <c r="C692" s="1">
        <v>22</v>
      </c>
      <c r="D692" s="1">
        <v>1</v>
      </c>
      <c r="E692" s="1">
        <v>30</v>
      </c>
      <c r="F692" s="1">
        <v>9</v>
      </c>
      <c r="G692" s="1">
        <v>381</v>
      </c>
      <c r="H692" s="1">
        <v>436</v>
      </c>
      <c r="I692" s="1">
        <f t="shared" si="3"/>
        <v>55</v>
      </c>
    </row>
    <row r="693" spans="3:9" x14ac:dyDescent="0.25">
      <c r="C693" s="1">
        <v>22</v>
      </c>
      <c r="D693" s="1">
        <v>1</v>
      </c>
      <c r="E693" s="1">
        <v>30</v>
      </c>
      <c r="F693" s="1">
        <v>10</v>
      </c>
      <c r="G693" s="1">
        <v>439</v>
      </c>
      <c r="H693" s="1">
        <v>491</v>
      </c>
      <c r="I693" s="1">
        <f t="shared" si="3"/>
        <v>52</v>
      </c>
    </row>
    <row r="694" spans="3:9" x14ac:dyDescent="0.25">
      <c r="C694" s="1">
        <v>22</v>
      </c>
      <c r="D694" s="1">
        <v>1</v>
      </c>
      <c r="E694" s="1">
        <v>30</v>
      </c>
      <c r="F694" s="1">
        <v>11</v>
      </c>
      <c r="G694" s="1">
        <v>491</v>
      </c>
      <c r="H694" s="1">
        <v>533</v>
      </c>
      <c r="I694" s="1">
        <f t="shared" si="3"/>
        <v>42</v>
      </c>
    </row>
    <row r="695" spans="3:9" x14ac:dyDescent="0.25">
      <c r="C695" s="1">
        <v>22</v>
      </c>
      <c r="D695" s="1">
        <v>1</v>
      </c>
      <c r="E695" s="1">
        <v>30</v>
      </c>
      <c r="F695" s="1">
        <v>12</v>
      </c>
      <c r="G695" s="1">
        <v>538</v>
      </c>
      <c r="H695" s="1">
        <v>576</v>
      </c>
      <c r="I695" s="1">
        <f t="shared" si="3"/>
        <v>38</v>
      </c>
    </row>
    <row r="696" spans="3:9" x14ac:dyDescent="0.25">
      <c r="C696" s="1">
        <v>22</v>
      </c>
      <c r="D696" s="1">
        <v>1</v>
      </c>
      <c r="E696" s="1">
        <v>30</v>
      </c>
      <c r="F696" s="1">
        <v>13</v>
      </c>
      <c r="G696" s="1">
        <v>576</v>
      </c>
      <c r="H696" s="1">
        <v>608</v>
      </c>
      <c r="I696" s="1">
        <f t="shared" si="3"/>
        <v>32</v>
      </c>
    </row>
    <row r="697" spans="3:9" x14ac:dyDescent="0.25">
      <c r="C697" s="1">
        <v>22</v>
      </c>
      <c r="D697" s="1">
        <v>1</v>
      </c>
      <c r="E697" s="1">
        <v>30</v>
      </c>
      <c r="F697" s="1">
        <v>14</v>
      </c>
      <c r="G697" s="1">
        <v>610</v>
      </c>
      <c r="H697" s="1">
        <v>653</v>
      </c>
      <c r="I697" s="1">
        <f t="shared" si="3"/>
        <v>43</v>
      </c>
    </row>
    <row r="698" spans="3:9" x14ac:dyDescent="0.25">
      <c r="C698" s="1">
        <v>22</v>
      </c>
      <c r="D698" s="1">
        <v>1</v>
      </c>
      <c r="E698" s="1">
        <v>30</v>
      </c>
      <c r="F698" s="1">
        <v>15</v>
      </c>
      <c r="G698" s="1">
        <v>653</v>
      </c>
      <c r="H698" s="1">
        <v>701</v>
      </c>
      <c r="I698" s="1">
        <f t="shared" si="3"/>
        <v>48</v>
      </c>
    </row>
    <row r="699" spans="3:9" x14ac:dyDescent="0.25">
      <c r="C699" s="1">
        <v>22</v>
      </c>
      <c r="D699" s="1">
        <v>1</v>
      </c>
      <c r="E699" s="1">
        <v>30</v>
      </c>
      <c r="F699" s="1">
        <v>16</v>
      </c>
      <c r="G699" s="1">
        <v>701</v>
      </c>
      <c r="H699" s="1">
        <v>751</v>
      </c>
      <c r="I699" s="1">
        <f t="shared" si="3"/>
        <v>50</v>
      </c>
    </row>
    <row r="700" spans="3:9" x14ac:dyDescent="0.25">
      <c r="C700" s="1">
        <v>22</v>
      </c>
      <c r="D700" s="1">
        <v>1</v>
      </c>
      <c r="E700" s="1">
        <v>30</v>
      </c>
      <c r="F700" s="1">
        <v>17</v>
      </c>
      <c r="G700" s="1">
        <v>751</v>
      </c>
      <c r="H700" s="1">
        <v>785</v>
      </c>
      <c r="I700" s="1">
        <f t="shared" si="3"/>
        <v>34</v>
      </c>
    </row>
    <row r="701" spans="3:9" x14ac:dyDescent="0.25">
      <c r="C701" s="1">
        <v>22</v>
      </c>
      <c r="D701" s="1">
        <v>1</v>
      </c>
      <c r="E701" s="1">
        <v>30</v>
      </c>
      <c r="F701" s="1">
        <v>18</v>
      </c>
      <c r="G701" s="1">
        <v>785</v>
      </c>
      <c r="H701" s="1">
        <v>826</v>
      </c>
      <c r="I701" s="1">
        <f t="shared" si="3"/>
        <v>41</v>
      </c>
    </row>
    <row r="702" spans="3:9" x14ac:dyDescent="0.25">
      <c r="C702" s="1">
        <v>22</v>
      </c>
      <c r="D702" s="1">
        <v>1</v>
      </c>
      <c r="E702" s="1">
        <v>30</v>
      </c>
      <c r="F702" s="1">
        <v>19</v>
      </c>
      <c r="G702" s="1">
        <v>832</v>
      </c>
      <c r="H702" s="1">
        <v>873</v>
      </c>
      <c r="I702" s="1">
        <f t="shared" si="3"/>
        <v>41</v>
      </c>
    </row>
    <row r="703" spans="3:9" x14ac:dyDescent="0.25">
      <c r="C703" s="1">
        <v>22</v>
      </c>
      <c r="D703" s="1">
        <v>1</v>
      </c>
      <c r="E703" s="1">
        <v>30</v>
      </c>
      <c r="F703" s="1">
        <v>20</v>
      </c>
      <c r="G703" s="1">
        <v>873</v>
      </c>
      <c r="H703" s="1">
        <v>902</v>
      </c>
      <c r="I703" s="1">
        <f t="shared" si="3"/>
        <v>29</v>
      </c>
    </row>
    <row r="704" spans="3:9" x14ac:dyDescent="0.25">
      <c r="C704" s="1">
        <v>22</v>
      </c>
      <c r="D704" s="1">
        <v>1</v>
      </c>
      <c r="E704" s="1">
        <v>30</v>
      </c>
      <c r="F704" s="1">
        <v>21</v>
      </c>
      <c r="G704" s="1">
        <v>902</v>
      </c>
      <c r="H704" s="1">
        <v>943</v>
      </c>
      <c r="I704" s="1">
        <f t="shared" si="3"/>
        <v>41</v>
      </c>
    </row>
    <row r="705" spans="1:10" x14ac:dyDescent="0.25">
      <c r="C705" s="1">
        <v>22</v>
      </c>
      <c r="D705" s="1">
        <v>1</v>
      </c>
      <c r="E705" s="1">
        <v>30</v>
      </c>
      <c r="F705" s="1">
        <v>22</v>
      </c>
      <c r="G705" s="1">
        <v>943</v>
      </c>
      <c r="H705" s="1">
        <v>993</v>
      </c>
      <c r="I705" s="1">
        <f t="shared" si="3"/>
        <v>50</v>
      </c>
    </row>
    <row r="706" spans="1:10" x14ac:dyDescent="0.25">
      <c r="C706" s="1">
        <v>22</v>
      </c>
      <c r="D706" s="1">
        <v>1</v>
      </c>
      <c r="E706" s="1">
        <v>30</v>
      </c>
      <c r="F706" s="1">
        <v>23</v>
      </c>
      <c r="G706" s="1">
        <v>993</v>
      </c>
      <c r="H706" s="1">
        <v>1033</v>
      </c>
      <c r="I706" s="1">
        <f t="shared" si="3"/>
        <v>40</v>
      </c>
    </row>
    <row r="707" spans="1:10" x14ac:dyDescent="0.25">
      <c r="C707" s="1">
        <v>22</v>
      </c>
      <c r="D707" s="1">
        <v>1</v>
      </c>
      <c r="E707" s="1">
        <v>30</v>
      </c>
      <c r="F707" s="1">
        <v>24</v>
      </c>
      <c r="G707" s="1">
        <v>1033</v>
      </c>
      <c r="H707" s="1">
        <v>1072</v>
      </c>
      <c r="I707" s="1">
        <f t="shared" si="3"/>
        <v>39</v>
      </c>
    </row>
    <row r="708" spans="1:10" x14ac:dyDescent="0.25">
      <c r="C708" s="1">
        <v>22</v>
      </c>
      <c r="D708" s="1">
        <v>1</v>
      </c>
      <c r="E708" s="1">
        <v>30</v>
      </c>
      <c r="F708" s="1">
        <v>25</v>
      </c>
      <c r="G708" s="1">
        <v>1072</v>
      </c>
      <c r="H708" s="1">
        <v>1107</v>
      </c>
      <c r="I708" s="1">
        <f t="shared" si="3"/>
        <v>35</v>
      </c>
    </row>
    <row r="709" spans="1:10" x14ac:dyDescent="0.25">
      <c r="A709" s="5">
        <v>1</v>
      </c>
      <c r="B709" s="2">
        <v>43969</v>
      </c>
      <c r="C709" s="1">
        <v>23</v>
      </c>
      <c r="D709" s="1">
        <v>2</v>
      </c>
      <c r="E709" s="1">
        <v>30</v>
      </c>
      <c r="F709" s="1">
        <v>1</v>
      </c>
      <c r="G709" s="1">
        <v>0</v>
      </c>
      <c r="H709" s="1">
        <v>53</v>
      </c>
      <c r="I709" s="1">
        <f t="shared" si="3"/>
        <v>53</v>
      </c>
      <c r="J709" s="8">
        <f>(I709+I710+I711+I733+I732+I731+I719+I720+I721)/9</f>
        <v>53</v>
      </c>
    </row>
    <row r="710" spans="1:10" x14ac:dyDescent="0.25">
      <c r="C710" s="1">
        <v>23</v>
      </c>
      <c r="D710" s="1">
        <v>2</v>
      </c>
      <c r="E710" s="1">
        <v>30</v>
      </c>
      <c r="F710" s="1">
        <v>2</v>
      </c>
      <c r="G710" s="1">
        <v>53</v>
      </c>
      <c r="H710" s="1">
        <v>104</v>
      </c>
      <c r="I710" s="1">
        <f t="shared" si="3"/>
        <v>51</v>
      </c>
    </row>
    <row r="711" spans="1:10" x14ac:dyDescent="0.25">
      <c r="C711" s="1">
        <v>23</v>
      </c>
      <c r="D711" s="1">
        <v>2</v>
      </c>
      <c r="E711" s="1">
        <v>30</v>
      </c>
      <c r="F711" s="1">
        <v>3</v>
      </c>
      <c r="G711" s="1">
        <v>110</v>
      </c>
      <c r="H711" s="1">
        <v>165</v>
      </c>
      <c r="I711" s="1">
        <f t="shared" si="3"/>
        <v>55</v>
      </c>
    </row>
    <row r="712" spans="1:10" x14ac:dyDescent="0.25">
      <c r="C712" s="1">
        <v>23</v>
      </c>
      <c r="D712" s="1">
        <v>2</v>
      </c>
      <c r="E712" s="1">
        <v>30</v>
      </c>
      <c r="F712" s="1">
        <v>4</v>
      </c>
      <c r="G712" s="1">
        <v>167</v>
      </c>
      <c r="H712" s="1">
        <v>225</v>
      </c>
      <c r="I712" s="1">
        <f t="shared" si="3"/>
        <v>58</v>
      </c>
    </row>
    <row r="713" spans="1:10" x14ac:dyDescent="0.25">
      <c r="C713" s="1">
        <v>23</v>
      </c>
      <c r="D713" s="1">
        <v>2</v>
      </c>
      <c r="E713" s="1">
        <v>30</v>
      </c>
      <c r="F713" s="1">
        <v>5</v>
      </c>
      <c r="G713" s="1">
        <v>225</v>
      </c>
      <c r="H713" s="1">
        <v>276</v>
      </c>
      <c r="I713" s="1">
        <f t="shared" si="3"/>
        <v>51</v>
      </c>
    </row>
    <row r="714" spans="1:10" x14ac:dyDescent="0.25">
      <c r="C714" s="1">
        <v>23</v>
      </c>
      <c r="D714" s="1">
        <v>2</v>
      </c>
      <c r="E714" s="1">
        <v>30</v>
      </c>
      <c r="F714" s="1">
        <v>6</v>
      </c>
      <c r="G714" s="1">
        <v>276</v>
      </c>
      <c r="H714" s="1">
        <v>331</v>
      </c>
      <c r="I714" s="1">
        <f t="shared" si="3"/>
        <v>55</v>
      </c>
    </row>
    <row r="715" spans="1:10" x14ac:dyDescent="0.25">
      <c r="C715" s="1">
        <v>23</v>
      </c>
      <c r="D715" s="1">
        <v>2</v>
      </c>
      <c r="E715" s="1">
        <v>30</v>
      </c>
      <c r="F715" s="1">
        <v>7</v>
      </c>
      <c r="G715" s="1">
        <v>331</v>
      </c>
      <c r="H715" s="1">
        <v>381</v>
      </c>
      <c r="I715" s="1">
        <f t="shared" si="3"/>
        <v>50</v>
      </c>
    </row>
    <row r="716" spans="1:10" x14ac:dyDescent="0.25">
      <c r="C716" s="1">
        <v>23</v>
      </c>
      <c r="D716" s="1">
        <v>2</v>
      </c>
      <c r="E716" s="1">
        <v>30</v>
      </c>
      <c r="F716" s="1">
        <v>8</v>
      </c>
      <c r="G716" s="1">
        <v>381</v>
      </c>
      <c r="H716" s="1">
        <v>442</v>
      </c>
      <c r="I716" s="1">
        <f t="shared" si="3"/>
        <v>61</v>
      </c>
    </row>
    <row r="717" spans="1:10" x14ac:dyDescent="0.25">
      <c r="C717" s="1">
        <v>23</v>
      </c>
      <c r="D717" s="1">
        <v>2</v>
      </c>
      <c r="E717" s="1">
        <v>30</v>
      </c>
      <c r="F717" s="1">
        <v>9</v>
      </c>
      <c r="G717" s="1">
        <v>442</v>
      </c>
      <c r="H717" s="1">
        <v>500</v>
      </c>
      <c r="I717" s="1">
        <f t="shared" si="3"/>
        <v>58</v>
      </c>
    </row>
    <row r="718" spans="1:10" x14ac:dyDescent="0.25">
      <c r="C718" s="1">
        <v>23</v>
      </c>
      <c r="D718" s="1">
        <v>2</v>
      </c>
      <c r="E718" s="1">
        <v>30</v>
      </c>
      <c r="F718" s="1">
        <v>10</v>
      </c>
      <c r="G718" s="1">
        <v>500</v>
      </c>
      <c r="H718" s="1">
        <v>554</v>
      </c>
      <c r="I718" s="1">
        <f t="shared" si="3"/>
        <v>54</v>
      </c>
    </row>
    <row r="719" spans="1:10" x14ac:dyDescent="0.25">
      <c r="C719" s="1">
        <v>23</v>
      </c>
      <c r="D719" s="1">
        <v>2</v>
      </c>
      <c r="E719" s="1">
        <v>30</v>
      </c>
      <c r="F719" s="1">
        <v>11</v>
      </c>
      <c r="G719" s="1">
        <v>554</v>
      </c>
      <c r="H719" s="1">
        <v>606</v>
      </c>
      <c r="I719" s="1">
        <f t="shared" si="3"/>
        <v>52</v>
      </c>
    </row>
    <row r="720" spans="1:10" x14ac:dyDescent="0.25">
      <c r="C720" s="1">
        <v>23</v>
      </c>
      <c r="D720" s="1">
        <v>2</v>
      </c>
      <c r="E720" s="1">
        <v>30</v>
      </c>
      <c r="F720" s="1">
        <v>12</v>
      </c>
      <c r="G720" s="1">
        <v>606</v>
      </c>
      <c r="H720" s="1">
        <v>663</v>
      </c>
      <c r="I720" s="1">
        <f t="shared" ref="I720:I954" si="4">H720-G720</f>
        <v>57</v>
      </c>
    </row>
    <row r="721" spans="1:10" x14ac:dyDescent="0.25">
      <c r="C721" s="1">
        <v>23</v>
      </c>
      <c r="D721" s="1">
        <v>2</v>
      </c>
      <c r="E721" s="1">
        <v>30</v>
      </c>
      <c r="F721" s="1">
        <v>13</v>
      </c>
      <c r="G721" s="1">
        <v>663</v>
      </c>
      <c r="H721" s="1">
        <v>714</v>
      </c>
      <c r="I721" s="1">
        <f t="shared" si="4"/>
        <v>51</v>
      </c>
    </row>
    <row r="722" spans="1:10" x14ac:dyDescent="0.25">
      <c r="C722" s="1">
        <v>23</v>
      </c>
      <c r="D722" s="1">
        <v>2</v>
      </c>
      <c r="E722" s="1">
        <v>30</v>
      </c>
      <c r="F722" s="1">
        <v>14</v>
      </c>
      <c r="G722" s="1">
        <v>715</v>
      </c>
      <c r="H722" s="1">
        <v>766</v>
      </c>
      <c r="I722" s="1">
        <f t="shared" si="4"/>
        <v>51</v>
      </c>
    </row>
    <row r="723" spans="1:10" x14ac:dyDescent="0.25">
      <c r="C723" s="1">
        <v>23</v>
      </c>
      <c r="D723" s="1">
        <v>2</v>
      </c>
      <c r="E723" s="1">
        <v>30</v>
      </c>
      <c r="F723" s="1">
        <v>15</v>
      </c>
      <c r="G723" s="1">
        <v>766</v>
      </c>
      <c r="H723" s="1">
        <v>811</v>
      </c>
      <c r="I723" s="1">
        <f t="shared" si="4"/>
        <v>45</v>
      </c>
    </row>
    <row r="724" spans="1:10" x14ac:dyDescent="0.25">
      <c r="C724" s="1">
        <v>23</v>
      </c>
      <c r="D724" s="1">
        <v>2</v>
      </c>
      <c r="E724" s="1">
        <v>30</v>
      </c>
      <c r="F724" s="1">
        <v>16</v>
      </c>
      <c r="G724" s="1">
        <v>811</v>
      </c>
      <c r="H724" s="1">
        <v>864</v>
      </c>
      <c r="I724" s="1">
        <f t="shared" si="4"/>
        <v>53</v>
      </c>
    </row>
    <row r="725" spans="1:10" x14ac:dyDescent="0.25">
      <c r="C725" s="1">
        <v>23</v>
      </c>
      <c r="D725" s="1">
        <v>2</v>
      </c>
      <c r="E725" s="1">
        <v>30</v>
      </c>
      <c r="F725" s="1">
        <v>17</v>
      </c>
      <c r="G725" s="1">
        <v>864</v>
      </c>
      <c r="H725" s="1">
        <v>911</v>
      </c>
      <c r="I725" s="1">
        <f t="shared" si="4"/>
        <v>47</v>
      </c>
    </row>
    <row r="726" spans="1:10" x14ac:dyDescent="0.25">
      <c r="C726" s="1">
        <v>23</v>
      </c>
      <c r="D726" s="1">
        <v>2</v>
      </c>
      <c r="E726" s="1">
        <v>30</v>
      </c>
      <c r="F726" s="1">
        <v>18</v>
      </c>
      <c r="G726" s="1">
        <v>911</v>
      </c>
      <c r="H726" s="1">
        <v>961</v>
      </c>
      <c r="I726" s="1">
        <f t="shared" si="4"/>
        <v>50</v>
      </c>
    </row>
    <row r="727" spans="1:10" x14ac:dyDescent="0.25">
      <c r="C727" s="1">
        <v>23</v>
      </c>
      <c r="D727" s="1">
        <v>2</v>
      </c>
      <c r="E727" s="1">
        <v>30</v>
      </c>
      <c r="F727" s="1">
        <v>19</v>
      </c>
      <c r="G727" s="1">
        <v>961</v>
      </c>
      <c r="H727" s="1">
        <v>1009</v>
      </c>
      <c r="I727" s="1">
        <f t="shared" si="4"/>
        <v>48</v>
      </c>
    </row>
    <row r="728" spans="1:10" x14ac:dyDescent="0.25">
      <c r="C728" s="1">
        <v>23</v>
      </c>
      <c r="D728" s="1">
        <v>2</v>
      </c>
      <c r="E728" s="1">
        <v>30</v>
      </c>
      <c r="F728" s="1">
        <v>20</v>
      </c>
      <c r="G728" s="1">
        <v>1012</v>
      </c>
      <c r="H728" s="1">
        <v>1060</v>
      </c>
      <c r="I728" s="1">
        <f t="shared" si="4"/>
        <v>48</v>
      </c>
    </row>
    <row r="729" spans="1:10" x14ac:dyDescent="0.25">
      <c r="C729" s="1">
        <v>23</v>
      </c>
      <c r="D729" s="1">
        <v>2</v>
      </c>
      <c r="E729" s="1">
        <v>30</v>
      </c>
      <c r="F729" s="1">
        <v>21</v>
      </c>
      <c r="G729" s="1">
        <v>1060</v>
      </c>
      <c r="H729" s="1">
        <v>1115</v>
      </c>
      <c r="I729" s="1">
        <f t="shared" si="4"/>
        <v>55</v>
      </c>
    </row>
    <row r="730" spans="1:10" x14ac:dyDescent="0.25">
      <c r="C730" s="1">
        <v>23</v>
      </c>
      <c r="D730" s="1">
        <v>2</v>
      </c>
      <c r="E730" s="1">
        <v>30</v>
      </c>
      <c r="F730" s="1">
        <v>22</v>
      </c>
      <c r="G730" s="1">
        <v>1115</v>
      </c>
      <c r="H730" s="1">
        <v>1163</v>
      </c>
      <c r="I730" s="1">
        <f t="shared" si="4"/>
        <v>48</v>
      </c>
    </row>
    <row r="731" spans="1:10" x14ac:dyDescent="0.25">
      <c r="C731" s="1">
        <v>23</v>
      </c>
      <c r="D731" s="1">
        <v>2</v>
      </c>
      <c r="E731" s="1">
        <v>30</v>
      </c>
      <c r="F731" s="1">
        <v>23</v>
      </c>
      <c r="G731" s="1">
        <v>1166</v>
      </c>
      <c r="H731" s="1">
        <v>1216</v>
      </c>
      <c r="I731" s="1">
        <f t="shared" si="4"/>
        <v>50</v>
      </c>
    </row>
    <row r="732" spans="1:10" x14ac:dyDescent="0.25">
      <c r="C732" s="1">
        <v>23</v>
      </c>
      <c r="D732" s="1">
        <v>2</v>
      </c>
      <c r="E732" s="1">
        <v>30</v>
      </c>
      <c r="F732" s="1">
        <v>24</v>
      </c>
      <c r="G732" s="1">
        <v>1218</v>
      </c>
      <c r="H732" s="1">
        <v>1274</v>
      </c>
      <c r="I732" s="1">
        <f t="shared" si="4"/>
        <v>56</v>
      </c>
    </row>
    <row r="733" spans="1:10" x14ac:dyDescent="0.25">
      <c r="C733" s="1">
        <v>23</v>
      </c>
      <c r="D733" s="1">
        <v>2</v>
      </c>
      <c r="E733" s="1">
        <v>30</v>
      </c>
      <c r="F733" s="1">
        <v>25</v>
      </c>
      <c r="G733" s="1">
        <v>1278</v>
      </c>
      <c r="H733" s="1">
        <v>1330</v>
      </c>
      <c r="I733" s="1">
        <f t="shared" si="4"/>
        <v>52</v>
      </c>
    </row>
    <row r="734" spans="1:10" x14ac:dyDescent="0.25">
      <c r="A734" s="5">
        <v>1</v>
      </c>
      <c r="B734" s="2">
        <v>43959</v>
      </c>
      <c r="C734" s="1">
        <v>24</v>
      </c>
      <c r="D734" s="1">
        <v>1</v>
      </c>
      <c r="E734" s="1">
        <v>30</v>
      </c>
      <c r="F734" s="1">
        <v>1</v>
      </c>
      <c r="G734" s="1">
        <v>0</v>
      </c>
      <c r="H734" s="1">
        <v>22</v>
      </c>
      <c r="I734" s="1">
        <f t="shared" si="4"/>
        <v>22</v>
      </c>
      <c r="J734" s="8">
        <f>(I734+I735+I736+I758+I757+I756+I744+I745+I743)/9</f>
        <v>39.111111111111114</v>
      </c>
    </row>
    <row r="735" spans="1:10" x14ac:dyDescent="0.25">
      <c r="C735" s="1">
        <v>24</v>
      </c>
      <c r="D735" s="1">
        <v>1</v>
      </c>
      <c r="E735" s="1">
        <v>30</v>
      </c>
      <c r="F735" s="1">
        <v>2</v>
      </c>
      <c r="G735" s="1">
        <v>23</v>
      </c>
      <c r="H735" s="1">
        <v>70</v>
      </c>
      <c r="I735" s="1">
        <f t="shared" si="4"/>
        <v>47</v>
      </c>
    </row>
    <row r="736" spans="1:10" x14ac:dyDescent="0.25">
      <c r="C736" s="1">
        <v>24</v>
      </c>
      <c r="D736" s="1">
        <v>1</v>
      </c>
      <c r="E736" s="1">
        <v>30</v>
      </c>
      <c r="F736" s="1">
        <v>3</v>
      </c>
      <c r="G736" s="1">
        <v>70</v>
      </c>
      <c r="H736" s="1">
        <v>98</v>
      </c>
      <c r="I736" s="1">
        <f t="shared" si="4"/>
        <v>28</v>
      </c>
    </row>
    <row r="737" spans="3:9" x14ac:dyDescent="0.25">
      <c r="C737" s="1">
        <v>24</v>
      </c>
      <c r="D737" s="1">
        <v>1</v>
      </c>
      <c r="E737" s="1">
        <v>30</v>
      </c>
      <c r="F737" s="1">
        <v>4</v>
      </c>
      <c r="G737" s="1">
        <v>101</v>
      </c>
      <c r="H737" s="1">
        <v>147</v>
      </c>
      <c r="I737" s="1">
        <f t="shared" si="4"/>
        <v>46</v>
      </c>
    </row>
    <row r="738" spans="3:9" x14ac:dyDescent="0.25">
      <c r="C738" s="1">
        <v>24</v>
      </c>
      <c r="D738" s="1">
        <v>1</v>
      </c>
      <c r="E738" s="1">
        <v>30</v>
      </c>
      <c r="F738" s="1">
        <v>5</v>
      </c>
      <c r="G738" s="1">
        <v>148</v>
      </c>
      <c r="H738" s="1">
        <v>177</v>
      </c>
      <c r="I738" s="1">
        <f t="shared" si="4"/>
        <v>29</v>
      </c>
    </row>
    <row r="739" spans="3:9" x14ac:dyDescent="0.25">
      <c r="C739" s="1">
        <v>24</v>
      </c>
      <c r="D739" s="1">
        <v>1</v>
      </c>
      <c r="E739" s="1">
        <v>30</v>
      </c>
      <c r="F739" s="1">
        <v>6</v>
      </c>
      <c r="G739" s="1">
        <v>178</v>
      </c>
      <c r="H739" s="1">
        <v>223</v>
      </c>
      <c r="I739" s="1">
        <f t="shared" si="4"/>
        <v>45</v>
      </c>
    </row>
    <row r="740" spans="3:9" x14ac:dyDescent="0.25">
      <c r="C740" s="1">
        <v>24</v>
      </c>
      <c r="D740" s="1">
        <v>1</v>
      </c>
      <c r="E740" s="1">
        <v>30</v>
      </c>
      <c r="F740" s="1">
        <v>7</v>
      </c>
      <c r="G740" s="1">
        <v>223</v>
      </c>
      <c r="H740" s="1">
        <v>274</v>
      </c>
      <c r="I740" s="1">
        <f t="shared" si="4"/>
        <v>51</v>
      </c>
    </row>
    <row r="741" spans="3:9" x14ac:dyDescent="0.25">
      <c r="C741" s="1">
        <v>24</v>
      </c>
      <c r="D741" s="1">
        <v>1</v>
      </c>
      <c r="E741" s="1">
        <v>30</v>
      </c>
      <c r="F741" s="1">
        <v>8</v>
      </c>
      <c r="G741" s="1">
        <v>274</v>
      </c>
      <c r="H741" s="1">
        <v>309</v>
      </c>
      <c r="I741" s="1">
        <f t="shared" si="4"/>
        <v>35</v>
      </c>
    </row>
    <row r="742" spans="3:9" x14ac:dyDescent="0.25">
      <c r="C742" s="1">
        <v>24</v>
      </c>
      <c r="D742" s="1">
        <v>1</v>
      </c>
      <c r="E742" s="1">
        <v>30</v>
      </c>
      <c r="F742" s="1">
        <v>9</v>
      </c>
      <c r="G742" s="1">
        <v>312</v>
      </c>
      <c r="H742" s="1">
        <v>358</v>
      </c>
      <c r="I742" s="1">
        <f t="shared" si="4"/>
        <v>46</v>
      </c>
    </row>
    <row r="743" spans="3:9" x14ac:dyDescent="0.25">
      <c r="C743" s="1">
        <v>24</v>
      </c>
      <c r="D743" s="1">
        <v>1</v>
      </c>
      <c r="E743" s="1">
        <v>30</v>
      </c>
      <c r="F743" s="1">
        <v>10</v>
      </c>
      <c r="G743" s="1">
        <v>362</v>
      </c>
      <c r="H743" s="1">
        <v>402</v>
      </c>
      <c r="I743" s="1">
        <f t="shared" si="4"/>
        <v>40</v>
      </c>
    </row>
    <row r="744" spans="3:9" x14ac:dyDescent="0.25">
      <c r="C744" s="1">
        <v>24</v>
      </c>
      <c r="D744" s="1">
        <v>1</v>
      </c>
      <c r="E744" s="1">
        <v>30</v>
      </c>
      <c r="F744" s="1">
        <v>11</v>
      </c>
      <c r="G744" s="1">
        <v>402</v>
      </c>
      <c r="H744" s="1">
        <v>453</v>
      </c>
      <c r="I744" s="1">
        <f t="shared" si="4"/>
        <v>51</v>
      </c>
    </row>
    <row r="745" spans="3:9" x14ac:dyDescent="0.25">
      <c r="C745" s="1">
        <v>24</v>
      </c>
      <c r="D745" s="1">
        <v>1</v>
      </c>
      <c r="E745" s="1">
        <v>30</v>
      </c>
      <c r="F745" s="1">
        <v>12</v>
      </c>
      <c r="G745" s="1">
        <v>455</v>
      </c>
      <c r="H745" s="1">
        <v>498</v>
      </c>
      <c r="I745" s="1">
        <f t="shared" si="4"/>
        <v>43</v>
      </c>
    </row>
    <row r="746" spans="3:9" x14ac:dyDescent="0.25">
      <c r="C746" s="1">
        <v>24</v>
      </c>
      <c r="D746" s="1">
        <v>1</v>
      </c>
      <c r="E746" s="1">
        <v>30</v>
      </c>
      <c r="F746" s="1">
        <v>13</v>
      </c>
      <c r="G746" s="1">
        <v>498</v>
      </c>
      <c r="H746" s="1">
        <v>527</v>
      </c>
      <c r="I746" s="1">
        <f t="shared" si="4"/>
        <v>29</v>
      </c>
    </row>
    <row r="747" spans="3:9" x14ac:dyDescent="0.25">
      <c r="C747" s="1">
        <v>24</v>
      </c>
      <c r="D747" s="1">
        <v>1</v>
      </c>
      <c r="E747" s="1">
        <v>30</v>
      </c>
      <c r="F747" s="1">
        <v>14</v>
      </c>
      <c r="G747" s="1">
        <v>527</v>
      </c>
      <c r="H747" s="1">
        <v>556</v>
      </c>
      <c r="I747" s="1">
        <f t="shared" si="4"/>
        <v>29</v>
      </c>
    </row>
    <row r="748" spans="3:9" x14ac:dyDescent="0.25">
      <c r="C748" s="1">
        <v>24</v>
      </c>
      <c r="D748" s="1">
        <v>1</v>
      </c>
      <c r="E748" s="1">
        <v>30</v>
      </c>
      <c r="F748" s="1">
        <v>15</v>
      </c>
      <c r="G748" s="1">
        <v>559</v>
      </c>
      <c r="H748" s="1">
        <v>599</v>
      </c>
      <c r="I748" s="1">
        <f t="shared" si="4"/>
        <v>40</v>
      </c>
    </row>
    <row r="749" spans="3:9" x14ac:dyDescent="0.25">
      <c r="C749" s="1">
        <v>24</v>
      </c>
      <c r="D749" s="1">
        <v>1</v>
      </c>
      <c r="E749" s="1">
        <v>30</v>
      </c>
      <c r="F749" s="1">
        <v>16</v>
      </c>
      <c r="G749" s="1">
        <v>602</v>
      </c>
      <c r="H749" s="1">
        <v>645</v>
      </c>
      <c r="I749" s="1">
        <f t="shared" si="4"/>
        <v>43</v>
      </c>
    </row>
    <row r="750" spans="3:9" x14ac:dyDescent="0.25">
      <c r="C750" s="1">
        <v>24</v>
      </c>
      <c r="D750" s="1">
        <v>1</v>
      </c>
      <c r="E750" s="1">
        <v>30</v>
      </c>
      <c r="F750" s="1">
        <v>17</v>
      </c>
      <c r="G750" s="1">
        <v>645</v>
      </c>
      <c r="H750" s="1">
        <v>690</v>
      </c>
      <c r="I750" s="1">
        <f t="shared" si="4"/>
        <v>45</v>
      </c>
    </row>
    <row r="751" spans="3:9" x14ac:dyDescent="0.25">
      <c r="C751" s="1">
        <v>24</v>
      </c>
      <c r="D751" s="1">
        <v>1</v>
      </c>
      <c r="E751" s="1">
        <v>30</v>
      </c>
      <c r="F751" s="1">
        <v>18</v>
      </c>
      <c r="G751" s="1">
        <v>690</v>
      </c>
      <c r="H751" s="1">
        <v>731</v>
      </c>
      <c r="I751" s="1">
        <f t="shared" si="4"/>
        <v>41</v>
      </c>
    </row>
    <row r="752" spans="3:9" x14ac:dyDescent="0.25">
      <c r="C752" s="1">
        <v>24</v>
      </c>
      <c r="D752" s="1">
        <v>1</v>
      </c>
      <c r="E752" s="1">
        <v>30</v>
      </c>
      <c r="F752" s="1">
        <v>19</v>
      </c>
      <c r="G752" s="1">
        <v>731</v>
      </c>
      <c r="H752" s="1">
        <v>775</v>
      </c>
      <c r="I752" s="1">
        <f t="shared" si="4"/>
        <v>44</v>
      </c>
    </row>
    <row r="753" spans="1:10" x14ac:dyDescent="0.25">
      <c r="C753" s="1">
        <v>24</v>
      </c>
      <c r="D753" s="1">
        <v>1</v>
      </c>
      <c r="E753" s="1">
        <v>30</v>
      </c>
      <c r="F753" s="1">
        <v>20</v>
      </c>
      <c r="G753" s="1">
        <v>777</v>
      </c>
      <c r="H753" s="1">
        <v>819</v>
      </c>
      <c r="I753" s="1">
        <f t="shared" si="4"/>
        <v>42</v>
      </c>
    </row>
    <row r="754" spans="1:10" x14ac:dyDescent="0.25">
      <c r="C754" s="1">
        <v>24</v>
      </c>
      <c r="D754" s="1">
        <v>1</v>
      </c>
      <c r="E754" s="1">
        <v>30</v>
      </c>
      <c r="F754" s="1">
        <v>21</v>
      </c>
      <c r="G754" s="1">
        <v>819</v>
      </c>
      <c r="H754" s="1">
        <v>864</v>
      </c>
      <c r="I754" s="1">
        <f t="shared" si="4"/>
        <v>45</v>
      </c>
    </row>
    <row r="755" spans="1:10" x14ac:dyDescent="0.25">
      <c r="C755" s="1">
        <v>24</v>
      </c>
      <c r="D755" s="1">
        <v>1</v>
      </c>
      <c r="E755" s="1">
        <v>30</v>
      </c>
      <c r="F755" s="1">
        <v>22</v>
      </c>
      <c r="G755" s="1">
        <v>864</v>
      </c>
      <c r="H755" s="1">
        <v>897</v>
      </c>
      <c r="I755" s="1">
        <f t="shared" si="4"/>
        <v>33</v>
      </c>
    </row>
    <row r="756" spans="1:10" x14ac:dyDescent="0.25">
      <c r="C756" s="1">
        <v>24</v>
      </c>
      <c r="D756" s="1">
        <v>1</v>
      </c>
      <c r="E756" s="1">
        <v>30</v>
      </c>
      <c r="F756" s="1">
        <v>23</v>
      </c>
      <c r="G756" s="1">
        <v>897</v>
      </c>
      <c r="H756" s="1">
        <v>937</v>
      </c>
      <c r="I756" s="1">
        <f t="shared" si="4"/>
        <v>40</v>
      </c>
    </row>
    <row r="757" spans="1:10" x14ac:dyDescent="0.25">
      <c r="C757" s="1">
        <v>24</v>
      </c>
      <c r="D757" s="1">
        <v>1</v>
      </c>
      <c r="E757" s="1">
        <v>30</v>
      </c>
      <c r="F757" s="1">
        <v>24</v>
      </c>
      <c r="G757" s="1">
        <v>937</v>
      </c>
      <c r="H757" s="1">
        <v>982</v>
      </c>
      <c r="I757" s="1">
        <f t="shared" si="4"/>
        <v>45</v>
      </c>
    </row>
    <row r="758" spans="1:10" x14ac:dyDescent="0.25">
      <c r="C758" s="1">
        <v>24</v>
      </c>
      <c r="D758" s="1">
        <v>1</v>
      </c>
      <c r="E758" s="1">
        <v>30</v>
      </c>
      <c r="F758" s="1">
        <v>25</v>
      </c>
      <c r="G758" s="1">
        <v>982</v>
      </c>
      <c r="H758" s="1">
        <v>1018</v>
      </c>
      <c r="I758" s="1">
        <f t="shared" si="4"/>
        <v>36</v>
      </c>
    </row>
    <row r="759" spans="1:10" x14ac:dyDescent="0.25">
      <c r="A759" s="5">
        <v>1</v>
      </c>
      <c r="B759" s="2">
        <v>43957</v>
      </c>
      <c r="C759" s="1">
        <v>25</v>
      </c>
      <c r="D759" s="1">
        <v>1</v>
      </c>
      <c r="E759" s="1">
        <v>30</v>
      </c>
      <c r="F759" s="1">
        <v>1</v>
      </c>
      <c r="G759" s="1">
        <v>2</v>
      </c>
      <c r="H759" s="1">
        <v>50</v>
      </c>
      <c r="I759" s="1">
        <f t="shared" si="4"/>
        <v>48</v>
      </c>
      <c r="J759" s="8">
        <f>(I759+I760+I761+I782+I783+I781+I770+I769+I771)/9</f>
        <v>46.222222222222221</v>
      </c>
    </row>
    <row r="760" spans="1:10" x14ac:dyDescent="0.25">
      <c r="C760" s="1">
        <v>25</v>
      </c>
      <c r="D760" s="1">
        <v>1</v>
      </c>
      <c r="E760" s="1">
        <v>30</v>
      </c>
      <c r="F760" s="1">
        <v>2</v>
      </c>
      <c r="G760" s="1">
        <v>50</v>
      </c>
      <c r="H760" s="1">
        <v>89</v>
      </c>
      <c r="I760" s="1">
        <f t="shared" si="4"/>
        <v>39</v>
      </c>
    </row>
    <row r="761" spans="1:10" x14ac:dyDescent="0.25">
      <c r="C761" s="1">
        <v>25</v>
      </c>
      <c r="D761" s="1">
        <v>1</v>
      </c>
      <c r="E761" s="1">
        <v>30</v>
      </c>
      <c r="F761" s="1">
        <v>3</v>
      </c>
      <c r="G761" s="1">
        <v>92</v>
      </c>
      <c r="H761" s="1">
        <v>135</v>
      </c>
      <c r="I761" s="1">
        <f t="shared" si="4"/>
        <v>43</v>
      </c>
    </row>
    <row r="762" spans="1:10" x14ac:dyDescent="0.25">
      <c r="C762" s="1">
        <v>25</v>
      </c>
      <c r="D762" s="1">
        <v>1</v>
      </c>
      <c r="E762" s="1">
        <v>30</v>
      </c>
      <c r="F762" s="1">
        <v>4</v>
      </c>
      <c r="G762" s="1">
        <v>135</v>
      </c>
      <c r="H762" s="1">
        <v>186</v>
      </c>
      <c r="I762" s="1">
        <f t="shared" si="4"/>
        <v>51</v>
      </c>
    </row>
    <row r="763" spans="1:10" x14ac:dyDescent="0.25">
      <c r="C763" s="1">
        <v>25</v>
      </c>
      <c r="D763" s="1">
        <v>1</v>
      </c>
      <c r="E763" s="1">
        <v>30</v>
      </c>
      <c r="F763" s="1">
        <v>5</v>
      </c>
      <c r="G763" s="1">
        <v>186</v>
      </c>
      <c r="H763" s="1">
        <v>206</v>
      </c>
      <c r="I763" s="1">
        <f t="shared" si="4"/>
        <v>20</v>
      </c>
    </row>
    <row r="764" spans="1:10" x14ac:dyDescent="0.25">
      <c r="C764" s="1">
        <v>25</v>
      </c>
      <c r="D764" s="1">
        <v>1</v>
      </c>
      <c r="E764" s="1">
        <v>30</v>
      </c>
      <c r="F764" s="1">
        <v>6</v>
      </c>
      <c r="G764" s="1">
        <v>206</v>
      </c>
      <c r="H764" s="1">
        <v>248</v>
      </c>
      <c r="I764" s="1">
        <f t="shared" si="4"/>
        <v>42</v>
      </c>
    </row>
    <row r="765" spans="1:10" x14ac:dyDescent="0.25">
      <c r="C765" s="1">
        <v>25</v>
      </c>
      <c r="D765" s="1">
        <v>1</v>
      </c>
      <c r="E765" s="1">
        <v>30</v>
      </c>
      <c r="F765" s="1">
        <v>7</v>
      </c>
      <c r="G765" s="1">
        <v>252</v>
      </c>
      <c r="H765" s="1">
        <v>252</v>
      </c>
      <c r="I765" s="1">
        <f t="shared" si="4"/>
        <v>0</v>
      </c>
    </row>
    <row r="766" spans="1:10" x14ac:dyDescent="0.25">
      <c r="C766" s="1">
        <v>25</v>
      </c>
      <c r="D766" s="1">
        <v>1</v>
      </c>
      <c r="E766" s="1">
        <v>30</v>
      </c>
      <c r="F766" s="1">
        <v>8</v>
      </c>
      <c r="G766" s="1">
        <v>265</v>
      </c>
      <c r="H766" s="1">
        <v>318</v>
      </c>
      <c r="I766" s="1">
        <f t="shared" si="4"/>
        <v>53</v>
      </c>
    </row>
    <row r="767" spans="1:10" x14ac:dyDescent="0.25">
      <c r="C767" s="1">
        <v>25</v>
      </c>
      <c r="D767" s="1">
        <v>1</v>
      </c>
      <c r="E767" s="1">
        <v>30</v>
      </c>
      <c r="F767" s="1">
        <v>9</v>
      </c>
      <c r="G767" s="1">
        <v>318</v>
      </c>
      <c r="H767" s="1">
        <v>367</v>
      </c>
      <c r="I767" s="1">
        <f t="shared" si="4"/>
        <v>49</v>
      </c>
    </row>
    <row r="768" spans="1:10" x14ac:dyDescent="0.25">
      <c r="C768" s="1">
        <v>25</v>
      </c>
      <c r="D768" s="1">
        <v>1</v>
      </c>
      <c r="E768" s="1">
        <v>30</v>
      </c>
      <c r="F768" s="1">
        <v>10</v>
      </c>
      <c r="G768" s="1">
        <v>367</v>
      </c>
      <c r="H768" s="1">
        <v>417</v>
      </c>
      <c r="I768" s="1">
        <f t="shared" si="4"/>
        <v>50</v>
      </c>
    </row>
    <row r="769" spans="1:10" x14ac:dyDescent="0.25">
      <c r="C769" s="1">
        <v>25</v>
      </c>
      <c r="D769" s="1">
        <v>1</v>
      </c>
      <c r="E769" s="1">
        <v>30</v>
      </c>
      <c r="F769" s="1">
        <v>11</v>
      </c>
      <c r="G769" s="1">
        <v>417</v>
      </c>
      <c r="H769" s="1">
        <v>465</v>
      </c>
      <c r="I769" s="1">
        <f t="shared" si="4"/>
        <v>48</v>
      </c>
    </row>
    <row r="770" spans="1:10" x14ac:dyDescent="0.25">
      <c r="C770" s="1">
        <v>25</v>
      </c>
      <c r="D770" s="1">
        <v>1</v>
      </c>
      <c r="E770" s="1">
        <v>30</v>
      </c>
      <c r="F770" s="1">
        <v>12</v>
      </c>
      <c r="G770" s="1">
        <v>465</v>
      </c>
      <c r="H770" s="1">
        <v>514</v>
      </c>
      <c r="I770" s="1">
        <f t="shared" si="4"/>
        <v>49</v>
      </c>
    </row>
    <row r="771" spans="1:10" x14ac:dyDescent="0.25">
      <c r="C771" s="1">
        <v>25</v>
      </c>
      <c r="D771" s="1">
        <v>1</v>
      </c>
      <c r="E771" s="1">
        <v>30</v>
      </c>
      <c r="F771" s="1">
        <v>13</v>
      </c>
      <c r="G771" s="1">
        <v>514</v>
      </c>
      <c r="H771" s="1">
        <v>557</v>
      </c>
      <c r="I771" s="1">
        <f t="shared" si="4"/>
        <v>43</v>
      </c>
    </row>
    <row r="772" spans="1:10" x14ac:dyDescent="0.25">
      <c r="C772" s="1">
        <v>25</v>
      </c>
      <c r="D772" s="1">
        <v>1</v>
      </c>
      <c r="E772" s="1">
        <v>30</v>
      </c>
      <c r="F772" s="1">
        <v>14</v>
      </c>
      <c r="G772" s="1">
        <v>557</v>
      </c>
      <c r="H772" s="1">
        <v>608</v>
      </c>
      <c r="I772" s="1">
        <f t="shared" si="4"/>
        <v>51</v>
      </c>
    </row>
    <row r="773" spans="1:10" x14ac:dyDescent="0.25">
      <c r="C773" s="1">
        <v>25</v>
      </c>
      <c r="D773" s="1">
        <v>1</v>
      </c>
      <c r="E773" s="1">
        <v>30</v>
      </c>
      <c r="F773" s="1">
        <v>15</v>
      </c>
      <c r="G773" s="1">
        <v>608</v>
      </c>
      <c r="H773" s="1">
        <v>656</v>
      </c>
      <c r="I773" s="1">
        <f t="shared" si="4"/>
        <v>48</v>
      </c>
    </row>
    <row r="774" spans="1:10" x14ac:dyDescent="0.25">
      <c r="C774" s="1">
        <v>25</v>
      </c>
      <c r="D774" s="1">
        <v>1</v>
      </c>
      <c r="E774" s="1">
        <v>30</v>
      </c>
      <c r="F774" s="1">
        <v>16</v>
      </c>
      <c r="G774" s="1">
        <v>663</v>
      </c>
      <c r="H774" s="1">
        <v>714</v>
      </c>
      <c r="I774" s="1">
        <f t="shared" si="4"/>
        <v>51</v>
      </c>
    </row>
    <row r="775" spans="1:10" x14ac:dyDescent="0.25">
      <c r="C775" s="1">
        <v>25</v>
      </c>
      <c r="D775" s="1">
        <v>1</v>
      </c>
      <c r="E775" s="1">
        <v>30</v>
      </c>
      <c r="F775" s="1">
        <v>17</v>
      </c>
      <c r="G775" s="1">
        <v>715</v>
      </c>
      <c r="H775" s="1">
        <v>757</v>
      </c>
      <c r="I775" s="1">
        <f t="shared" si="4"/>
        <v>42</v>
      </c>
    </row>
    <row r="776" spans="1:10" x14ac:dyDescent="0.25">
      <c r="C776" s="1">
        <v>25</v>
      </c>
      <c r="D776" s="1">
        <v>1</v>
      </c>
      <c r="E776" s="1">
        <v>30</v>
      </c>
      <c r="F776" s="1">
        <v>18</v>
      </c>
      <c r="G776" s="1">
        <v>758</v>
      </c>
      <c r="H776" s="1">
        <v>804</v>
      </c>
      <c r="I776" s="1">
        <f t="shared" si="4"/>
        <v>46</v>
      </c>
    </row>
    <row r="777" spans="1:10" x14ac:dyDescent="0.25">
      <c r="C777" s="1">
        <v>25</v>
      </c>
      <c r="D777" s="1">
        <v>1</v>
      </c>
      <c r="E777" s="1">
        <v>30</v>
      </c>
      <c r="F777" s="1">
        <v>19</v>
      </c>
      <c r="G777" s="1">
        <v>804</v>
      </c>
      <c r="H777" s="1">
        <v>855</v>
      </c>
      <c r="I777" s="1">
        <f t="shared" si="4"/>
        <v>51</v>
      </c>
    </row>
    <row r="778" spans="1:10" x14ac:dyDescent="0.25">
      <c r="C778" s="1">
        <v>25</v>
      </c>
      <c r="D778" s="1">
        <v>1</v>
      </c>
      <c r="E778" s="1">
        <v>30</v>
      </c>
      <c r="F778" s="1">
        <v>20</v>
      </c>
      <c r="G778" s="1">
        <v>855</v>
      </c>
      <c r="H778" s="1">
        <v>910</v>
      </c>
      <c r="I778" s="1">
        <f t="shared" si="4"/>
        <v>55</v>
      </c>
    </row>
    <row r="779" spans="1:10" x14ac:dyDescent="0.25">
      <c r="C779" s="1">
        <v>25</v>
      </c>
      <c r="D779" s="1">
        <v>1</v>
      </c>
      <c r="E779" s="1">
        <v>30</v>
      </c>
      <c r="F779" s="1">
        <v>21</v>
      </c>
      <c r="G779" s="1">
        <v>910</v>
      </c>
      <c r="H779" s="1">
        <v>960</v>
      </c>
      <c r="I779" s="1">
        <f t="shared" si="4"/>
        <v>50</v>
      </c>
    </row>
    <row r="780" spans="1:10" x14ac:dyDescent="0.25">
      <c r="C780" s="1">
        <v>25</v>
      </c>
      <c r="D780" s="1">
        <v>1</v>
      </c>
      <c r="E780" s="1">
        <v>30</v>
      </c>
      <c r="F780" s="1">
        <v>22</v>
      </c>
      <c r="G780" s="1">
        <v>964</v>
      </c>
      <c r="H780" s="1">
        <v>1000</v>
      </c>
      <c r="I780" s="1">
        <f t="shared" si="4"/>
        <v>36</v>
      </c>
    </row>
    <row r="781" spans="1:10" x14ac:dyDescent="0.25">
      <c r="C781" s="1">
        <v>25</v>
      </c>
      <c r="D781" s="1">
        <v>1</v>
      </c>
      <c r="E781" s="1">
        <v>30</v>
      </c>
      <c r="F781" s="1">
        <v>23</v>
      </c>
      <c r="G781" s="1">
        <v>1000</v>
      </c>
      <c r="H781" s="1">
        <v>1049</v>
      </c>
      <c r="I781" s="1">
        <f t="shared" si="4"/>
        <v>49</v>
      </c>
    </row>
    <row r="782" spans="1:10" x14ac:dyDescent="0.25">
      <c r="C782" s="1">
        <v>25</v>
      </c>
      <c r="D782" s="1">
        <v>1</v>
      </c>
      <c r="E782" s="1">
        <v>30</v>
      </c>
      <c r="F782" s="1">
        <v>24</v>
      </c>
      <c r="G782" s="1">
        <v>1050</v>
      </c>
      <c r="H782" s="1">
        <v>1100</v>
      </c>
      <c r="I782" s="1">
        <f t="shared" si="4"/>
        <v>50</v>
      </c>
    </row>
    <row r="783" spans="1:10" x14ac:dyDescent="0.25">
      <c r="C783" s="1">
        <v>25</v>
      </c>
      <c r="D783" s="1">
        <v>1</v>
      </c>
      <c r="E783" s="1">
        <v>30</v>
      </c>
      <c r="F783" s="1">
        <v>25</v>
      </c>
      <c r="G783" s="1">
        <v>1100</v>
      </c>
      <c r="H783" s="1">
        <v>1147</v>
      </c>
      <c r="I783" s="1">
        <f t="shared" si="4"/>
        <v>47</v>
      </c>
    </row>
    <row r="784" spans="1:10" x14ac:dyDescent="0.25">
      <c r="A784" s="5">
        <v>1</v>
      </c>
      <c r="B784" s="2">
        <v>43955</v>
      </c>
      <c r="C784" s="1">
        <v>26</v>
      </c>
      <c r="D784" s="1">
        <v>2</v>
      </c>
      <c r="E784" s="1">
        <v>30</v>
      </c>
      <c r="F784" s="1">
        <v>1</v>
      </c>
      <c r="G784" s="1">
        <v>0</v>
      </c>
      <c r="H784" s="1">
        <v>36</v>
      </c>
      <c r="I784" s="1">
        <f t="shared" si="4"/>
        <v>36</v>
      </c>
      <c r="J784" s="8">
        <f>(I784+I785+I786+I804+I803+I802+I793+I794+I795)/9</f>
        <v>34.333333333333336</v>
      </c>
    </row>
    <row r="785" spans="3:9" x14ac:dyDescent="0.25">
      <c r="C785" s="1">
        <v>26</v>
      </c>
      <c r="D785" s="1">
        <v>2</v>
      </c>
      <c r="E785" s="1">
        <v>30</v>
      </c>
      <c r="F785" s="1">
        <v>2</v>
      </c>
      <c r="G785" s="1">
        <v>36</v>
      </c>
      <c r="H785" s="1">
        <v>63</v>
      </c>
      <c r="I785" s="1">
        <f t="shared" si="4"/>
        <v>27</v>
      </c>
    </row>
    <row r="786" spans="3:9" x14ac:dyDescent="0.25">
      <c r="C786" s="1">
        <v>26</v>
      </c>
      <c r="D786" s="1">
        <v>2</v>
      </c>
      <c r="E786" s="1">
        <v>30</v>
      </c>
      <c r="F786" s="1">
        <v>3</v>
      </c>
      <c r="G786" s="1">
        <v>63</v>
      </c>
      <c r="H786" s="1">
        <v>99</v>
      </c>
      <c r="I786" s="1">
        <f t="shared" si="4"/>
        <v>36</v>
      </c>
    </row>
    <row r="787" spans="3:9" x14ac:dyDescent="0.25">
      <c r="C787" s="1">
        <v>26</v>
      </c>
      <c r="D787" s="1">
        <v>2</v>
      </c>
      <c r="E787" s="1">
        <v>30</v>
      </c>
      <c r="F787" s="1">
        <v>4</v>
      </c>
      <c r="G787" s="1">
        <v>102</v>
      </c>
      <c r="H787" s="1">
        <v>144</v>
      </c>
      <c r="I787" s="1">
        <f t="shared" si="4"/>
        <v>42</v>
      </c>
    </row>
    <row r="788" spans="3:9" x14ac:dyDescent="0.25">
      <c r="C788" s="1">
        <v>26</v>
      </c>
      <c r="D788" s="1">
        <v>2</v>
      </c>
      <c r="E788" s="1">
        <v>30</v>
      </c>
      <c r="F788" s="1">
        <v>5</v>
      </c>
      <c r="G788" s="1">
        <v>144</v>
      </c>
      <c r="H788" s="1">
        <v>175</v>
      </c>
      <c r="I788" s="1">
        <f t="shared" si="4"/>
        <v>31</v>
      </c>
    </row>
    <row r="789" spans="3:9" x14ac:dyDescent="0.25">
      <c r="C789" s="1">
        <v>26</v>
      </c>
      <c r="D789" s="1">
        <v>2</v>
      </c>
      <c r="E789" s="1">
        <v>30</v>
      </c>
      <c r="F789" s="1">
        <v>6</v>
      </c>
      <c r="G789" s="1">
        <v>175</v>
      </c>
      <c r="H789" s="1">
        <v>221</v>
      </c>
      <c r="I789" s="1">
        <f t="shared" si="4"/>
        <v>46</v>
      </c>
    </row>
    <row r="790" spans="3:9" x14ac:dyDescent="0.25">
      <c r="C790" s="1">
        <v>26</v>
      </c>
      <c r="D790" s="1">
        <v>2</v>
      </c>
      <c r="E790" s="1">
        <v>30</v>
      </c>
      <c r="F790" s="1">
        <v>7</v>
      </c>
      <c r="G790" s="1">
        <v>221</v>
      </c>
      <c r="H790" s="1">
        <v>253</v>
      </c>
      <c r="I790" s="1">
        <f t="shared" si="4"/>
        <v>32</v>
      </c>
    </row>
    <row r="791" spans="3:9" x14ac:dyDescent="0.25">
      <c r="C791" s="1">
        <v>26</v>
      </c>
      <c r="D791" s="1">
        <v>2</v>
      </c>
      <c r="E791" s="1">
        <v>30</v>
      </c>
      <c r="F791" s="1">
        <v>8</v>
      </c>
      <c r="G791" s="1">
        <v>254</v>
      </c>
      <c r="H791" s="1">
        <v>294</v>
      </c>
      <c r="I791" s="1">
        <f t="shared" si="4"/>
        <v>40</v>
      </c>
    </row>
    <row r="792" spans="3:9" x14ac:dyDescent="0.25">
      <c r="C792" s="1">
        <v>26</v>
      </c>
      <c r="D792" s="1">
        <v>2</v>
      </c>
      <c r="E792" s="1">
        <v>30</v>
      </c>
      <c r="F792" s="1">
        <v>9</v>
      </c>
      <c r="G792" s="1">
        <v>296</v>
      </c>
      <c r="H792" s="1">
        <v>326</v>
      </c>
      <c r="I792" s="1">
        <f t="shared" si="4"/>
        <v>30</v>
      </c>
    </row>
    <row r="793" spans="3:9" x14ac:dyDescent="0.25">
      <c r="C793" s="1">
        <v>26</v>
      </c>
      <c r="D793" s="1">
        <v>2</v>
      </c>
      <c r="E793" s="1">
        <v>30</v>
      </c>
      <c r="F793" s="1">
        <v>10</v>
      </c>
      <c r="G793" s="1">
        <v>326</v>
      </c>
      <c r="H793" s="1">
        <v>357</v>
      </c>
      <c r="I793" s="1">
        <f t="shared" si="4"/>
        <v>31</v>
      </c>
    </row>
    <row r="794" spans="3:9" x14ac:dyDescent="0.25">
      <c r="C794" s="1">
        <v>26</v>
      </c>
      <c r="D794" s="1">
        <v>2</v>
      </c>
      <c r="E794" s="1">
        <v>30</v>
      </c>
      <c r="F794" s="1">
        <v>11</v>
      </c>
      <c r="G794" s="1">
        <v>357</v>
      </c>
      <c r="H794" s="1">
        <v>398</v>
      </c>
      <c r="I794" s="1">
        <f t="shared" si="4"/>
        <v>41</v>
      </c>
    </row>
    <row r="795" spans="3:9" x14ac:dyDescent="0.25">
      <c r="C795" s="1">
        <v>26</v>
      </c>
      <c r="D795" s="1">
        <v>2</v>
      </c>
      <c r="E795" s="1">
        <v>30</v>
      </c>
      <c r="F795" s="1">
        <v>12</v>
      </c>
      <c r="G795" s="1">
        <v>398</v>
      </c>
      <c r="H795" s="1">
        <v>433</v>
      </c>
      <c r="I795" s="1">
        <f t="shared" si="4"/>
        <v>35</v>
      </c>
    </row>
    <row r="796" spans="3:9" x14ac:dyDescent="0.25">
      <c r="C796" s="1">
        <v>26</v>
      </c>
      <c r="D796" s="1">
        <v>2</v>
      </c>
      <c r="E796" s="1">
        <v>30</v>
      </c>
      <c r="F796" s="1">
        <v>13</v>
      </c>
      <c r="G796" s="1">
        <v>437</v>
      </c>
      <c r="H796" s="1">
        <v>483</v>
      </c>
      <c r="I796" s="1">
        <f t="shared" si="4"/>
        <v>46</v>
      </c>
    </row>
    <row r="797" spans="3:9" x14ac:dyDescent="0.25">
      <c r="C797" s="1">
        <v>26</v>
      </c>
      <c r="D797" s="1">
        <v>2</v>
      </c>
      <c r="E797" s="1">
        <v>30</v>
      </c>
      <c r="F797" s="1">
        <v>14</v>
      </c>
      <c r="G797" s="1">
        <v>486</v>
      </c>
      <c r="H797" s="1">
        <v>506</v>
      </c>
      <c r="I797" s="1">
        <f t="shared" si="4"/>
        <v>20</v>
      </c>
    </row>
    <row r="798" spans="3:9" x14ac:dyDescent="0.25">
      <c r="C798" s="1">
        <v>26</v>
      </c>
      <c r="D798" s="1">
        <v>2</v>
      </c>
      <c r="E798" s="1">
        <v>30</v>
      </c>
      <c r="F798" s="1">
        <v>15</v>
      </c>
      <c r="G798" s="1">
        <v>508</v>
      </c>
      <c r="H798" s="1">
        <v>552</v>
      </c>
      <c r="I798" s="1">
        <f t="shared" si="4"/>
        <v>44</v>
      </c>
    </row>
    <row r="799" spans="3:9" x14ac:dyDescent="0.25">
      <c r="C799" s="1">
        <v>26</v>
      </c>
      <c r="D799" s="1">
        <v>2</v>
      </c>
      <c r="E799" s="1">
        <v>30</v>
      </c>
      <c r="F799" s="1">
        <v>16</v>
      </c>
      <c r="G799" s="1">
        <v>552</v>
      </c>
      <c r="H799" s="1">
        <v>589</v>
      </c>
      <c r="I799" s="1">
        <f t="shared" si="4"/>
        <v>37</v>
      </c>
    </row>
    <row r="800" spans="3:9" x14ac:dyDescent="0.25">
      <c r="C800" s="1">
        <v>26</v>
      </c>
      <c r="D800" s="1">
        <v>2</v>
      </c>
      <c r="E800" s="1">
        <v>30</v>
      </c>
      <c r="F800" s="1">
        <v>17</v>
      </c>
      <c r="G800" s="1">
        <v>593</v>
      </c>
      <c r="H800" s="1">
        <v>617</v>
      </c>
      <c r="I800" s="1">
        <f t="shared" si="4"/>
        <v>24</v>
      </c>
    </row>
    <row r="801" spans="1:10" x14ac:dyDescent="0.25">
      <c r="C801" s="1">
        <v>26</v>
      </c>
      <c r="D801" s="1">
        <v>2</v>
      </c>
      <c r="E801" s="1">
        <v>30</v>
      </c>
      <c r="F801" s="1">
        <v>18</v>
      </c>
      <c r="G801" s="1">
        <v>620</v>
      </c>
      <c r="H801" s="1">
        <v>651</v>
      </c>
      <c r="I801" s="1">
        <f t="shared" si="4"/>
        <v>31</v>
      </c>
    </row>
    <row r="802" spans="1:10" x14ac:dyDescent="0.25">
      <c r="C802" s="1">
        <v>26</v>
      </c>
      <c r="D802" s="1">
        <v>2</v>
      </c>
      <c r="E802" s="1">
        <v>30</v>
      </c>
      <c r="F802" s="1">
        <v>19</v>
      </c>
      <c r="G802" s="1">
        <v>655</v>
      </c>
      <c r="H802" s="1">
        <v>695</v>
      </c>
      <c r="I802" s="1">
        <f t="shared" si="4"/>
        <v>40</v>
      </c>
    </row>
    <row r="803" spans="1:10" x14ac:dyDescent="0.25">
      <c r="C803" s="1">
        <v>26</v>
      </c>
      <c r="D803" s="1">
        <v>2</v>
      </c>
      <c r="E803" s="1">
        <v>30</v>
      </c>
      <c r="F803" s="1">
        <v>20</v>
      </c>
      <c r="G803" s="1">
        <v>695</v>
      </c>
      <c r="H803" s="1">
        <v>735</v>
      </c>
      <c r="I803" s="1">
        <f t="shared" si="4"/>
        <v>40</v>
      </c>
    </row>
    <row r="804" spans="1:10" x14ac:dyDescent="0.25">
      <c r="C804" s="1">
        <v>26</v>
      </c>
      <c r="D804" s="1">
        <v>2</v>
      </c>
      <c r="E804" s="1">
        <v>30</v>
      </c>
      <c r="F804" s="1">
        <v>21</v>
      </c>
      <c r="G804" s="1">
        <v>735</v>
      </c>
      <c r="H804" s="1">
        <v>758</v>
      </c>
      <c r="I804" s="1">
        <f t="shared" si="4"/>
        <v>23</v>
      </c>
    </row>
    <row r="805" spans="1:10" x14ac:dyDescent="0.25">
      <c r="A805" s="5">
        <v>2</v>
      </c>
      <c r="B805" s="2">
        <v>43968</v>
      </c>
      <c r="C805" s="1">
        <v>21</v>
      </c>
      <c r="D805" s="1">
        <v>2</v>
      </c>
      <c r="E805" s="1">
        <v>30</v>
      </c>
      <c r="F805" s="1">
        <v>1</v>
      </c>
      <c r="G805" s="1">
        <v>1</v>
      </c>
      <c r="H805" s="1">
        <v>46</v>
      </c>
      <c r="I805" s="1">
        <f t="shared" si="4"/>
        <v>45</v>
      </c>
      <c r="J805" s="8">
        <f>(I805+I806+I807+I829+I828+I827+I816+I817+I818)/9</f>
        <v>42.777777777777779</v>
      </c>
    </row>
    <row r="806" spans="1:10" x14ac:dyDescent="0.25">
      <c r="C806" s="1">
        <v>21</v>
      </c>
      <c r="D806" s="1">
        <v>2</v>
      </c>
      <c r="E806" s="1">
        <v>30</v>
      </c>
      <c r="F806" s="1">
        <v>2</v>
      </c>
      <c r="G806" s="1">
        <v>46</v>
      </c>
      <c r="H806" s="1">
        <v>97</v>
      </c>
      <c r="I806" s="1">
        <f t="shared" si="4"/>
        <v>51</v>
      </c>
    </row>
    <row r="807" spans="1:10" x14ac:dyDescent="0.25">
      <c r="C807" s="1">
        <v>21</v>
      </c>
      <c r="D807" s="1">
        <v>2</v>
      </c>
      <c r="E807" s="1">
        <v>30</v>
      </c>
      <c r="F807" s="1">
        <v>3</v>
      </c>
      <c r="G807" s="1">
        <v>102</v>
      </c>
      <c r="H807" s="1">
        <v>149</v>
      </c>
      <c r="I807" s="1">
        <f t="shared" si="4"/>
        <v>47</v>
      </c>
    </row>
    <row r="808" spans="1:10" x14ac:dyDescent="0.25">
      <c r="C808" s="1">
        <v>21</v>
      </c>
      <c r="D808" s="1">
        <v>2</v>
      </c>
      <c r="E808" s="1">
        <v>30</v>
      </c>
      <c r="F808" s="1">
        <v>4</v>
      </c>
      <c r="G808" s="1">
        <v>149</v>
      </c>
      <c r="H808" s="1">
        <v>206</v>
      </c>
      <c r="I808" s="1">
        <f t="shared" si="4"/>
        <v>57</v>
      </c>
    </row>
    <row r="809" spans="1:10" x14ac:dyDescent="0.25">
      <c r="C809" s="1">
        <v>21</v>
      </c>
      <c r="D809" s="1">
        <v>2</v>
      </c>
      <c r="E809" s="1">
        <v>30</v>
      </c>
      <c r="F809" s="1">
        <v>5</v>
      </c>
      <c r="G809" s="1">
        <v>207</v>
      </c>
      <c r="H809" s="1">
        <v>224</v>
      </c>
      <c r="I809" s="1">
        <f t="shared" si="4"/>
        <v>17</v>
      </c>
    </row>
    <row r="810" spans="1:10" x14ac:dyDescent="0.25">
      <c r="C810" s="1">
        <v>21</v>
      </c>
      <c r="D810" s="1">
        <v>2</v>
      </c>
      <c r="E810" s="1">
        <v>30</v>
      </c>
      <c r="F810" s="1">
        <v>6</v>
      </c>
      <c r="G810" s="1">
        <v>227</v>
      </c>
      <c r="H810" s="1">
        <v>275</v>
      </c>
      <c r="I810" s="1">
        <f t="shared" si="4"/>
        <v>48</v>
      </c>
    </row>
    <row r="811" spans="1:10" x14ac:dyDescent="0.25">
      <c r="C811" s="1">
        <v>21</v>
      </c>
      <c r="D811" s="1">
        <v>2</v>
      </c>
      <c r="E811" s="1">
        <v>30</v>
      </c>
      <c r="F811" s="1">
        <v>7</v>
      </c>
      <c r="G811" s="1">
        <v>275</v>
      </c>
      <c r="H811" s="1">
        <v>323</v>
      </c>
      <c r="I811" s="1">
        <f t="shared" si="4"/>
        <v>48</v>
      </c>
    </row>
    <row r="812" spans="1:10" x14ac:dyDescent="0.25">
      <c r="C812" s="1">
        <v>21</v>
      </c>
      <c r="D812" s="1">
        <v>2</v>
      </c>
      <c r="E812" s="1">
        <v>30</v>
      </c>
      <c r="F812" s="1">
        <v>8</v>
      </c>
      <c r="G812" s="1">
        <v>323</v>
      </c>
      <c r="H812" s="1">
        <v>370</v>
      </c>
      <c r="I812" s="1">
        <f t="shared" si="4"/>
        <v>47</v>
      </c>
    </row>
    <row r="813" spans="1:10" x14ac:dyDescent="0.25">
      <c r="C813" s="1">
        <v>21</v>
      </c>
      <c r="D813" s="1">
        <v>2</v>
      </c>
      <c r="E813" s="1">
        <v>30</v>
      </c>
      <c r="F813" s="1">
        <v>9</v>
      </c>
      <c r="G813" s="1">
        <v>370</v>
      </c>
      <c r="H813" s="1">
        <v>414</v>
      </c>
      <c r="I813" s="1">
        <f t="shared" si="4"/>
        <v>44</v>
      </c>
    </row>
    <row r="814" spans="1:10" x14ac:dyDescent="0.25">
      <c r="C814" s="1">
        <v>21</v>
      </c>
      <c r="D814" s="1">
        <v>2</v>
      </c>
      <c r="E814" s="1">
        <v>30</v>
      </c>
      <c r="F814" s="1">
        <v>10</v>
      </c>
      <c r="G814" s="1">
        <v>414</v>
      </c>
      <c r="H814" s="1">
        <v>429</v>
      </c>
      <c r="I814" s="1">
        <f t="shared" si="4"/>
        <v>15</v>
      </c>
    </row>
    <row r="815" spans="1:10" x14ac:dyDescent="0.25">
      <c r="C815" s="1">
        <v>21</v>
      </c>
      <c r="D815" s="1">
        <v>2</v>
      </c>
      <c r="E815" s="1">
        <v>30</v>
      </c>
      <c r="F815" s="1">
        <v>11</v>
      </c>
      <c r="G815" s="1">
        <v>436</v>
      </c>
      <c r="H815" s="1">
        <v>480</v>
      </c>
      <c r="I815" s="1">
        <f t="shared" si="4"/>
        <v>44</v>
      </c>
    </row>
    <row r="816" spans="1:10" x14ac:dyDescent="0.25">
      <c r="C816" s="1">
        <v>21</v>
      </c>
      <c r="D816" s="1">
        <v>2</v>
      </c>
      <c r="E816" s="1">
        <v>30</v>
      </c>
      <c r="F816" s="1">
        <v>12</v>
      </c>
      <c r="G816" s="1">
        <v>480</v>
      </c>
      <c r="H816" s="1">
        <v>480</v>
      </c>
      <c r="I816" s="1">
        <f t="shared" si="4"/>
        <v>0</v>
      </c>
    </row>
    <row r="817" spans="1:10" x14ac:dyDescent="0.25">
      <c r="C817" s="1">
        <v>21</v>
      </c>
      <c r="D817" s="1">
        <v>2</v>
      </c>
      <c r="E817" s="1">
        <v>30</v>
      </c>
      <c r="F817" s="1">
        <v>13</v>
      </c>
      <c r="G817" s="1">
        <v>489</v>
      </c>
      <c r="H817" s="1">
        <v>534</v>
      </c>
      <c r="I817" s="1">
        <f t="shared" si="4"/>
        <v>45</v>
      </c>
    </row>
    <row r="818" spans="1:10" x14ac:dyDescent="0.25">
      <c r="C818" s="1">
        <v>21</v>
      </c>
      <c r="D818" s="1">
        <v>2</v>
      </c>
      <c r="E818" s="1">
        <v>30</v>
      </c>
      <c r="F818" s="1">
        <v>14</v>
      </c>
      <c r="G818" s="1">
        <v>538</v>
      </c>
      <c r="H818" s="1">
        <v>592</v>
      </c>
      <c r="I818" s="1">
        <f t="shared" si="4"/>
        <v>54</v>
      </c>
    </row>
    <row r="819" spans="1:10" x14ac:dyDescent="0.25">
      <c r="C819" s="1">
        <v>21</v>
      </c>
      <c r="D819" s="1">
        <v>2</v>
      </c>
      <c r="E819" s="1">
        <v>30</v>
      </c>
      <c r="F819" s="1">
        <v>15</v>
      </c>
      <c r="G819" s="1">
        <v>592</v>
      </c>
      <c r="H819" s="1">
        <v>626</v>
      </c>
      <c r="I819" s="1">
        <f t="shared" si="4"/>
        <v>34</v>
      </c>
    </row>
    <row r="820" spans="1:10" x14ac:dyDescent="0.25">
      <c r="C820" s="1">
        <v>21</v>
      </c>
      <c r="D820" s="1">
        <v>2</v>
      </c>
      <c r="E820" s="1">
        <v>30</v>
      </c>
      <c r="F820" s="1">
        <v>16</v>
      </c>
      <c r="G820" s="1">
        <v>627</v>
      </c>
      <c r="H820" s="1">
        <v>675</v>
      </c>
      <c r="I820" s="1">
        <f t="shared" si="4"/>
        <v>48</v>
      </c>
    </row>
    <row r="821" spans="1:10" x14ac:dyDescent="0.25">
      <c r="C821" s="1">
        <v>21</v>
      </c>
      <c r="D821" s="1">
        <v>2</v>
      </c>
      <c r="E821" s="1">
        <v>30</v>
      </c>
      <c r="F821" s="1">
        <v>17</v>
      </c>
      <c r="G821" s="1">
        <v>675</v>
      </c>
      <c r="H821" s="1">
        <v>721</v>
      </c>
      <c r="I821" s="1">
        <f t="shared" si="4"/>
        <v>46</v>
      </c>
    </row>
    <row r="822" spans="1:10" x14ac:dyDescent="0.25">
      <c r="C822" s="1">
        <v>21</v>
      </c>
      <c r="D822" s="1">
        <v>2</v>
      </c>
      <c r="E822" s="1">
        <v>30</v>
      </c>
      <c r="F822" s="1">
        <v>18</v>
      </c>
      <c r="G822" s="1">
        <v>722</v>
      </c>
      <c r="H822" s="1">
        <v>769</v>
      </c>
      <c r="I822" s="1">
        <f t="shared" si="4"/>
        <v>47</v>
      </c>
    </row>
    <row r="823" spans="1:10" x14ac:dyDescent="0.25">
      <c r="C823" s="1">
        <v>21</v>
      </c>
      <c r="D823" s="1">
        <v>2</v>
      </c>
      <c r="E823" s="1">
        <v>30</v>
      </c>
      <c r="F823" s="1">
        <v>19</v>
      </c>
      <c r="G823" s="1">
        <v>769</v>
      </c>
      <c r="H823" s="1">
        <v>821</v>
      </c>
      <c r="I823" s="1">
        <f t="shared" si="4"/>
        <v>52</v>
      </c>
    </row>
    <row r="824" spans="1:10" x14ac:dyDescent="0.25">
      <c r="C824" s="1">
        <v>21</v>
      </c>
      <c r="D824" s="1">
        <v>2</v>
      </c>
      <c r="E824" s="1">
        <v>30</v>
      </c>
      <c r="F824" s="1">
        <v>20</v>
      </c>
      <c r="G824" s="1">
        <v>821</v>
      </c>
      <c r="H824" s="1">
        <v>860</v>
      </c>
      <c r="I824" s="1">
        <f t="shared" si="4"/>
        <v>39</v>
      </c>
    </row>
    <row r="825" spans="1:10" x14ac:dyDescent="0.25">
      <c r="C825" s="1">
        <v>21</v>
      </c>
      <c r="D825" s="1">
        <v>2</v>
      </c>
      <c r="E825" s="1">
        <v>30</v>
      </c>
      <c r="F825" s="1">
        <v>21</v>
      </c>
      <c r="G825" s="1">
        <v>861</v>
      </c>
      <c r="H825" s="1">
        <v>906</v>
      </c>
      <c r="I825" s="1">
        <f t="shared" si="4"/>
        <v>45</v>
      </c>
    </row>
    <row r="826" spans="1:10" x14ac:dyDescent="0.25">
      <c r="C826" s="1">
        <v>21</v>
      </c>
      <c r="D826" s="1">
        <v>2</v>
      </c>
      <c r="E826" s="1">
        <v>30</v>
      </c>
      <c r="F826" s="1">
        <v>22</v>
      </c>
      <c r="G826" s="1">
        <v>906</v>
      </c>
      <c r="H826" s="1">
        <v>949</v>
      </c>
      <c r="I826" s="1">
        <f t="shared" si="4"/>
        <v>43</v>
      </c>
    </row>
    <row r="827" spans="1:10" x14ac:dyDescent="0.25">
      <c r="C827" s="1">
        <v>21</v>
      </c>
      <c r="D827" s="1">
        <v>2</v>
      </c>
      <c r="E827" s="1">
        <v>30</v>
      </c>
      <c r="F827" s="1">
        <v>23</v>
      </c>
      <c r="G827" s="1">
        <v>949</v>
      </c>
      <c r="H827" s="1">
        <v>999</v>
      </c>
      <c r="I827" s="1">
        <f t="shared" si="4"/>
        <v>50</v>
      </c>
    </row>
    <row r="828" spans="1:10" x14ac:dyDescent="0.25">
      <c r="C828" s="1">
        <v>21</v>
      </c>
      <c r="D828" s="1">
        <v>2</v>
      </c>
      <c r="E828" s="1">
        <v>30</v>
      </c>
      <c r="F828" s="1">
        <v>24</v>
      </c>
      <c r="G828" s="1">
        <v>999</v>
      </c>
      <c r="H828" s="1">
        <v>1046</v>
      </c>
      <c r="I828" s="1">
        <f t="shared" si="4"/>
        <v>47</v>
      </c>
    </row>
    <row r="829" spans="1:10" x14ac:dyDescent="0.25">
      <c r="C829" s="1">
        <v>21</v>
      </c>
      <c r="D829" s="1">
        <v>2</v>
      </c>
      <c r="E829" s="1">
        <v>30</v>
      </c>
      <c r="F829" s="1">
        <v>25</v>
      </c>
      <c r="G829" s="1">
        <v>1046</v>
      </c>
      <c r="H829" s="1">
        <v>1092</v>
      </c>
      <c r="I829" s="1">
        <f t="shared" si="4"/>
        <v>46</v>
      </c>
    </row>
    <row r="830" spans="1:10" x14ac:dyDescent="0.25">
      <c r="A830" s="5">
        <v>2</v>
      </c>
      <c r="B830" s="2">
        <v>43962</v>
      </c>
      <c r="C830" s="1">
        <v>22</v>
      </c>
      <c r="D830" s="1">
        <v>1</v>
      </c>
      <c r="E830" s="1">
        <v>30</v>
      </c>
      <c r="F830" s="1">
        <v>1</v>
      </c>
      <c r="G830" s="1">
        <v>0</v>
      </c>
      <c r="H830" s="1">
        <v>6</v>
      </c>
      <c r="I830" s="1">
        <f t="shared" si="4"/>
        <v>6</v>
      </c>
      <c r="J830" s="8">
        <f>(I830+I831+I832+I854+I853+I852+I841+I842+I843)/9</f>
        <v>33</v>
      </c>
    </row>
    <row r="831" spans="1:10" x14ac:dyDescent="0.25">
      <c r="C831" s="1">
        <v>22</v>
      </c>
      <c r="D831" s="1">
        <v>1</v>
      </c>
      <c r="E831" s="1">
        <v>30</v>
      </c>
      <c r="F831" s="1">
        <v>2</v>
      </c>
      <c r="G831" s="1">
        <v>6</v>
      </c>
      <c r="H831" s="1">
        <v>31</v>
      </c>
      <c r="I831" s="1">
        <f t="shared" si="4"/>
        <v>25</v>
      </c>
    </row>
    <row r="832" spans="1:10" x14ac:dyDescent="0.25">
      <c r="C832" s="1">
        <v>22</v>
      </c>
      <c r="D832" s="1">
        <v>1</v>
      </c>
      <c r="E832" s="1">
        <v>30</v>
      </c>
      <c r="F832" s="1">
        <v>3</v>
      </c>
      <c r="G832" s="1">
        <v>31</v>
      </c>
      <c r="H832" s="1">
        <v>48</v>
      </c>
      <c r="I832" s="1">
        <f t="shared" si="4"/>
        <v>17</v>
      </c>
    </row>
    <row r="833" spans="3:9" x14ac:dyDescent="0.25">
      <c r="C833" s="1">
        <v>22</v>
      </c>
      <c r="D833" s="1">
        <v>1</v>
      </c>
      <c r="E833" s="1">
        <v>30</v>
      </c>
      <c r="F833" s="1">
        <v>4</v>
      </c>
      <c r="G833" s="1">
        <v>48</v>
      </c>
      <c r="H833" s="1">
        <v>48</v>
      </c>
      <c r="I833" s="1">
        <f t="shared" si="4"/>
        <v>0</v>
      </c>
    </row>
    <row r="834" spans="3:9" x14ac:dyDescent="0.25">
      <c r="C834" s="1">
        <v>22</v>
      </c>
      <c r="D834" s="1">
        <v>1</v>
      </c>
      <c r="E834" s="1">
        <v>30</v>
      </c>
      <c r="F834" s="1">
        <v>5</v>
      </c>
      <c r="G834" s="1">
        <v>49</v>
      </c>
      <c r="H834" s="1">
        <v>49</v>
      </c>
      <c r="I834" s="1">
        <f t="shared" si="4"/>
        <v>0</v>
      </c>
    </row>
    <row r="835" spans="3:9" x14ac:dyDescent="0.25">
      <c r="C835" s="1">
        <v>22</v>
      </c>
      <c r="D835" s="1">
        <v>1</v>
      </c>
      <c r="E835" s="1">
        <v>30</v>
      </c>
      <c r="F835" s="1">
        <v>6</v>
      </c>
      <c r="G835" s="1">
        <v>49</v>
      </c>
      <c r="H835" s="1">
        <v>86</v>
      </c>
      <c r="I835" s="1">
        <f t="shared" si="4"/>
        <v>37</v>
      </c>
    </row>
    <row r="836" spans="3:9" x14ac:dyDescent="0.25">
      <c r="C836" s="1">
        <v>22</v>
      </c>
      <c r="D836" s="1">
        <v>1</v>
      </c>
      <c r="E836" s="1">
        <v>30</v>
      </c>
      <c r="F836" s="1">
        <v>7</v>
      </c>
      <c r="G836" s="1">
        <v>86</v>
      </c>
      <c r="H836" s="1">
        <v>126</v>
      </c>
      <c r="I836" s="1">
        <f t="shared" si="4"/>
        <v>40</v>
      </c>
    </row>
    <row r="837" spans="3:9" x14ac:dyDescent="0.25">
      <c r="C837" s="1">
        <v>22</v>
      </c>
      <c r="D837" s="1">
        <v>1</v>
      </c>
      <c r="E837" s="1">
        <v>30</v>
      </c>
      <c r="F837" s="1">
        <v>8</v>
      </c>
      <c r="G837" s="1">
        <v>129</v>
      </c>
      <c r="H837" s="1">
        <v>169</v>
      </c>
      <c r="I837" s="1">
        <f t="shared" si="4"/>
        <v>40</v>
      </c>
    </row>
    <row r="838" spans="3:9" x14ac:dyDescent="0.25">
      <c r="C838" s="1">
        <v>22</v>
      </c>
      <c r="D838" s="1">
        <v>1</v>
      </c>
      <c r="E838" s="1">
        <v>30</v>
      </c>
      <c r="F838" s="1">
        <v>9</v>
      </c>
      <c r="G838" s="1">
        <v>169</v>
      </c>
      <c r="H838" s="1">
        <v>205</v>
      </c>
      <c r="I838" s="1">
        <f t="shared" si="4"/>
        <v>36</v>
      </c>
    </row>
    <row r="839" spans="3:9" x14ac:dyDescent="0.25">
      <c r="C839" s="1">
        <v>22</v>
      </c>
      <c r="D839" s="1">
        <v>1</v>
      </c>
      <c r="E839" s="1">
        <v>30</v>
      </c>
      <c r="F839" s="1">
        <v>10</v>
      </c>
      <c r="G839" s="1">
        <v>205</v>
      </c>
      <c r="H839" s="1">
        <v>250</v>
      </c>
      <c r="I839" s="1">
        <f t="shared" si="4"/>
        <v>45</v>
      </c>
    </row>
    <row r="840" spans="3:9" x14ac:dyDescent="0.25">
      <c r="C840" s="1">
        <v>22</v>
      </c>
      <c r="D840" s="1">
        <v>1</v>
      </c>
      <c r="E840" s="1">
        <v>30</v>
      </c>
      <c r="F840" s="1">
        <v>11</v>
      </c>
      <c r="G840" s="1">
        <v>250</v>
      </c>
      <c r="H840" s="1">
        <v>295</v>
      </c>
      <c r="I840" s="1">
        <f t="shared" si="4"/>
        <v>45</v>
      </c>
    </row>
    <row r="841" spans="3:9" x14ac:dyDescent="0.25">
      <c r="C841" s="1">
        <v>22</v>
      </c>
      <c r="D841" s="1">
        <v>1</v>
      </c>
      <c r="E841" s="1">
        <v>30</v>
      </c>
      <c r="F841" s="1">
        <v>12</v>
      </c>
      <c r="G841" s="1">
        <v>297</v>
      </c>
      <c r="H841" s="1">
        <v>345</v>
      </c>
      <c r="I841" s="1">
        <f t="shared" si="4"/>
        <v>48</v>
      </c>
    </row>
    <row r="842" spans="3:9" x14ac:dyDescent="0.25">
      <c r="C842" s="1">
        <v>22</v>
      </c>
      <c r="D842" s="1">
        <v>1</v>
      </c>
      <c r="E842" s="1">
        <v>30</v>
      </c>
      <c r="F842" s="1">
        <v>13</v>
      </c>
      <c r="G842" s="1">
        <v>350</v>
      </c>
      <c r="H842" s="1">
        <v>397</v>
      </c>
      <c r="I842" s="1">
        <f t="shared" si="4"/>
        <v>47</v>
      </c>
    </row>
    <row r="843" spans="3:9" x14ac:dyDescent="0.25">
      <c r="C843" s="1">
        <v>22</v>
      </c>
      <c r="D843" s="1">
        <v>1</v>
      </c>
      <c r="E843" s="1">
        <v>30</v>
      </c>
      <c r="F843" s="1">
        <v>14</v>
      </c>
      <c r="G843" s="1">
        <v>399</v>
      </c>
      <c r="H843" s="1">
        <v>446</v>
      </c>
      <c r="I843" s="1">
        <f t="shared" si="4"/>
        <v>47</v>
      </c>
    </row>
    <row r="844" spans="3:9" x14ac:dyDescent="0.25">
      <c r="C844" s="1">
        <v>22</v>
      </c>
      <c r="D844" s="1">
        <v>1</v>
      </c>
      <c r="E844" s="1">
        <v>30</v>
      </c>
      <c r="F844" s="1">
        <v>15</v>
      </c>
      <c r="G844" s="1">
        <v>446</v>
      </c>
      <c r="H844" s="1">
        <v>495</v>
      </c>
      <c r="I844" s="1">
        <f t="shared" si="4"/>
        <v>49</v>
      </c>
    </row>
    <row r="845" spans="3:9" x14ac:dyDescent="0.25">
      <c r="C845" s="1">
        <v>22</v>
      </c>
      <c r="D845" s="1">
        <v>1</v>
      </c>
      <c r="E845" s="1">
        <v>30</v>
      </c>
      <c r="F845" s="1">
        <v>16</v>
      </c>
      <c r="G845" s="1">
        <v>495</v>
      </c>
      <c r="H845" s="1">
        <v>542</v>
      </c>
      <c r="I845" s="1">
        <f t="shared" si="4"/>
        <v>47</v>
      </c>
    </row>
    <row r="846" spans="3:9" x14ac:dyDescent="0.25">
      <c r="C846" s="1">
        <v>22</v>
      </c>
      <c r="D846" s="1">
        <v>1</v>
      </c>
      <c r="E846" s="1">
        <v>30</v>
      </c>
      <c r="F846" s="1">
        <v>17</v>
      </c>
      <c r="G846" s="1">
        <v>542</v>
      </c>
      <c r="H846" s="1">
        <v>586</v>
      </c>
      <c r="I846" s="1">
        <f t="shared" si="4"/>
        <v>44</v>
      </c>
    </row>
    <row r="847" spans="3:9" x14ac:dyDescent="0.25">
      <c r="C847" s="1">
        <v>22</v>
      </c>
      <c r="D847" s="1">
        <v>1</v>
      </c>
      <c r="E847" s="1">
        <v>30</v>
      </c>
      <c r="F847" s="1">
        <v>18</v>
      </c>
      <c r="G847" s="1">
        <v>586</v>
      </c>
      <c r="H847" s="1">
        <v>627</v>
      </c>
      <c r="I847" s="1">
        <f t="shared" si="4"/>
        <v>41</v>
      </c>
    </row>
    <row r="848" spans="3:9" x14ac:dyDescent="0.25">
      <c r="C848" s="1">
        <v>22</v>
      </c>
      <c r="D848" s="1">
        <v>1</v>
      </c>
      <c r="E848" s="1">
        <v>30</v>
      </c>
      <c r="F848" s="1">
        <v>19</v>
      </c>
      <c r="G848" s="1">
        <v>627</v>
      </c>
      <c r="H848" s="1">
        <v>672</v>
      </c>
      <c r="I848" s="1">
        <f t="shared" si="4"/>
        <v>45</v>
      </c>
    </row>
    <row r="849" spans="1:10" x14ac:dyDescent="0.25">
      <c r="C849" s="1">
        <v>22</v>
      </c>
      <c r="D849" s="1">
        <v>1</v>
      </c>
      <c r="E849" s="1">
        <v>30</v>
      </c>
      <c r="F849" s="1">
        <v>20</v>
      </c>
      <c r="G849" s="1">
        <v>677</v>
      </c>
      <c r="H849" s="1">
        <v>725</v>
      </c>
      <c r="I849" s="1">
        <f t="shared" si="4"/>
        <v>48</v>
      </c>
    </row>
    <row r="850" spans="1:10" x14ac:dyDescent="0.25">
      <c r="C850" s="1">
        <v>22</v>
      </c>
      <c r="D850" s="1">
        <v>1</v>
      </c>
      <c r="E850" s="1">
        <v>30</v>
      </c>
      <c r="F850" s="1">
        <v>21</v>
      </c>
      <c r="G850" s="1">
        <v>725</v>
      </c>
      <c r="H850" s="1">
        <v>772</v>
      </c>
      <c r="I850" s="1">
        <f t="shared" si="4"/>
        <v>47</v>
      </c>
    </row>
    <row r="851" spans="1:10" x14ac:dyDescent="0.25">
      <c r="C851" s="1">
        <v>22</v>
      </c>
      <c r="D851" s="1">
        <v>1</v>
      </c>
      <c r="E851" s="1">
        <v>30</v>
      </c>
      <c r="F851" s="1">
        <v>22</v>
      </c>
      <c r="G851" s="1">
        <v>778</v>
      </c>
      <c r="H851" s="1">
        <v>814</v>
      </c>
      <c r="I851" s="1">
        <f t="shared" si="4"/>
        <v>36</v>
      </c>
    </row>
    <row r="852" spans="1:10" x14ac:dyDescent="0.25">
      <c r="C852" s="1">
        <v>22</v>
      </c>
      <c r="D852" s="1">
        <v>1</v>
      </c>
      <c r="E852" s="1">
        <v>30</v>
      </c>
      <c r="F852" s="1">
        <v>23</v>
      </c>
      <c r="G852" s="1">
        <v>818</v>
      </c>
      <c r="H852" s="1">
        <v>859</v>
      </c>
      <c r="I852" s="1">
        <f t="shared" si="4"/>
        <v>41</v>
      </c>
    </row>
    <row r="853" spans="1:10" x14ac:dyDescent="0.25">
      <c r="C853" s="1">
        <v>22</v>
      </c>
      <c r="D853" s="1">
        <v>1</v>
      </c>
      <c r="E853" s="1">
        <v>30</v>
      </c>
      <c r="F853" s="1">
        <v>24</v>
      </c>
      <c r="G853" s="1">
        <v>860</v>
      </c>
      <c r="H853" s="1">
        <v>892</v>
      </c>
      <c r="I853" s="1">
        <f t="shared" si="4"/>
        <v>32</v>
      </c>
    </row>
    <row r="854" spans="1:10" x14ac:dyDescent="0.25">
      <c r="C854" s="1">
        <v>22</v>
      </c>
      <c r="D854" s="1">
        <v>1</v>
      </c>
      <c r="E854" s="1">
        <v>30</v>
      </c>
      <c r="F854" s="1">
        <v>25</v>
      </c>
      <c r="G854" s="1">
        <v>897</v>
      </c>
      <c r="H854" s="1">
        <v>931</v>
      </c>
      <c r="I854" s="1">
        <f t="shared" si="4"/>
        <v>34</v>
      </c>
    </row>
    <row r="855" spans="1:10" x14ac:dyDescent="0.25">
      <c r="A855" s="5">
        <v>2</v>
      </c>
      <c r="B855" s="2">
        <v>43966</v>
      </c>
      <c r="C855" s="1">
        <v>23</v>
      </c>
      <c r="D855" s="1">
        <v>2</v>
      </c>
      <c r="E855" s="1">
        <v>30</v>
      </c>
      <c r="F855" s="1">
        <v>1</v>
      </c>
      <c r="G855" s="1">
        <v>2</v>
      </c>
      <c r="H855" s="1">
        <v>2</v>
      </c>
      <c r="I855" s="1">
        <f t="shared" si="4"/>
        <v>0</v>
      </c>
      <c r="J855" s="8">
        <f>(I855+I856+I857+I879+I878+I877+I866+I867+I868)/9</f>
        <v>49.555555555555557</v>
      </c>
    </row>
    <row r="856" spans="1:10" x14ac:dyDescent="0.25">
      <c r="C856" s="1">
        <v>23</v>
      </c>
      <c r="D856" s="1">
        <v>2</v>
      </c>
      <c r="E856" s="1">
        <v>30</v>
      </c>
      <c r="F856" s="1">
        <v>2</v>
      </c>
      <c r="G856" s="1">
        <v>2</v>
      </c>
      <c r="H856" s="1">
        <v>59</v>
      </c>
      <c r="I856" s="1">
        <f t="shared" si="4"/>
        <v>57</v>
      </c>
    </row>
    <row r="857" spans="1:10" x14ac:dyDescent="0.25">
      <c r="C857" s="1">
        <v>23</v>
      </c>
      <c r="D857" s="1">
        <v>2</v>
      </c>
      <c r="E857" s="1">
        <v>30</v>
      </c>
      <c r="F857" s="1">
        <v>3</v>
      </c>
      <c r="G857" s="1">
        <v>64</v>
      </c>
      <c r="H857" s="1">
        <v>125</v>
      </c>
      <c r="I857" s="1">
        <f t="shared" si="4"/>
        <v>61</v>
      </c>
    </row>
    <row r="858" spans="1:10" x14ac:dyDescent="0.25">
      <c r="C858" s="1">
        <v>23</v>
      </c>
      <c r="D858" s="1">
        <v>2</v>
      </c>
      <c r="E858" s="1">
        <v>30</v>
      </c>
      <c r="F858" s="1">
        <v>4</v>
      </c>
      <c r="G858" s="1">
        <v>125</v>
      </c>
      <c r="H858" s="1">
        <v>191</v>
      </c>
      <c r="I858" s="1">
        <f t="shared" si="4"/>
        <v>66</v>
      </c>
    </row>
    <row r="859" spans="1:10" x14ac:dyDescent="0.25">
      <c r="C859" s="1">
        <v>23</v>
      </c>
      <c r="D859" s="1">
        <v>2</v>
      </c>
      <c r="E859" s="1">
        <v>30</v>
      </c>
      <c r="F859" s="1">
        <v>5</v>
      </c>
      <c r="G859" s="1">
        <v>192</v>
      </c>
      <c r="H859" s="1">
        <v>246</v>
      </c>
      <c r="I859" s="1">
        <f t="shared" si="4"/>
        <v>54</v>
      </c>
    </row>
    <row r="860" spans="1:10" x14ac:dyDescent="0.25">
      <c r="C860" s="1">
        <v>23</v>
      </c>
      <c r="D860" s="1">
        <v>2</v>
      </c>
      <c r="E860" s="1">
        <v>30</v>
      </c>
      <c r="F860" s="1">
        <v>6</v>
      </c>
      <c r="G860" s="1">
        <v>246</v>
      </c>
      <c r="H860" s="1">
        <v>303</v>
      </c>
      <c r="I860" s="1">
        <f t="shared" si="4"/>
        <v>57</v>
      </c>
    </row>
    <row r="861" spans="1:10" x14ac:dyDescent="0.25">
      <c r="C861" s="1">
        <v>23</v>
      </c>
      <c r="D861" s="1">
        <v>2</v>
      </c>
      <c r="E861" s="1">
        <v>30</v>
      </c>
      <c r="F861" s="1">
        <v>7</v>
      </c>
      <c r="G861" s="1">
        <v>303</v>
      </c>
      <c r="H861" s="1">
        <v>349</v>
      </c>
      <c r="I861" s="1">
        <f t="shared" si="4"/>
        <v>46</v>
      </c>
    </row>
    <row r="862" spans="1:10" x14ac:dyDescent="0.25">
      <c r="C862" s="1">
        <v>23</v>
      </c>
      <c r="D862" s="1">
        <v>2</v>
      </c>
      <c r="E862" s="1">
        <v>30</v>
      </c>
      <c r="F862" s="1">
        <v>8</v>
      </c>
      <c r="G862" s="1">
        <v>350</v>
      </c>
      <c r="H862" s="1">
        <v>392</v>
      </c>
      <c r="I862" s="1">
        <f t="shared" si="4"/>
        <v>42</v>
      </c>
    </row>
    <row r="863" spans="1:10" x14ac:dyDescent="0.25">
      <c r="C863" s="1">
        <v>23</v>
      </c>
      <c r="D863" s="1">
        <v>2</v>
      </c>
      <c r="E863" s="1">
        <v>30</v>
      </c>
      <c r="F863" s="1">
        <v>9</v>
      </c>
      <c r="G863" s="1">
        <v>394</v>
      </c>
      <c r="H863" s="1">
        <v>452</v>
      </c>
      <c r="I863" s="1">
        <f t="shared" si="4"/>
        <v>58</v>
      </c>
    </row>
    <row r="864" spans="1:10" x14ac:dyDescent="0.25">
      <c r="C864" s="1">
        <v>23</v>
      </c>
      <c r="D864" s="1">
        <v>2</v>
      </c>
      <c r="E864" s="1">
        <v>30</v>
      </c>
      <c r="F864" s="1">
        <v>10</v>
      </c>
      <c r="G864" s="1">
        <v>452</v>
      </c>
      <c r="H864" s="1">
        <v>506</v>
      </c>
      <c r="I864" s="1">
        <f t="shared" si="4"/>
        <v>54</v>
      </c>
    </row>
    <row r="865" spans="1:10" x14ac:dyDescent="0.25">
      <c r="C865" s="1">
        <v>23</v>
      </c>
      <c r="D865" s="1">
        <v>2</v>
      </c>
      <c r="E865" s="1">
        <v>30</v>
      </c>
      <c r="F865" s="1">
        <v>11</v>
      </c>
      <c r="G865" s="1">
        <v>506</v>
      </c>
      <c r="H865" s="1">
        <v>547</v>
      </c>
      <c r="I865" s="1">
        <f t="shared" si="4"/>
        <v>41</v>
      </c>
    </row>
    <row r="866" spans="1:10" x14ac:dyDescent="0.25">
      <c r="C866" s="1">
        <v>23</v>
      </c>
      <c r="D866" s="1">
        <v>2</v>
      </c>
      <c r="E866" s="1">
        <v>30</v>
      </c>
      <c r="F866" s="1">
        <v>12</v>
      </c>
      <c r="G866" s="1">
        <v>547</v>
      </c>
      <c r="H866" s="1">
        <v>594</v>
      </c>
      <c r="I866" s="1">
        <f t="shared" si="4"/>
        <v>47</v>
      </c>
    </row>
    <row r="867" spans="1:10" x14ac:dyDescent="0.25">
      <c r="C867" s="1">
        <v>23</v>
      </c>
      <c r="D867" s="1">
        <v>2</v>
      </c>
      <c r="E867" s="1">
        <v>30</v>
      </c>
      <c r="F867" s="1">
        <v>13</v>
      </c>
      <c r="G867" s="1">
        <v>594</v>
      </c>
      <c r="H867" s="1">
        <v>651</v>
      </c>
      <c r="I867" s="1">
        <f t="shared" si="4"/>
        <v>57</v>
      </c>
    </row>
    <row r="868" spans="1:10" x14ac:dyDescent="0.25">
      <c r="C868" s="1">
        <v>23</v>
      </c>
      <c r="D868" s="1">
        <v>2</v>
      </c>
      <c r="E868" s="1">
        <v>30</v>
      </c>
      <c r="F868" s="1">
        <v>14</v>
      </c>
      <c r="G868" s="1">
        <v>653</v>
      </c>
      <c r="H868" s="1">
        <v>712</v>
      </c>
      <c r="I868" s="1">
        <f t="shared" si="4"/>
        <v>59</v>
      </c>
    </row>
    <row r="869" spans="1:10" x14ac:dyDescent="0.25">
      <c r="C869" s="1">
        <v>23</v>
      </c>
      <c r="D869" s="1">
        <v>2</v>
      </c>
      <c r="E869" s="1">
        <v>30</v>
      </c>
      <c r="F869" s="1">
        <v>15</v>
      </c>
      <c r="G869" s="1">
        <v>712</v>
      </c>
      <c r="H869" s="1">
        <v>759</v>
      </c>
      <c r="I869" s="1">
        <f t="shared" si="4"/>
        <v>47</v>
      </c>
    </row>
    <row r="870" spans="1:10" x14ac:dyDescent="0.25">
      <c r="C870" s="1">
        <v>23</v>
      </c>
      <c r="D870" s="1">
        <v>2</v>
      </c>
      <c r="E870" s="1">
        <v>30</v>
      </c>
      <c r="F870" s="1">
        <v>16</v>
      </c>
      <c r="G870" s="1">
        <v>759</v>
      </c>
      <c r="H870" s="1">
        <v>824</v>
      </c>
      <c r="I870" s="1">
        <f t="shared" si="4"/>
        <v>65</v>
      </c>
    </row>
    <row r="871" spans="1:10" x14ac:dyDescent="0.25">
      <c r="C871" s="1">
        <v>23</v>
      </c>
      <c r="D871" s="1">
        <v>2</v>
      </c>
      <c r="E871" s="1">
        <v>30</v>
      </c>
      <c r="F871" s="1">
        <v>17</v>
      </c>
      <c r="G871" s="1">
        <v>824</v>
      </c>
      <c r="H871" s="1">
        <v>882</v>
      </c>
      <c r="I871" s="1">
        <f t="shared" si="4"/>
        <v>58</v>
      </c>
    </row>
    <row r="872" spans="1:10" x14ac:dyDescent="0.25">
      <c r="C872" s="1">
        <v>23</v>
      </c>
      <c r="D872" s="1">
        <v>2</v>
      </c>
      <c r="E872" s="1">
        <v>30</v>
      </c>
      <c r="F872" s="1">
        <v>18</v>
      </c>
      <c r="G872" s="1">
        <v>882</v>
      </c>
      <c r="H872" s="1">
        <v>942</v>
      </c>
      <c r="I872" s="1">
        <f t="shared" si="4"/>
        <v>60</v>
      </c>
    </row>
    <row r="873" spans="1:10" x14ac:dyDescent="0.25">
      <c r="C873" s="1">
        <v>23</v>
      </c>
      <c r="D873" s="1">
        <v>2</v>
      </c>
      <c r="E873" s="1">
        <v>30</v>
      </c>
      <c r="F873" s="1">
        <v>19</v>
      </c>
      <c r="G873" s="1">
        <v>942</v>
      </c>
      <c r="H873" s="1">
        <v>1003</v>
      </c>
      <c r="I873" s="1">
        <f t="shared" si="4"/>
        <v>61</v>
      </c>
    </row>
    <row r="874" spans="1:10" x14ac:dyDescent="0.25">
      <c r="C874" s="1">
        <v>23</v>
      </c>
      <c r="D874" s="1">
        <v>2</v>
      </c>
      <c r="E874" s="1">
        <v>30</v>
      </c>
      <c r="F874" s="1">
        <v>20</v>
      </c>
      <c r="G874" s="1">
        <v>1008</v>
      </c>
      <c r="H874" s="1">
        <v>1065</v>
      </c>
      <c r="I874" s="1">
        <f t="shared" si="4"/>
        <v>57</v>
      </c>
    </row>
    <row r="875" spans="1:10" x14ac:dyDescent="0.25">
      <c r="C875" s="1">
        <v>23</v>
      </c>
      <c r="D875" s="1">
        <v>2</v>
      </c>
      <c r="E875" s="1">
        <v>30</v>
      </c>
      <c r="F875" s="1">
        <v>21</v>
      </c>
      <c r="G875" s="1">
        <v>1069</v>
      </c>
      <c r="H875" s="1">
        <v>1117</v>
      </c>
      <c r="I875" s="1">
        <f t="shared" si="4"/>
        <v>48</v>
      </c>
    </row>
    <row r="876" spans="1:10" x14ac:dyDescent="0.25">
      <c r="C876" s="1">
        <v>23</v>
      </c>
      <c r="D876" s="1">
        <v>2</v>
      </c>
      <c r="E876" s="1">
        <v>30</v>
      </c>
      <c r="F876" s="1">
        <v>22</v>
      </c>
      <c r="G876" s="1">
        <v>1118</v>
      </c>
      <c r="H876" s="1">
        <v>1177</v>
      </c>
      <c r="I876" s="1">
        <f t="shared" si="4"/>
        <v>59</v>
      </c>
    </row>
    <row r="877" spans="1:10" x14ac:dyDescent="0.25">
      <c r="C877" s="1">
        <v>23</v>
      </c>
      <c r="D877" s="1">
        <v>2</v>
      </c>
      <c r="E877" s="1">
        <v>30</v>
      </c>
      <c r="F877" s="1">
        <v>23</v>
      </c>
      <c r="G877" s="1">
        <v>1179</v>
      </c>
      <c r="H877" s="1">
        <v>1248</v>
      </c>
      <c r="I877" s="1">
        <f t="shared" si="4"/>
        <v>69</v>
      </c>
    </row>
    <row r="878" spans="1:10" x14ac:dyDescent="0.25">
      <c r="C878" s="1">
        <v>23</v>
      </c>
      <c r="D878" s="1">
        <v>2</v>
      </c>
      <c r="E878" s="1">
        <v>30</v>
      </c>
      <c r="F878" s="1">
        <v>24</v>
      </c>
      <c r="G878" s="1">
        <v>1248</v>
      </c>
      <c r="H878" s="1">
        <v>1291</v>
      </c>
      <c r="I878" s="1">
        <f t="shared" si="4"/>
        <v>43</v>
      </c>
    </row>
    <row r="879" spans="1:10" x14ac:dyDescent="0.25">
      <c r="C879" s="1">
        <v>23</v>
      </c>
      <c r="D879" s="1">
        <v>2</v>
      </c>
      <c r="E879" s="1">
        <v>30</v>
      </c>
      <c r="F879" s="1">
        <v>25</v>
      </c>
      <c r="G879" s="1">
        <v>1291</v>
      </c>
      <c r="H879" s="1">
        <v>1344</v>
      </c>
      <c r="I879" s="1">
        <f t="shared" si="4"/>
        <v>53</v>
      </c>
    </row>
    <row r="880" spans="1:10" x14ac:dyDescent="0.25">
      <c r="A880" s="5">
        <v>2</v>
      </c>
      <c r="B880" s="2">
        <v>43968</v>
      </c>
      <c r="C880" s="1">
        <v>24</v>
      </c>
      <c r="D880" s="1">
        <v>1</v>
      </c>
      <c r="E880" s="1">
        <v>30</v>
      </c>
      <c r="F880" s="1">
        <v>1</v>
      </c>
      <c r="G880" s="1">
        <v>0</v>
      </c>
      <c r="H880" s="1">
        <v>50</v>
      </c>
      <c r="I880" s="1">
        <f t="shared" si="4"/>
        <v>50</v>
      </c>
      <c r="J880" s="8">
        <f>(I880+I881+I882+I904+I903+I902+I891+I892+I893)/9</f>
        <v>51.444444444444443</v>
      </c>
    </row>
    <row r="881" spans="3:9" x14ac:dyDescent="0.25">
      <c r="C881" s="1">
        <v>24</v>
      </c>
      <c r="D881" s="1">
        <v>1</v>
      </c>
      <c r="E881" s="1">
        <v>30</v>
      </c>
      <c r="F881" s="1">
        <v>2</v>
      </c>
      <c r="G881" s="1">
        <v>51</v>
      </c>
      <c r="H881" s="1">
        <v>100</v>
      </c>
      <c r="I881" s="1">
        <f t="shared" si="4"/>
        <v>49</v>
      </c>
    </row>
    <row r="882" spans="3:9" x14ac:dyDescent="0.25">
      <c r="C882" s="1">
        <v>24</v>
      </c>
      <c r="D882" s="1">
        <v>1</v>
      </c>
      <c r="E882" s="1">
        <v>30</v>
      </c>
      <c r="F882" s="1">
        <v>3</v>
      </c>
      <c r="G882" s="1">
        <v>102</v>
      </c>
      <c r="H882" s="1">
        <v>149</v>
      </c>
      <c r="I882" s="1">
        <f t="shared" si="4"/>
        <v>47</v>
      </c>
    </row>
    <row r="883" spans="3:9" x14ac:dyDescent="0.25">
      <c r="C883" s="1">
        <v>24</v>
      </c>
      <c r="D883" s="1">
        <v>1</v>
      </c>
      <c r="E883" s="1">
        <v>30</v>
      </c>
      <c r="F883" s="1">
        <v>4</v>
      </c>
      <c r="G883" s="1">
        <v>154</v>
      </c>
      <c r="H883" s="1">
        <v>202</v>
      </c>
      <c r="I883" s="1">
        <f t="shared" si="4"/>
        <v>48</v>
      </c>
    </row>
    <row r="884" spans="3:9" x14ac:dyDescent="0.25">
      <c r="C884" s="1">
        <v>24</v>
      </c>
      <c r="D884" s="1">
        <v>1</v>
      </c>
      <c r="E884" s="1">
        <v>30</v>
      </c>
      <c r="F884" s="1">
        <v>5</v>
      </c>
      <c r="G884" s="1">
        <v>202</v>
      </c>
      <c r="H884" s="1">
        <v>258</v>
      </c>
      <c r="I884" s="1">
        <f t="shared" si="4"/>
        <v>56</v>
      </c>
    </row>
    <row r="885" spans="3:9" x14ac:dyDescent="0.25">
      <c r="C885" s="1">
        <v>24</v>
      </c>
      <c r="D885" s="1">
        <v>1</v>
      </c>
      <c r="E885" s="1">
        <v>30</v>
      </c>
      <c r="F885" s="1">
        <v>6</v>
      </c>
      <c r="G885" s="1">
        <v>258</v>
      </c>
      <c r="H885" s="1">
        <v>310</v>
      </c>
      <c r="I885" s="1">
        <f t="shared" si="4"/>
        <v>52</v>
      </c>
    </row>
    <row r="886" spans="3:9" x14ac:dyDescent="0.25">
      <c r="C886" s="1">
        <v>24</v>
      </c>
      <c r="D886" s="1">
        <v>1</v>
      </c>
      <c r="E886" s="1">
        <v>30</v>
      </c>
      <c r="F886" s="1">
        <v>7</v>
      </c>
      <c r="G886" s="1">
        <v>311</v>
      </c>
      <c r="H886" s="1">
        <v>360</v>
      </c>
      <c r="I886" s="1">
        <f t="shared" si="4"/>
        <v>49</v>
      </c>
    </row>
    <row r="887" spans="3:9" x14ac:dyDescent="0.25">
      <c r="C887" s="1">
        <v>24</v>
      </c>
      <c r="D887" s="1">
        <v>1</v>
      </c>
      <c r="E887" s="1">
        <v>30</v>
      </c>
      <c r="F887" s="1">
        <v>8</v>
      </c>
      <c r="G887" s="1">
        <v>360</v>
      </c>
      <c r="H887" s="1">
        <v>411</v>
      </c>
      <c r="I887" s="1">
        <f t="shared" si="4"/>
        <v>51</v>
      </c>
    </row>
    <row r="888" spans="3:9" x14ac:dyDescent="0.25">
      <c r="C888" s="1">
        <v>24</v>
      </c>
      <c r="D888" s="1">
        <v>1</v>
      </c>
      <c r="E888" s="1">
        <v>30</v>
      </c>
      <c r="F888" s="1">
        <v>9</v>
      </c>
      <c r="G888" s="1">
        <v>414</v>
      </c>
      <c r="H888" s="1">
        <v>467</v>
      </c>
      <c r="I888" s="1">
        <f t="shared" si="4"/>
        <v>53</v>
      </c>
    </row>
    <row r="889" spans="3:9" x14ac:dyDescent="0.25">
      <c r="C889" s="1">
        <v>24</v>
      </c>
      <c r="D889" s="1">
        <v>1</v>
      </c>
      <c r="E889" s="1">
        <v>30</v>
      </c>
      <c r="F889" s="1">
        <v>10</v>
      </c>
      <c r="G889" s="1">
        <v>467</v>
      </c>
      <c r="H889" s="1">
        <v>517</v>
      </c>
      <c r="I889" s="1">
        <f t="shared" si="4"/>
        <v>50</v>
      </c>
    </row>
    <row r="890" spans="3:9" x14ac:dyDescent="0.25">
      <c r="C890" s="1">
        <v>24</v>
      </c>
      <c r="D890" s="1">
        <v>1</v>
      </c>
      <c r="E890" s="1">
        <v>30</v>
      </c>
      <c r="F890" s="1">
        <v>11</v>
      </c>
      <c r="G890" s="1">
        <v>517</v>
      </c>
      <c r="H890" s="1">
        <v>564</v>
      </c>
      <c r="I890" s="1">
        <f t="shared" si="4"/>
        <v>47</v>
      </c>
    </row>
    <row r="891" spans="3:9" x14ac:dyDescent="0.25">
      <c r="C891" s="1">
        <v>24</v>
      </c>
      <c r="D891" s="1">
        <v>1</v>
      </c>
      <c r="E891" s="1">
        <v>30</v>
      </c>
      <c r="F891" s="1">
        <v>12</v>
      </c>
      <c r="G891" s="1">
        <v>564</v>
      </c>
      <c r="H891" s="1">
        <v>613</v>
      </c>
      <c r="I891" s="1">
        <f t="shared" si="4"/>
        <v>49</v>
      </c>
    </row>
    <row r="892" spans="3:9" x14ac:dyDescent="0.25">
      <c r="C892" s="1">
        <v>24</v>
      </c>
      <c r="D892" s="1">
        <v>1</v>
      </c>
      <c r="E892" s="1">
        <v>30</v>
      </c>
      <c r="F892" s="1">
        <v>13</v>
      </c>
      <c r="G892" s="1">
        <v>615</v>
      </c>
      <c r="H892" s="1">
        <v>669</v>
      </c>
      <c r="I892" s="1">
        <f t="shared" si="4"/>
        <v>54</v>
      </c>
    </row>
    <row r="893" spans="3:9" x14ac:dyDescent="0.25">
      <c r="C893" s="1">
        <v>24</v>
      </c>
      <c r="D893" s="1">
        <v>1</v>
      </c>
      <c r="E893" s="1">
        <v>30</v>
      </c>
      <c r="F893" s="1">
        <v>14</v>
      </c>
      <c r="G893" s="1">
        <v>669</v>
      </c>
      <c r="H893" s="1">
        <v>725</v>
      </c>
      <c r="I893" s="1">
        <f t="shared" si="4"/>
        <v>56</v>
      </c>
    </row>
    <row r="894" spans="3:9" x14ac:dyDescent="0.25">
      <c r="C894" s="1">
        <v>24</v>
      </c>
      <c r="D894" s="1">
        <v>1</v>
      </c>
      <c r="E894" s="1">
        <v>30</v>
      </c>
      <c r="F894" s="1">
        <v>15</v>
      </c>
      <c r="G894" s="1">
        <v>725</v>
      </c>
      <c r="H894" s="1">
        <v>771</v>
      </c>
      <c r="I894" s="1">
        <f t="shared" si="4"/>
        <v>46</v>
      </c>
    </row>
    <row r="895" spans="3:9" x14ac:dyDescent="0.25">
      <c r="C895" s="1">
        <v>24</v>
      </c>
      <c r="D895" s="1">
        <v>1</v>
      </c>
      <c r="E895" s="1">
        <v>30</v>
      </c>
      <c r="F895" s="1">
        <v>16</v>
      </c>
      <c r="G895" s="1">
        <v>771</v>
      </c>
      <c r="H895" s="1">
        <v>817</v>
      </c>
      <c r="I895" s="1">
        <f t="shared" si="4"/>
        <v>46</v>
      </c>
    </row>
    <row r="896" spans="3:9" x14ac:dyDescent="0.25">
      <c r="C896" s="1">
        <v>24</v>
      </c>
      <c r="D896" s="1">
        <v>1</v>
      </c>
      <c r="E896" s="1">
        <v>30</v>
      </c>
      <c r="F896" s="1">
        <v>17</v>
      </c>
      <c r="G896" s="1">
        <v>817</v>
      </c>
      <c r="H896" s="1">
        <v>869</v>
      </c>
      <c r="I896" s="1">
        <f t="shared" si="4"/>
        <v>52</v>
      </c>
    </row>
    <row r="897" spans="1:10" x14ac:dyDescent="0.25">
      <c r="C897" s="1">
        <v>24</v>
      </c>
      <c r="D897" s="1">
        <v>1</v>
      </c>
      <c r="E897" s="1">
        <v>30</v>
      </c>
      <c r="F897" s="1">
        <v>18</v>
      </c>
      <c r="G897" s="1">
        <v>869</v>
      </c>
      <c r="H897" s="1">
        <v>924</v>
      </c>
      <c r="I897" s="1">
        <f t="shared" si="4"/>
        <v>55</v>
      </c>
    </row>
    <row r="898" spans="1:10" x14ac:dyDescent="0.25">
      <c r="C898" s="1">
        <v>24</v>
      </c>
      <c r="D898" s="1">
        <v>1</v>
      </c>
      <c r="E898" s="1">
        <v>30</v>
      </c>
      <c r="F898" s="1">
        <v>19</v>
      </c>
      <c r="G898" s="1">
        <v>924</v>
      </c>
      <c r="H898" s="1">
        <v>975</v>
      </c>
      <c r="I898" s="1">
        <f t="shared" si="4"/>
        <v>51</v>
      </c>
    </row>
    <row r="899" spans="1:10" x14ac:dyDescent="0.25">
      <c r="C899" s="1">
        <v>24</v>
      </c>
      <c r="D899" s="1">
        <v>1</v>
      </c>
      <c r="E899" s="1">
        <v>30</v>
      </c>
      <c r="F899" s="1">
        <v>20</v>
      </c>
      <c r="G899" s="1">
        <v>975</v>
      </c>
      <c r="H899" s="1">
        <v>1021</v>
      </c>
      <c r="I899" s="1">
        <f t="shared" si="4"/>
        <v>46</v>
      </c>
    </row>
    <row r="900" spans="1:10" x14ac:dyDescent="0.25">
      <c r="C900" s="1">
        <v>24</v>
      </c>
      <c r="D900" s="1">
        <v>1</v>
      </c>
      <c r="E900" s="1">
        <v>30</v>
      </c>
      <c r="F900" s="1">
        <v>21</v>
      </c>
      <c r="G900" s="1">
        <v>1027</v>
      </c>
      <c r="H900" s="1">
        <v>1077</v>
      </c>
      <c r="I900" s="1">
        <f t="shared" si="4"/>
        <v>50</v>
      </c>
    </row>
    <row r="901" spans="1:10" x14ac:dyDescent="0.25">
      <c r="C901" s="1">
        <v>24</v>
      </c>
      <c r="D901" s="1">
        <v>1</v>
      </c>
      <c r="E901" s="1">
        <v>30</v>
      </c>
      <c r="F901" s="1">
        <v>22</v>
      </c>
      <c r="G901" s="1">
        <v>1078</v>
      </c>
      <c r="H901" s="1">
        <v>1129</v>
      </c>
      <c r="I901" s="1">
        <f t="shared" si="4"/>
        <v>51</v>
      </c>
    </row>
    <row r="902" spans="1:10" x14ac:dyDescent="0.25">
      <c r="C902" s="1">
        <v>24</v>
      </c>
      <c r="D902" s="1">
        <v>1</v>
      </c>
      <c r="E902" s="1">
        <v>30</v>
      </c>
      <c r="F902" s="1">
        <v>23</v>
      </c>
      <c r="G902" s="1">
        <v>1129</v>
      </c>
      <c r="H902" s="1">
        <v>1189</v>
      </c>
      <c r="I902" s="1">
        <f t="shared" si="4"/>
        <v>60</v>
      </c>
    </row>
    <row r="903" spans="1:10" x14ac:dyDescent="0.25">
      <c r="C903" s="1">
        <v>24</v>
      </c>
      <c r="D903" s="1">
        <v>1</v>
      </c>
      <c r="E903" s="1">
        <v>30</v>
      </c>
      <c r="F903" s="1">
        <v>24</v>
      </c>
      <c r="G903" s="1">
        <v>1189</v>
      </c>
      <c r="H903" s="1">
        <v>1236</v>
      </c>
      <c r="I903" s="1">
        <f t="shared" si="4"/>
        <v>47</v>
      </c>
    </row>
    <row r="904" spans="1:10" x14ac:dyDescent="0.25">
      <c r="C904" s="1">
        <v>24</v>
      </c>
      <c r="D904" s="1">
        <v>1</v>
      </c>
      <c r="E904" s="1">
        <v>30</v>
      </c>
      <c r="F904" s="1">
        <v>25</v>
      </c>
      <c r="G904" s="1">
        <v>1236</v>
      </c>
      <c r="H904" s="1">
        <v>1287</v>
      </c>
      <c r="I904" s="1">
        <f t="shared" si="4"/>
        <v>51</v>
      </c>
    </row>
    <row r="905" spans="1:10" x14ac:dyDescent="0.25">
      <c r="A905" s="5">
        <v>2</v>
      </c>
      <c r="B905" s="2">
        <v>43969</v>
      </c>
      <c r="C905" s="1">
        <v>25</v>
      </c>
      <c r="D905" s="1">
        <v>2</v>
      </c>
      <c r="E905" s="1">
        <v>30</v>
      </c>
      <c r="F905" s="1">
        <v>1</v>
      </c>
      <c r="G905" s="1">
        <v>1</v>
      </c>
      <c r="H905" s="1">
        <v>3</v>
      </c>
      <c r="I905" s="1">
        <f t="shared" si="4"/>
        <v>2</v>
      </c>
      <c r="J905" s="8">
        <f>(I905+I906+I907+I929+I928+I927+I916+I917+I918)/9</f>
        <v>40.444444444444443</v>
      </c>
    </row>
    <row r="906" spans="1:10" x14ac:dyDescent="0.25">
      <c r="C906" s="1">
        <v>25</v>
      </c>
      <c r="D906" s="1">
        <v>2</v>
      </c>
      <c r="E906" s="1">
        <v>30</v>
      </c>
      <c r="F906" s="1">
        <v>2</v>
      </c>
      <c r="G906" s="1">
        <v>3</v>
      </c>
      <c r="H906" s="1">
        <v>42</v>
      </c>
      <c r="I906" s="1">
        <f t="shared" si="4"/>
        <v>39</v>
      </c>
    </row>
    <row r="907" spans="1:10" x14ac:dyDescent="0.25">
      <c r="C907" s="1">
        <v>25</v>
      </c>
      <c r="D907" s="1">
        <v>2</v>
      </c>
      <c r="E907" s="1">
        <v>30</v>
      </c>
      <c r="F907" s="1">
        <v>3</v>
      </c>
      <c r="G907" s="1">
        <v>42</v>
      </c>
      <c r="H907" s="1">
        <v>94</v>
      </c>
      <c r="I907" s="1">
        <f t="shared" si="4"/>
        <v>52</v>
      </c>
    </row>
    <row r="908" spans="1:10" x14ac:dyDescent="0.25">
      <c r="C908" s="1">
        <v>25</v>
      </c>
      <c r="D908" s="1">
        <v>2</v>
      </c>
      <c r="E908" s="1">
        <v>30</v>
      </c>
      <c r="F908" s="1">
        <v>4</v>
      </c>
      <c r="G908" s="1">
        <v>94</v>
      </c>
      <c r="H908" s="1">
        <v>152</v>
      </c>
      <c r="I908" s="1">
        <f t="shared" si="4"/>
        <v>58</v>
      </c>
    </row>
    <row r="909" spans="1:10" x14ac:dyDescent="0.25">
      <c r="C909" s="1">
        <v>25</v>
      </c>
      <c r="D909" s="1">
        <v>2</v>
      </c>
      <c r="E909" s="1">
        <v>30</v>
      </c>
      <c r="F909" s="1">
        <v>5</v>
      </c>
      <c r="G909" s="1">
        <v>152</v>
      </c>
      <c r="H909" s="1">
        <v>202</v>
      </c>
      <c r="I909" s="1">
        <f t="shared" si="4"/>
        <v>50</v>
      </c>
    </row>
    <row r="910" spans="1:10" x14ac:dyDescent="0.25">
      <c r="C910" s="1">
        <v>25</v>
      </c>
      <c r="D910" s="1">
        <v>2</v>
      </c>
      <c r="E910" s="1">
        <v>30</v>
      </c>
      <c r="F910" s="1">
        <v>6</v>
      </c>
      <c r="G910" s="1">
        <v>202</v>
      </c>
      <c r="H910" s="1">
        <v>251</v>
      </c>
      <c r="I910" s="1">
        <f t="shared" si="4"/>
        <v>49</v>
      </c>
    </row>
    <row r="911" spans="1:10" x14ac:dyDescent="0.25">
      <c r="C911" s="1">
        <v>25</v>
      </c>
      <c r="D911" s="1">
        <v>2</v>
      </c>
      <c r="E911" s="1">
        <v>30</v>
      </c>
      <c r="F911" s="1">
        <v>7</v>
      </c>
      <c r="G911" s="1">
        <v>251</v>
      </c>
      <c r="H911" s="1">
        <v>294</v>
      </c>
      <c r="I911" s="1">
        <f t="shared" si="4"/>
        <v>43</v>
      </c>
    </row>
    <row r="912" spans="1:10" x14ac:dyDescent="0.25">
      <c r="C912" s="1">
        <v>25</v>
      </c>
      <c r="D912" s="1">
        <v>2</v>
      </c>
      <c r="E912" s="1">
        <v>30</v>
      </c>
      <c r="F912" s="1">
        <v>8</v>
      </c>
      <c r="G912" s="1">
        <v>294</v>
      </c>
      <c r="H912" s="1">
        <v>334</v>
      </c>
      <c r="I912" s="1">
        <f t="shared" si="4"/>
        <v>40</v>
      </c>
    </row>
    <row r="913" spans="3:9" x14ac:dyDescent="0.25">
      <c r="C913" s="1">
        <v>25</v>
      </c>
      <c r="D913" s="1">
        <v>2</v>
      </c>
      <c r="E913" s="1">
        <v>30</v>
      </c>
      <c r="F913" s="1">
        <v>9</v>
      </c>
      <c r="G913" s="1">
        <v>334</v>
      </c>
      <c r="H913" s="1">
        <v>368</v>
      </c>
      <c r="I913" s="1">
        <f t="shared" si="4"/>
        <v>34</v>
      </c>
    </row>
    <row r="914" spans="3:9" x14ac:dyDescent="0.25">
      <c r="C914" s="1">
        <v>25</v>
      </c>
      <c r="D914" s="1">
        <v>2</v>
      </c>
      <c r="E914" s="1">
        <v>30</v>
      </c>
      <c r="F914" s="1">
        <v>10</v>
      </c>
      <c r="G914" s="1">
        <v>368</v>
      </c>
      <c r="H914" s="1">
        <v>418</v>
      </c>
      <c r="I914" s="1">
        <f t="shared" si="4"/>
        <v>50</v>
      </c>
    </row>
    <row r="915" spans="3:9" x14ac:dyDescent="0.25">
      <c r="C915" s="1">
        <v>25</v>
      </c>
      <c r="D915" s="1">
        <v>2</v>
      </c>
      <c r="E915" s="1">
        <v>30</v>
      </c>
      <c r="F915" s="1">
        <v>11</v>
      </c>
      <c r="G915" s="1">
        <v>418</v>
      </c>
      <c r="H915" s="1">
        <v>462</v>
      </c>
      <c r="I915" s="1">
        <f t="shared" si="4"/>
        <v>44</v>
      </c>
    </row>
    <row r="916" spans="3:9" x14ac:dyDescent="0.25">
      <c r="C916" s="1">
        <v>25</v>
      </c>
      <c r="D916" s="1">
        <v>2</v>
      </c>
      <c r="E916" s="1">
        <v>30</v>
      </c>
      <c r="F916" s="1">
        <v>12</v>
      </c>
      <c r="G916" s="1">
        <v>462</v>
      </c>
      <c r="H916" s="1">
        <v>500</v>
      </c>
      <c r="I916" s="1">
        <f t="shared" si="4"/>
        <v>38</v>
      </c>
    </row>
    <row r="917" spans="3:9" x14ac:dyDescent="0.25">
      <c r="C917" s="1">
        <v>25</v>
      </c>
      <c r="D917" s="1">
        <v>2</v>
      </c>
      <c r="E917" s="1">
        <v>30</v>
      </c>
      <c r="F917" s="1">
        <v>13</v>
      </c>
      <c r="G917" s="1">
        <v>500</v>
      </c>
      <c r="H917" s="1">
        <v>545</v>
      </c>
      <c r="I917" s="1">
        <f t="shared" si="4"/>
        <v>45</v>
      </c>
    </row>
    <row r="918" spans="3:9" x14ac:dyDescent="0.25">
      <c r="C918" s="1">
        <v>25</v>
      </c>
      <c r="D918" s="1">
        <v>2</v>
      </c>
      <c r="E918" s="1">
        <v>30</v>
      </c>
      <c r="F918" s="1">
        <v>14</v>
      </c>
      <c r="G918" s="1">
        <v>547</v>
      </c>
      <c r="H918" s="1">
        <v>594</v>
      </c>
      <c r="I918" s="1">
        <f t="shared" si="4"/>
        <v>47</v>
      </c>
    </row>
    <row r="919" spans="3:9" x14ac:dyDescent="0.25">
      <c r="C919" s="1">
        <v>25</v>
      </c>
      <c r="D919" s="1">
        <v>2</v>
      </c>
      <c r="E919" s="1">
        <v>30</v>
      </c>
      <c r="F919" s="1">
        <v>15</v>
      </c>
      <c r="G919" s="1">
        <v>594</v>
      </c>
      <c r="H919" s="1">
        <v>643</v>
      </c>
      <c r="I919" s="1">
        <f t="shared" si="4"/>
        <v>49</v>
      </c>
    </row>
    <row r="920" spans="3:9" x14ac:dyDescent="0.25">
      <c r="C920" s="1">
        <v>25</v>
      </c>
      <c r="D920" s="1">
        <v>2</v>
      </c>
      <c r="E920" s="1">
        <v>30</v>
      </c>
      <c r="F920" s="1">
        <v>16</v>
      </c>
      <c r="G920" s="1">
        <v>645</v>
      </c>
      <c r="H920" s="1">
        <v>687</v>
      </c>
      <c r="I920" s="1">
        <f t="shared" si="4"/>
        <v>42</v>
      </c>
    </row>
    <row r="921" spans="3:9" x14ac:dyDescent="0.25">
      <c r="C921" s="1">
        <v>25</v>
      </c>
      <c r="D921" s="1">
        <v>2</v>
      </c>
      <c r="E921" s="1">
        <v>30</v>
      </c>
      <c r="F921" s="1">
        <v>17</v>
      </c>
      <c r="G921" s="1">
        <v>689</v>
      </c>
      <c r="H921" s="1">
        <v>736</v>
      </c>
      <c r="I921" s="1">
        <f t="shared" si="4"/>
        <v>47</v>
      </c>
    </row>
    <row r="922" spans="3:9" x14ac:dyDescent="0.25">
      <c r="C922" s="1">
        <v>25</v>
      </c>
      <c r="D922" s="1">
        <v>2</v>
      </c>
      <c r="E922" s="1">
        <v>30</v>
      </c>
      <c r="F922" s="1">
        <v>18</v>
      </c>
      <c r="G922" s="1">
        <v>736</v>
      </c>
      <c r="H922" s="1">
        <v>773</v>
      </c>
      <c r="I922" s="1">
        <f t="shared" si="4"/>
        <v>37</v>
      </c>
    </row>
    <row r="923" spans="3:9" x14ac:dyDescent="0.25">
      <c r="C923" s="1">
        <v>25</v>
      </c>
      <c r="D923" s="1">
        <v>2</v>
      </c>
      <c r="E923" s="1">
        <v>30</v>
      </c>
      <c r="F923" s="1">
        <v>19</v>
      </c>
      <c r="G923" s="1">
        <v>773</v>
      </c>
      <c r="H923" s="1">
        <v>814</v>
      </c>
      <c r="I923" s="1">
        <f t="shared" si="4"/>
        <v>41</v>
      </c>
    </row>
    <row r="924" spans="3:9" x14ac:dyDescent="0.25">
      <c r="C924" s="1">
        <v>25</v>
      </c>
      <c r="D924" s="1">
        <v>2</v>
      </c>
      <c r="E924" s="1">
        <v>30</v>
      </c>
      <c r="F924" s="1">
        <v>20</v>
      </c>
      <c r="G924" s="1">
        <v>814</v>
      </c>
      <c r="H924" s="1">
        <v>853</v>
      </c>
      <c r="I924" s="1">
        <f t="shared" si="4"/>
        <v>39</v>
      </c>
    </row>
    <row r="925" spans="3:9" x14ac:dyDescent="0.25">
      <c r="C925" s="1">
        <v>25</v>
      </c>
      <c r="D925" s="1">
        <v>2</v>
      </c>
      <c r="E925" s="1">
        <v>30</v>
      </c>
      <c r="F925" s="1">
        <v>21</v>
      </c>
      <c r="G925" s="1">
        <v>853</v>
      </c>
      <c r="H925" s="1">
        <v>889</v>
      </c>
      <c r="I925" s="1">
        <f t="shared" si="4"/>
        <v>36</v>
      </c>
    </row>
    <row r="926" spans="3:9" x14ac:dyDescent="0.25">
      <c r="C926" s="1">
        <v>25</v>
      </c>
      <c r="D926" s="1">
        <v>2</v>
      </c>
      <c r="E926" s="1">
        <v>30</v>
      </c>
      <c r="F926" s="1">
        <v>22</v>
      </c>
      <c r="G926" s="1">
        <v>889</v>
      </c>
      <c r="H926" s="1">
        <v>905</v>
      </c>
      <c r="I926" s="1">
        <f t="shared" si="4"/>
        <v>16</v>
      </c>
    </row>
    <row r="927" spans="3:9" x14ac:dyDescent="0.25">
      <c r="C927" s="1">
        <v>25</v>
      </c>
      <c r="D927" s="1">
        <v>2</v>
      </c>
      <c r="E927" s="1">
        <v>30</v>
      </c>
      <c r="F927" s="1">
        <v>23</v>
      </c>
      <c r="G927" s="1">
        <v>910</v>
      </c>
      <c r="H927" s="1">
        <v>945</v>
      </c>
      <c r="I927" s="1">
        <f t="shared" si="4"/>
        <v>35</v>
      </c>
    </row>
    <row r="928" spans="3:9" x14ac:dyDescent="0.25">
      <c r="C928" s="1">
        <v>25</v>
      </c>
      <c r="D928" s="1">
        <v>2</v>
      </c>
      <c r="E928" s="1">
        <v>30</v>
      </c>
      <c r="F928" s="1">
        <v>24</v>
      </c>
      <c r="G928" s="1">
        <v>953</v>
      </c>
      <c r="H928" s="1">
        <v>1009</v>
      </c>
      <c r="I928" s="1">
        <f t="shared" si="4"/>
        <v>56</v>
      </c>
    </row>
    <row r="929" spans="1:10" x14ac:dyDescent="0.25">
      <c r="C929" s="1">
        <v>25</v>
      </c>
      <c r="D929" s="1">
        <v>2</v>
      </c>
      <c r="E929" s="1">
        <v>30</v>
      </c>
      <c r="F929" s="1">
        <v>25</v>
      </c>
      <c r="G929" s="1">
        <v>1009</v>
      </c>
      <c r="H929" s="1">
        <v>1059</v>
      </c>
      <c r="I929" s="1">
        <f t="shared" si="4"/>
        <v>50</v>
      </c>
    </row>
    <row r="930" spans="1:10" x14ac:dyDescent="0.25">
      <c r="A930" s="5">
        <v>2</v>
      </c>
      <c r="B930" s="2">
        <v>43966</v>
      </c>
      <c r="C930" s="1">
        <v>26</v>
      </c>
      <c r="D930" s="1">
        <v>2</v>
      </c>
      <c r="E930" s="1">
        <v>30</v>
      </c>
      <c r="F930" s="1">
        <v>1</v>
      </c>
      <c r="G930" s="1">
        <v>0</v>
      </c>
      <c r="H930" s="1">
        <v>39</v>
      </c>
      <c r="I930" s="1">
        <f t="shared" si="4"/>
        <v>39</v>
      </c>
      <c r="J930" s="8">
        <f>(I930+I931+I932+I954+I953+I952+I941+I942+I943)/9</f>
        <v>47.666666666666664</v>
      </c>
    </row>
    <row r="931" spans="1:10" x14ac:dyDescent="0.25">
      <c r="C931" s="1">
        <v>26</v>
      </c>
      <c r="D931" s="1">
        <v>2</v>
      </c>
      <c r="E931" s="1">
        <v>30</v>
      </c>
      <c r="F931" s="1">
        <v>2</v>
      </c>
      <c r="G931" s="1">
        <v>42</v>
      </c>
      <c r="H931" s="1">
        <v>105</v>
      </c>
      <c r="I931" s="1">
        <f t="shared" si="4"/>
        <v>63</v>
      </c>
    </row>
    <row r="932" spans="1:10" x14ac:dyDescent="0.25">
      <c r="C932" s="1">
        <v>26</v>
      </c>
      <c r="D932" s="1">
        <v>2</v>
      </c>
      <c r="E932" s="1">
        <v>30</v>
      </c>
      <c r="F932" s="1">
        <v>3</v>
      </c>
      <c r="G932" s="1">
        <v>105</v>
      </c>
      <c r="H932" s="1">
        <v>130</v>
      </c>
      <c r="I932" s="1">
        <f t="shared" si="4"/>
        <v>25</v>
      </c>
    </row>
    <row r="933" spans="1:10" x14ac:dyDescent="0.25">
      <c r="C933" s="1">
        <v>26</v>
      </c>
      <c r="D933" s="1">
        <v>2</v>
      </c>
      <c r="E933" s="1">
        <v>30</v>
      </c>
      <c r="F933" s="1">
        <v>4</v>
      </c>
      <c r="G933" s="1">
        <v>130</v>
      </c>
      <c r="H933" s="1">
        <v>191</v>
      </c>
      <c r="I933" s="1">
        <f t="shared" si="4"/>
        <v>61</v>
      </c>
    </row>
    <row r="934" spans="1:10" x14ac:dyDescent="0.25">
      <c r="C934" s="1">
        <v>26</v>
      </c>
      <c r="D934" s="1">
        <v>2</v>
      </c>
      <c r="E934" s="1">
        <v>30</v>
      </c>
      <c r="F934" s="1">
        <v>5</v>
      </c>
      <c r="G934" s="1">
        <v>191</v>
      </c>
      <c r="H934" s="1">
        <v>249</v>
      </c>
      <c r="I934" s="1">
        <f t="shared" si="4"/>
        <v>58</v>
      </c>
    </row>
    <row r="935" spans="1:10" x14ac:dyDescent="0.25">
      <c r="C935" s="1">
        <v>26</v>
      </c>
      <c r="D935" s="1">
        <v>2</v>
      </c>
      <c r="E935" s="1">
        <v>30</v>
      </c>
      <c r="F935" s="1">
        <v>6</v>
      </c>
      <c r="G935" s="1">
        <v>249</v>
      </c>
      <c r="H935" s="1">
        <v>315</v>
      </c>
      <c r="I935" s="1">
        <f t="shared" si="4"/>
        <v>66</v>
      </c>
    </row>
    <row r="936" spans="1:10" x14ac:dyDescent="0.25">
      <c r="C936" s="1">
        <v>26</v>
      </c>
      <c r="D936" s="1">
        <v>2</v>
      </c>
      <c r="E936" s="1">
        <v>30</v>
      </c>
      <c r="F936" s="1">
        <v>7</v>
      </c>
      <c r="G936" s="1">
        <v>315</v>
      </c>
      <c r="H936" s="1">
        <v>378</v>
      </c>
      <c r="I936" s="1">
        <f t="shared" si="4"/>
        <v>63</v>
      </c>
    </row>
    <row r="937" spans="1:10" x14ac:dyDescent="0.25">
      <c r="C937" s="1">
        <v>26</v>
      </c>
      <c r="D937" s="1">
        <v>2</v>
      </c>
      <c r="E937" s="1">
        <v>30</v>
      </c>
      <c r="F937" s="1">
        <v>8</v>
      </c>
      <c r="G937" s="1">
        <v>378</v>
      </c>
      <c r="H937" s="1">
        <v>426</v>
      </c>
      <c r="I937" s="1">
        <f t="shared" si="4"/>
        <v>48</v>
      </c>
    </row>
    <row r="938" spans="1:10" x14ac:dyDescent="0.25">
      <c r="C938" s="1">
        <v>26</v>
      </c>
      <c r="D938" s="1">
        <v>2</v>
      </c>
      <c r="E938" s="1">
        <v>30</v>
      </c>
      <c r="F938" s="1">
        <v>9</v>
      </c>
      <c r="G938" s="1">
        <v>426</v>
      </c>
      <c r="H938" s="1">
        <v>488</v>
      </c>
      <c r="I938" s="1">
        <f t="shared" si="4"/>
        <v>62</v>
      </c>
    </row>
    <row r="939" spans="1:10" x14ac:dyDescent="0.25">
      <c r="C939" s="1">
        <v>26</v>
      </c>
      <c r="D939" s="1">
        <v>2</v>
      </c>
      <c r="E939" s="1">
        <v>30</v>
      </c>
      <c r="F939" s="1">
        <v>10</v>
      </c>
      <c r="G939" s="1">
        <v>488</v>
      </c>
      <c r="H939" s="1">
        <v>554</v>
      </c>
      <c r="I939" s="1">
        <f t="shared" si="4"/>
        <v>66</v>
      </c>
    </row>
    <row r="940" spans="1:10" x14ac:dyDescent="0.25">
      <c r="C940" s="1">
        <v>26</v>
      </c>
      <c r="D940" s="1">
        <v>2</v>
      </c>
      <c r="E940" s="1">
        <v>30</v>
      </c>
      <c r="F940" s="1">
        <v>11</v>
      </c>
      <c r="G940" s="1">
        <v>554</v>
      </c>
      <c r="H940" s="1">
        <v>611</v>
      </c>
      <c r="I940" s="1">
        <f t="shared" si="4"/>
        <v>57</v>
      </c>
    </row>
    <row r="941" spans="1:10" x14ac:dyDescent="0.25">
      <c r="C941" s="1">
        <v>26</v>
      </c>
      <c r="D941" s="1">
        <v>2</v>
      </c>
      <c r="E941" s="1">
        <v>30</v>
      </c>
      <c r="F941" s="1">
        <v>12</v>
      </c>
      <c r="G941" s="1">
        <v>612</v>
      </c>
      <c r="H941" s="1">
        <v>670</v>
      </c>
      <c r="I941" s="1">
        <f t="shared" si="4"/>
        <v>58</v>
      </c>
    </row>
    <row r="942" spans="1:10" x14ac:dyDescent="0.25">
      <c r="C942" s="1">
        <v>26</v>
      </c>
      <c r="D942" s="1">
        <v>2</v>
      </c>
      <c r="E942" s="1">
        <v>30</v>
      </c>
      <c r="F942" s="1">
        <v>13</v>
      </c>
      <c r="G942" s="1">
        <v>670</v>
      </c>
      <c r="H942" s="1">
        <v>725</v>
      </c>
      <c r="I942" s="1">
        <f t="shared" si="4"/>
        <v>55</v>
      </c>
    </row>
    <row r="943" spans="1:10" x14ac:dyDescent="0.25">
      <c r="C943" s="1">
        <v>26</v>
      </c>
      <c r="D943" s="1">
        <v>2</v>
      </c>
      <c r="E943" s="1">
        <v>30</v>
      </c>
      <c r="F943" s="1">
        <v>14</v>
      </c>
      <c r="G943" s="1">
        <v>725</v>
      </c>
      <c r="H943" s="1">
        <v>725</v>
      </c>
      <c r="I943" s="1">
        <f t="shared" si="4"/>
        <v>0</v>
      </c>
    </row>
    <row r="944" spans="1:10" x14ac:dyDescent="0.25">
      <c r="C944" s="1">
        <v>26</v>
      </c>
      <c r="D944" s="1">
        <v>2</v>
      </c>
      <c r="E944" s="1">
        <v>30</v>
      </c>
      <c r="F944" s="1">
        <v>15</v>
      </c>
      <c r="G944" s="1">
        <v>736</v>
      </c>
      <c r="H944" s="1">
        <v>736</v>
      </c>
      <c r="I944" s="1">
        <f t="shared" si="4"/>
        <v>0</v>
      </c>
    </row>
    <row r="945" spans="3:9" x14ac:dyDescent="0.25">
      <c r="C945" s="1">
        <v>26</v>
      </c>
      <c r="D945" s="1">
        <v>2</v>
      </c>
      <c r="E945" s="1">
        <v>30</v>
      </c>
      <c r="F945" s="1">
        <v>16</v>
      </c>
      <c r="G945" s="1">
        <v>754</v>
      </c>
      <c r="H945" s="1">
        <v>831</v>
      </c>
      <c r="I945" s="1">
        <f t="shared" si="4"/>
        <v>77</v>
      </c>
    </row>
    <row r="946" spans="3:9" x14ac:dyDescent="0.25">
      <c r="C946" s="1">
        <v>26</v>
      </c>
      <c r="D946" s="1">
        <v>2</v>
      </c>
      <c r="E946" s="1">
        <v>30</v>
      </c>
      <c r="F946" s="1">
        <v>17</v>
      </c>
      <c r="G946" s="1">
        <v>831</v>
      </c>
      <c r="H946" s="1">
        <v>892</v>
      </c>
      <c r="I946" s="1">
        <f t="shared" si="4"/>
        <v>61</v>
      </c>
    </row>
    <row r="947" spans="3:9" x14ac:dyDescent="0.25">
      <c r="C947" s="1">
        <v>26</v>
      </c>
      <c r="D947" s="1">
        <v>2</v>
      </c>
      <c r="E947" s="1">
        <v>30</v>
      </c>
      <c r="F947" s="1">
        <v>18</v>
      </c>
      <c r="G947" s="1">
        <v>892</v>
      </c>
      <c r="H947" s="1">
        <v>948</v>
      </c>
      <c r="I947" s="1">
        <f t="shared" si="4"/>
        <v>56</v>
      </c>
    </row>
    <row r="948" spans="3:9" x14ac:dyDescent="0.25">
      <c r="C948" s="1">
        <v>26</v>
      </c>
      <c r="D948" s="1">
        <v>2</v>
      </c>
      <c r="E948" s="1">
        <v>30</v>
      </c>
      <c r="F948" s="1">
        <v>19</v>
      </c>
      <c r="G948" s="1">
        <v>948</v>
      </c>
      <c r="H948" s="1">
        <v>1012</v>
      </c>
      <c r="I948" s="1">
        <f t="shared" si="4"/>
        <v>64</v>
      </c>
    </row>
    <row r="949" spans="3:9" x14ac:dyDescent="0.25">
      <c r="C949" s="1">
        <v>26</v>
      </c>
      <c r="D949" s="1">
        <v>2</v>
      </c>
      <c r="E949" s="1">
        <v>30</v>
      </c>
      <c r="F949" s="1">
        <v>20</v>
      </c>
      <c r="G949" s="1">
        <v>1012</v>
      </c>
      <c r="H949" s="1">
        <v>1080</v>
      </c>
      <c r="I949" s="1">
        <f t="shared" si="4"/>
        <v>68</v>
      </c>
    </row>
    <row r="950" spans="3:9" x14ac:dyDescent="0.25">
      <c r="C950" s="1">
        <v>26</v>
      </c>
      <c r="D950" s="1">
        <v>2</v>
      </c>
      <c r="E950" s="1">
        <v>30</v>
      </c>
      <c r="F950" s="1">
        <v>21</v>
      </c>
      <c r="G950" s="1">
        <v>1083</v>
      </c>
      <c r="H950" s="1">
        <v>1144</v>
      </c>
      <c r="I950" s="1">
        <f t="shared" si="4"/>
        <v>61</v>
      </c>
    </row>
    <row r="951" spans="3:9" x14ac:dyDescent="0.25">
      <c r="C951" s="1">
        <v>26</v>
      </c>
      <c r="D951" s="1">
        <v>2</v>
      </c>
      <c r="E951" s="1">
        <v>30</v>
      </c>
      <c r="F951" s="1">
        <v>22</v>
      </c>
      <c r="G951" s="1">
        <v>1144</v>
      </c>
      <c r="H951" s="1">
        <v>1198</v>
      </c>
      <c r="I951" s="1">
        <f t="shared" si="4"/>
        <v>54</v>
      </c>
    </row>
    <row r="952" spans="3:9" x14ac:dyDescent="0.25">
      <c r="C952" s="1">
        <v>26</v>
      </c>
      <c r="D952" s="1">
        <v>2</v>
      </c>
      <c r="E952" s="1">
        <v>30</v>
      </c>
      <c r="F952" s="1">
        <v>23</v>
      </c>
      <c r="G952" s="1">
        <v>1200</v>
      </c>
      <c r="H952" s="1">
        <v>1264</v>
      </c>
      <c r="I952" s="1">
        <f t="shared" si="4"/>
        <v>64</v>
      </c>
    </row>
    <row r="953" spans="3:9" x14ac:dyDescent="0.25">
      <c r="C953" s="1">
        <v>26</v>
      </c>
      <c r="D953" s="1">
        <v>2</v>
      </c>
      <c r="E953" s="1">
        <v>30</v>
      </c>
      <c r="F953" s="1">
        <v>24</v>
      </c>
      <c r="G953" s="1">
        <v>1264</v>
      </c>
      <c r="H953" s="1">
        <v>1325</v>
      </c>
      <c r="I953" s="1">
        <f t="shared" si="4"/>
        <v>61</v>
      </c>
    </row>
    <row r="954" spans="3:9" x14ac:dyDescent="0.25">
      <c r="C954" s="1">
        <v>26</v>
      </c>
      <c r="D954" s="1">
        <v>2</v>
      </c>
      <c r="E954" s="1">
        <v>30</v>
      </c>
      <c r="F954" s="1">
        <v>25</v>
      </c>
      <c r="G954" s="1">
        <v>1325</v>
      </c>
      <c r="H954" s="1">
        <v>1389</v>
      </c>
      <c r="I954" s="1">
        <f t="shared" si="4"/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2" width="8.85546875" style="5"/>
    <col min="3" max="5" width="8.85546875" style="8"/>
  </cols>
  <sheetData>
    <row r="1" spans="1:5" x14ac:dyDescent="0.25">
      <c r="A1" s="5" t="s">
        <v>2</v>
      </c>
      <c r="B1" s="5" t="s">
        <v>3</v>
      </c>
      <c r="C1" s="15">
        <v>1</v>
      </c>
      <c r="D1" s="15">
        <v>10</v>
      </c>
      <c r="E1" s="15">
        <v>30</v>
      </c>
    </row>
    <row r="2" spans="1:5" x14ac:dyDescent="0.25">
      <c r="A2" s="5">
        <v>1</v>
      </c>
      <c r="B2" s="5">
        <v>1</v>
      </c>
      <c r="C2" s="8">
        <v>16.89</v>
      </c>
      <c r="D2" s="8">
        <v>30.44</v>
      </c>
      <c r="E2" s="8">
        <v>31.22</v>
      </c>
    </row>
    <row r="3" spans="1:5" x14ac:dyDescent="0.25">
      <c r="A3" s="5">
        <v>2</v>
      </c>
      <c r="B3" s="5">
        <v>2</v>
      </c>
      <c r="C3" s="8">
        <v>7.67</v>
      </c>
      <c r="D3" s="8">
        <v>18.22</v>
      </c>
      <c r="E3" s="8">
        <v>29.11</v>
      </c>
    </row>
    <row r="4" spans="1:5" x14ac:dyDescent="0.25">
      <c r="A4" s="5">
        <v>3</v>
      </c>
      <c r="B4" s="5">
        <v>1</v>
      </c>
      <c r="C4" s="8">
        <v>19.22</v>
      </c>
      <c r="D4" s="8">
        <v>35.22</v>
      </c>
      <c r="E4" s="8">
        <v>37.78</v>
      </c>
    </row>
    <row r="5" spans="1:5" x14ac:dyDescent="0.25">
      <c r="A5" s="5">
        <v>4</v>
      </c>
      <c r="B5" s="5">
        <v>2</v>
      </c>
      <c r="C5" s="8">
        <v>8</v>
      </c>
      <c r="D5" s="8">
        <v>30.67</v>
      </c>
      <c r="E5" s="8">
        <v>39.56</v>
      </c>
    </row>
    <row r="6" spans="1:5" x14ac:dyDescent="0.25">
      <c r="A6" s="5">
        <v>6</v>
      </c>
      <c r="B6" s="5">
        <v>1</v>
      </c>
      <c r="C6" s="8">
        <v>36.22</v>
      </c>
      <c r="D6" s="8">
        <v>31</v>
      </c>
      <c r="E6" s="8">
        <v>42.56</v>
      </c>
    </row>
    <row r="7" spans="1:5" x14ac:dyDescent="0.25">
      <c r="A7" s="5">
        <v>7</v>
      </c>
      <c r="B7" s="5">
        <v>1</v>
      </c>
      <c r="C7" s="8">
        <v>31.67</v>
      </c>
      <c r="D7" s="8">
        <v>48</v>
      </c>
      <c r="E7" s="8">
        <v>37</v>
      </c>
    </row>
    <row r="8" spans="1:5" x14ac:dyDescent="0.25">
      <c r="A8" s="5">
        <v>9</v>
      </c>
      <c r="B8" s="5">
        <v>1</v>
      </c>
      <c r="C8" s="8">
        <v>7.67</v>
      </c>
      <c r="D8" s="8">
        <v>27.33</v>
      </c>
      <c r="E8" s="8">
        <v>44.22</v>
      </c>
    </row>
    <row r="9" spans="1:5" x14ac:dyDescent="0.25">
      <c r="A9" s="5">
        <v>10</v>
      </c>
      <c r="B9" s="5">
        <v>2</v>
      </c>
      <c r="C9" s="8">
        <v>16.440000000000001</v>
      </c>
      <c r="D9" s="8">
        <v>28.78</v>
      </c>
      <c r="E9" s="8">
        <v>35.44</v>
      </c>
    </row>
    <row r="10" spans="1:5" x14ac:dyDescent="0.25">
      <c r="A10" s="5">
        <v>11</v>
      </c>
      <c r="B10" s="5">
        <v>1</v>
      </c>
      <c r="C10" s="8">
        <v>24.78</v>
      </c>
      <c r="D10" s="8">
        <v>29</v>
      </c>
      <c r="E10" s="8">
        <v>41.33</v>
      </c>
    </row>
    <row r="11" spans="1:5" x14ac:dyDescent="0.25">
      <c r="A11" s="9">
        <v>13</v>
      </c>
      <c r="B11" s="9">
        <v>1</v>
      </c>
      <c r="C11" s="14">
        <v>0</v>
      </c>
      <c r="D11" s="14">
        <v>30.11</v>
      </c>
      <c r="E11" s="14"/>
    </row>
    <row r="12" spans="1:5" x14ac:dyDescent="0.25">
      <c r="A12" s="5">
        <v>14</v>
      </c>
      <c r="B12" s="5">
        <v>2</v>
      </c>
      <c r="C12" s="8">
        <v>17</v>
      </c>
      <c r="D12" s="8">
        <v>15.44</v>
      </c>
      <c r="E12" s="8">
        <v>33</v>
      </c>
    </row>
    <row r="13" spans="1:5" x14ac:dyDescent="0.25">
      <c r="A13" s="9">
        <v>15</v>
      </c>
      <c r="B13" s="9">
        <v>1</v>
      </c>
      <c r="C13" s="14">
        <v>42</v>
      </c>
      <c r="D13" s="14"/>
      <c r="E13" s="14">
        <v>49.11</v>
      </c>
    </row>
    <row r="14" spans="1:5" x14ac:dyDescent="0.25">
      <c r="A14" s="5">
        <v>16</v>
      </c>
      <c r="B14" s="5">
        <v>2</v>
      </c>
      <c r="C14" s="8">
        <v>11.22</v>
      </c>
      <c r="D14" s="8">
        <v>35.89</v>
      </c>
      <c r="E14" s="8">
        <v>23.22</v>
      </c>
    </row>
    <row r="15" spans="1:5" x14ac:dyDescent="0.25">
      <c r="A15" s="5">
        <v>17</v>
      </c>
      <c r="B15" s="5">
        <v>1</v>
      </c>
      <c r="C15" s="8">
        <v>31.11</v>
      </c>
      <c r="D15" s="8">
        <v>19.89</v>
      </c>
      <c r="E15" s="8">
        <v>22.78</v>
      </c>
    </row>
    <row r="16" spans="1:5" x14ac:dyDescent="0.25">
      <c r="A16" s="5">
        <v>18</v>
      </c>
      <c r="B16" s="5">
        <v>2</v>
      </c>
      <c r="C16" s="8">
        <v>35.56</v>
      </c>
      <c r="D16" s="8">
        <v>15</v>
      </c>
      <c r="E16" s="8">
        <v>21.33</v>
      </c>
    </row>
    <row r="17" spans="1:5" x14ac:dyDescent="0.25">
      <c r="A17" s="5">
        <v>19</v>
      </c>
      <c r="B17" s="5">
        <v>2</v>
      </c>
      <c r="C17" s="8">
        <v>1.44</v>
      </c>
      <c r="D17" s="8">
        <v>46.33</v>
      </c>
      <c r="E17" s="8">
        <v>35</v>
      </c>
    </row>
    <row r="18" spans="1:5" x14ac:dyDescent="0.25">
      <c r="A18" s="5">
        <v>20</v>
      </c>
      <c r="B18" s="5">
        <v>2</v>
      </c>
      <c r="C18" s="8">
        <v>21.44</v>
      </c>
      <c r="D18" s="8">
        <v>30.78</v>
      </c>
      <c r="E18" s="8">
        <v>39.89</v>
      </c>
    </row>
    <row r="19" spans="1:5" x14ac:dyDescent="0.25">
      <c r="A19" s="5">
        <v>21</v>
      </c>
      <c r="B19" s="5">
        <v>2</v>
      </c>
      <c r="C19" s="8">
        <v>7.89</v>
      </c>
      <c r="D19" s="8">
        <v>34.78</v>
      </c>
      <c r="E19" s="8">
        <v>47</v>
      </c>
    </row>
    <row r="20" spans="1:5" x14ac:dyDescent="0.25">
      <c r="A20" s="5">
        <v>22</v>
      </c>
      <c r="B20" s="5">
        <v>1</v>
      </c>
      <c r="C20" s="8">
        <v>23.67</v>
      </c>
      <c r="D20" s="8">
        <v>38.56</v>
      </c>
      <c r="E20" s="8">
        <v>39.22</v>
      </c>
    </row>
    <row r="21" spans="1:5" x14ac:dyDescent="0.25">
      <c r="A21" s="5">
        <v>23</v>
      </c>
      <c r="B21" s="5">
        <v>2</v>
      </c>
      <c r="C21" s="8">
        <v>5.44</v>
      </c>
      <c r="D21" s="8">
        <v>18.329999999999998</v>
      </c>
      <c r="E21" s="8">
        <v>53</v>
      </c>
    </row>
    <row r="22" spans="1:5" x14ac:dyDescent="0.25">
      <c r="A22" s="5">
        <v>24</v>
      </c>
      <c r="B22" s="5">
        <v>1</v>
      </c>
      <c r="C22" s="8">
        <v>19.670000000000002</v>
      </c>
      <c r="D22" s="8">
        <v>42.56</v>
      </c>
      <c r="E22" s="8">
        <v>39.11</v>
      </c>
    </row>
    <row r="23" spans="1:5" x14ac:dyDescent="0.25">
      <c r="A23" s="5">
        <v>25</v>
      </c>
      <c r="B23" s="5">
        <v>1</v>
      </c>
      <c r="C23" s="8">
        <v>2</v>
      </c>
      <c r="D23" s="8">
        <v>26.11</v>
      </c>
      <c r="E23" s="8">
        <v>46.22</v>
      </c>
    </row>
    <row r="24" spans="1:5" x14ac:dyDescent="0.25">
      <c r="A24" s="5">
        <v>26</v>
      </c>
      <c r="B24" s="5">
        <v>2</v>
      </c>
      <c r="C24" s="8">
        <v>33.89</v>
      </c>
      <c r="D24" s="8">
        <v>13.67</v>
      </c>
      <c r="E24" s="8">
        <v>34.33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workbookViewId="0">
      <selection sqref="A1:E24"/>
    </sheetView>
  </sheetViews>
  <sheetFormatPr defaultRowHeight="15" x14ac:dyDescent="0.25"/>
  <cols>
    <col min="1" max="2" width="8.85546875" style="1"/>
    <col min="3" max="5" width="8.85546875" style="6"/>
  </cols>
  <sheetData>
    <row r="1" spans="1:11" x14ac:dyDescent="0.25">
      <c r="A1" s="1" t="s">
        <v>2</v>
      </c>
      <c r="B1" s="1" t="s">
        <v>3</v>
      </c>
      <c r="C1" s="1">
        <v>1</v>
      </c>
      <c r="D1" s="1">
        <v>10</v>
      </c>
      <c r="E1" s="1">
        <v>30</v>
      </c>
      <c r="G1" s="1" t="s">
        <v>2</v>
      </c>
      <c r="H1" s="1" t="s">
        <v>3</v>
      </c>
      <c r="I1" s="1">
        <v>1</v>
      </c>
      <c r="J1" s="1">
        <v>10</v>
      </c>
      <c r="K1" s="1">
        <v>30</v>
      </c>
    </row>
    <row r="2" spans="1:11" x14ac:dyDescent="0.25">
      <c r="A2" s="1">
        <v>1</v>
      </c>
      <c r="B2" s="1">
        <v>1</v>
      </c>
      <c r="C2" s="6">
        <v>14.89</v>
      </c>
      <c r="D2" s="6">
        <v>33</v>
      </c>
      <c r="E2" s="6">
        <v>42.44</v>
      </c>
      <c r="G2" s="1">
        <v>1</v>
      </c>
      <c r="H2" s="1">
        <v>1</v>
      </c>
      <c r="I2" s="6">
        <f>14.89/10</f>
        <v>1.4890000000000001</v>
      </c>
      <c r="J2" s="6">
        <v>3.3</v>
      </c>
      <c r="K2" s="6">
        <f>42.44/10</f>
        <v>4.2439999999999998</v>
      </c>
    </row>
    <row r="3" spans="1:11" x14ac:dyDescent="0.25">
      <c r="A3" s="1">
        <v>2</v>
      </c>
      <c r="B3" s="1">
        <v>2</v>
      </c>
      <c r="C3" s="6">
        <v>34.11</v>
      </c>
      <c r="D3" s="6">
        <v>28.44</v>
      </c>
      <c r="E3" s="6">
        <v>27</v>
      </c>
      <c r="G3" s="1"/>
      <c r="H3" s="1"/>
      <c r="I3" s="6"/>
      <c r="J3" s="6"/>
      <c r="K3" s="6"/>
    </row>
    <row r="4" spans="1:11" x14ac:dyDescent="0.25">
      <c r="A4" s="1">
        <v>3</v>
      </c>
      <c r="B4" s="1">
        <v>1</v>
      </c>
      <c r="C4" s="6">
        <v>35.44</v>
      </c>
      <c r="D4" s="6">
        <v>43.44</v>
      </c>
      <c r="E4" s="6">
        <v>24.44</v>
      </c>
      <c r="G4" s="1">
        <v>3</v>
      </c>
      <c r="H4" s="1">
        <v>1</v>
      </c>
      <c r="I4" s="6">
        <f>35.44/10</f>
        <v>3.5439999999999996</v>
      </c>
      <c r="J4" s="6">
        <f>43.44/10</f>
        <v>4.3439999999999994</v>
      </c>
      <c r="K4" s="6">
        <f>24.44/10</f>
        <v>2.444</v>
      </c>
    </row>
    <row r="5" spans="1:11" x14ac:dyDescent="0.25">
      <c r="A5" s="1">
        <v>4</v>
      </c>
      <c r="B5" s="1">
        <v>2</v>
      </c>
      <c r="C5" s="6">
        <v>28.56</v>
      </c>
      <c r="D5" s="6">
        <v>33.33</v>
      </c>
      <c r="E5" s="6">
        <v>32.22</v>
      </c>
      <c r="G5" s="1"/>
      <c r="H5" s="1"/>
      <c r="I5" s="6"/>
      <c r="J5" s="6"/>
      <c r="K5" s="6"/>
    </row>
    <row r="6" spans="1:11" x14ac:dyDescent="0.25">
      <c r="A6" s="1">
        <v>6</v>
      </c>
      <c r="B6" s="1">
        <v>1</v>
      </c>
      <c r="C6" s="6">
        <v>29.67</v>
      </c>
      <c r="D6" s="6">
        <v>40.56</v>
      </c>
      <c r="E6" s="6">
        <v>39.44</v>
      </c>
      <c r="G6" s="1">
        <v>6</v>
      </c>
      <c r="H6" s="1">
        <v>1</v>
      </c>
      <c r="I6" s="6">
        <f>29.67/10</f>
        <v>2.9670000000000001</v>
      </c>
      <c r="J6" s="6">
        <f>40.56/10</f>
        <v>4.056</v>
      </c>
      <c r="K6" s="6">
        <f>39.44/10</f>
        <v>3.944</v>
      </c>
    </row>
    <row r="7" spans="1:11" x14ac:dyDescent="0.25">
      <c r="A7" s="1">
        <v>7</v>
      </c>
      <c r="B7" s="1">
        <v>1</v>
      </c>
      <c r="C7" s="6">
        <v>46.78</v>
      </c>
      <c r="D7" s="6">
        <v>53.33</v>
      </c>
      <c r="E7" s="6">
        <v>44</v>
      </c>
      <c r="G7" s="1">
        <v>7</v>
      </c>
      <c r="H7" s="1">
        <v>1</v>
      </c>
      <c r="I7" s="6">
        <f>46.78/10</f>
        <v>4.6779999999999999</v>
      </c>
      <c r="J7" s="6">
        <f>53.33/10</f>
        <v>5.3330000000000002</v>
      </c>
      <c r="K7" s="6">
        <f>44/10</f>
        <v>4.4000000000000004</v>
      </c>
    </row>
    <row r="8" spans="1:11" x14ac:dyDescent="0.25">
      <c r="A8" s="3">
        <v>9</v>
      </c>
      <c r="B8" s="3">
        <v>1</v>
      </c>
      <c r="C8" s="10">
        <v>18</v>
      </c>
      <c r="D8" s="10"/>
      <c r="E8" s="10">
        <v>26.67</v>
      </c>
      <c r="G8" s="3">
        <v>9</v>
      </c>
      <c r="H8" s="3">
        <v>1</v>
      </c>
      <c r="I8" s="10">
        <f>18/10</f>
        <v>1.8</v>
      </c>
      <c r="J8" s="10"/>
      <c r="K8" s="10">
        <f>26.67/10</f>
        <v>2.6670000000000003</v>
      </c>
    </row>
    <row r="9" spans="1:11" x14ac:dyDescent="0.25">
      <c r="A9" s="3">
        <v>10</v>
      </c>
      <c r="B9" s="3">
        <v>2</v>
      </c>
      <c r="C9" s="10"/>
      <c r="D9" s="10">
        <v>23</v>
      </c>
      <c r="E9" s="10">
        <v>27.22</v>
      </c>
      <c r="G9" s="3"/>
      <c r="H9" s="3"/>
      <c r="I9" s="10"/>
      <c r="J9" s="10"/>
      <c r="K9" s="10"/>
    </row>
    <row r="10" spans="1:11" x14ac:dyDescent="0.25">
      <c r="A10" s="1">
        <v>11</v>
      </c>
      <c r="B10" s="1">
        <v>1</v>
      </c>
      <c r="C10" s="6">
        <v>11.44</v>
      </c>
      <c r="D10" s="6">
        <v>27.22</v>
      </c>
      <c r="E10" s="6">
        <v>36.78</v>
      </c>
      <c r="G10" s="1">
        <v>11</v>
      </c>
      <c r="H10" s="1">
        <v>1</v>
      </c>
      <c r="I10" s="6">
        <f>11.44/10</f>
        <v>1.1439999999999999</v>
      </c>
      <c r="J10" s="6">
        <f>27.22/10</f>
        <v>2.722</v>
      </c>
      <c r="K10" s="6">
        <f>36.78/10</f>
        <v>3.6779999999999999</v>
      </c>
    </row>
    <row r="11" spans="1:11" x14ac:dyDescent="0.25">
      <c r="A11" s="1">
        <v>13</v>
      </c>
      <c r="B11" s="1">
        <v>1</v>
      </c>
      <c r="C11" s="6">
        <v>19.89</v>
      </c>
      <c r="D11" s="6">
        <v>50.67</v>
      </c>
      <c r="E11" s="6">
        <v>49</v>
      </c>
      <c r="G11" s="1">
        <v>13</v>
      </c>
      <c r="H11" s="1">
        <v>1</v>
      </c>
      <c r="I11" s="6">
        <f>19.89/10</f>
        <v>1.9890000000000001</v>
      </c>
      <c r="J11" s="6">
        <f>50.67/10</f>
        <v>5.0670000000000002</v>
      </c>
      <c r="K11" s="6">
        <f>49/10</f>
        <v>4.9000000000000004</v>
      </c>
    </row>
    <row r="12" spans="1:11" x14ac:dyDescent="0.25">
      <c r="A12" s="1">
        <v>14</v>
      </c>
      <c r="B12" s="1">
        <v>2</v>
      </c>
      <c r="C12" s="6">
        <v>25.67</v>
      </c>
      <c r="D12" s="6">
        <v>40.22</v>
      </c>
      <c r="E12" s="6">
        <v>50</v>
      </c>
      <c r="G12" s="1"/>
      <c r="H12" s="1"/>
      <c r="I12" s="6"/>
      <c r="J12" s="6"/>
      <c r="K12" s="6"/>
    </row>
    <row r="13" spans="1:11" x14ac:dyDescent="0.25">
      <c r="A13" s="1">
        <v>15</v>
      </c>
      <c r="B13" s="1">
        <v>1</v>
      </c>
      <c r="C13" s="6">
        <v>48.89</v>
      </c>
      <c r="D13" s="6">
        <v>49.11</v>
      </c>
      <c r="E13" s="6">
        <v>43.33</v>
      </c>
      <c r="G13" s="1">
        <v>15</v>
      </c>
      <c r="H13" s="1">
        <v>1</v>
      </c>
      <c r="I13" s="6">
        <f>48.89/10</f>
        <v>4.8890000000000002</v>
      </c>
      <c r="J13" s="6">
        <f>49.11/10</f>
        <v>4.9109999999999996</v>
      </c>
      <c r="K13" s="6">
        <f>43.33/10</f>
        <v>4.3330000000000002</v>
      </c>
    </row>
    <row r="14" spans="1:11" x14ac:dyDescent="0.25">
      <c r="A14" s="3">
        <v>16</v>
      </c>
      <c r="B14" s="3">
        <v>2</v>
      </c>
      <c r="C14" s="10">
        <v>14.67</v>
      </c>
      <c r="D14" s="10">
        <v>3.44</v>
      </c>
      <c r="E14" s="10"/>
      <c r="G14" s="3"/>
      <c r="H14" s="3"/>
      <c r="I14" s="10"/>
      <c r="J14" s="10"/>
      <c r="K14" s="10"/>
    </row>
    <row r="15" spans="1:11" x14ac:dyDescent="0.25">
      <c r="A15" s="1">
        <v>17</v>
      </c>
      <c r="B15" s="1">
        <v>1</v>
      </c>
      <c r="C15" s="6">
        <v>35.44</v>
      </c>
      <c r="D15" s="6">
        <v>36.22</v>
      </c>
      <c r="E15" s="6">
        <v>36.44</v>
      </c>
      <c r="G15" s="1">
        <v>17</v>
      </c>
      <c r="H15" s="1">
        <v>1</v>
      </c>
      <c r="I15" s="6">
        <f>35.44/10</f>
        <v>3.5439999999999996</v>
      </c>
      <c r="J15" s="6">
        <f>36.22/10</f>
        <v>3.6219999999999999</v>
      </c>
      <c r="K15" s="6">
        <f>36.44/10</f>
        <v>3.6439999999999997</v>
      </c>
    </row>
    <row r="16" spans="1:11" x14ac:dyDescent="0.25">
      <c r="A16" s="1">
        <v>18</v>
      </c>
      <c r="B16" s="1">
        <v>2</v>
      </c>
      <c r="C16" s="6">
        <v>29.89</v>
      </c>
      <c r="D16" s="6">
        <v>42.44</v>
      </c>
      <c r="E16" s="6">
        <v>31.78</v>
      </c>
      <c r="G16" s="1"/>
      <c r="H16" s="1"/>
      <c r="I16" s="6"/>
      <c r="J16" s="6"/>
      <c r="K16" s="6"/>
    </row>
    <row r="17" spans="1:11" x14ac:dyDescent="0.25">
      <c r="A17" s="1">
        <v>19</v>
      </c>
      <c r="B17" s="1">
        <v>2</v>
      </c>
      <c r="C17" s="6">
        <v>25.56</v>
      </c>
      <c r="D17" s="6">
        <v>39.67</v>
      </c>
      <c r="E17" s="6">
        <v>34.56</v>
      </c>
      <c r="G17" s="1"/>
      <c r="H17" s="1"/>
      <c r="I17" s="6"/>
      <c r="J17" s="6"/>
      <c r="K17" s="6"/>
    </row>
    <row r="18" spans="1:11" x14ac:dyDescent="0.25">
      <c r="A18" s="1">
        <v>20</v>
      </c>
      <c r="B18" s="1">
        <v>2</v>
      </c>
      <c r="C18" s="6">
        <v>29</v>
      </c>
      <c r="D18" s="6">
        <v>49.56</v>
      </c>
      <c r="E18" s="6">
        <v>44.33</v>
      </c>
      <c r="G18" s="1"/>
      <c r="H18" s="1"/>
      <c r="I18" s="6"/>
      <c r="J18" s="6"/>
      <c r="K18" s="6"/>
    </row>
    <row r="19" spans="1:11" x14ac:dyDescent="0.25">
      <c r="A19" s="1">
        <v>21</v>
      </c>
      <c r="B19" s="1">
        <v>2</v>
      </c>
      <c r="C19" s="6">
        <v>37</v>
      </c>
      <c r="D19" s="6">
        <v>47.78</v>
      </c>
      <c r="E19" s="6">
        <v>42.78</v>
      </c>
      <c r="G19" s="1"/>
      <c r="H19" s="1"/>
      <c r="I19" s="6"/>
      <c r="J19" s="6"/>
      <c r="K19" s="6"/>
    </row>
    <row r="20" spans="1:11" x14ac:dyDescent="0.25">
      <c r="A20" s="1">
        <v>22</v>
      </c>
      <c r="B20" s="1">
        <v>1</v>
      </c>
      <c r="C20" s="6">
        <v>37.78</v>
      </c>
      <c r="D20" s="6">
        <v>49.33</v>
      </c>
      <c r="E20" s="6">
        <v>33</v>
      </c>
      <c r="G20" s="1">
        <v>22</v>
      </c>
      <c r="H20" s="1">
        <v>1</v>
      </c>
      <c r="I20" s="6">
        <f>37.78/10</f>
        <v>3.778</v>
      </c>
      <c r="J20" s="6">
        <f>49.33/10</f>
        <v>4.9329999999999998</v>
      </c>
      <c r="K20" s="6">
        <f>33/10</f>
        <v>3.3</v>
      </c>
    </row>
    <row r="21" spans="1:11" x14ac:dyDescent="0.25">
      <c r="A21" s="1">
        <v>23</v>
      </c>
      <c r="B21" s="1">
        <v>2</v>
      </c>
      <c r="C21" s="6">
        <v>13.67</v>
      </c>
      <c r="D21" s="6">
        <v>50.22</v>
      </c>
      <c r="E21" s="6">
        <v>49.56</v>
      </c>
      <c r="G21" s="1"/>
      <c r="H21" s="1"/>
      <c r="I21" s="6"/>
      <c r="J21" s="6"/>
      <c r="K21" s="6"/>
    </row>
    <row r="22" spans="1:11" x14ac:dyDescent="0.25">
      <c r="A22" s="1">
        <v>24</v>
      </c>
      <c r="B22" s="1">
        <v>1</v>
      </c>
      <c r="C22" s="6">
        <v>47.44</v>
      </c>
      <c r="D22" s="6">
        <v>34.67</v>
      </c>
      <c r="E22" s="6">
        <v>51.44</v>
      </c>
      <c r="G22" s="1">
        <v>24</v>
      </c>
      <c r="H22" s="1">
        <v>1</v>
      </c>
      <c r="I22" s="6">
        <f>47.44/10</f>
        <v>4.7439999999999998</v>
      </c>
      <c r="J22" s="6">
        <f>34.67/10</f>
        <v>3.4670000000000001</v>
      </c>
      <c r="K22" s="6">
        <f>51.44/10</f>
        <v>5.1440000000000001</v>
      </c>
    </row>
    <row r="23" spans="1:11" x14ac:dyDescent="0.25">
      <c r="A23" s="1">
        <v>25</v>
      </c>
      <c r="B23" s="1">
        <v>1</v>
      </c>
      <c r="C23" s="6">
        <v>30.89</v>
      </c>
      <c r="D23" s="6">
        <v>42.89</v>
      </c>
      <c r="E23" s="6">
        <v>40.44</v>
      </c>
      <c r="G23" s="1">
        <v>25</v>
      </c>
      <c r="H23" s="1">
        <v>1</v>
      </c>
      <c r="I23" s="6">
        <f>30.89/10</f>
        <v>3.089</v>
      </c>
      <c r="J23" s="6">
        <f>42.89/10</f>
        <v>4.2889999999999997</v>
      </c>
      <c r="K23" s="6">
        <f>40.44/10</f>
        <v>4.0439999999999996</v>
      </c>
    </row>
    <row r="24" spans="1:11" x14ac:dyDescent="0.25">
      <c r="A24" s="1">
        <v>26</v>
      </c>
      <c r="B24" s="1">
        <v>2</v>
      </c>
      <c r="C24" s="6">
        <v>5.1100000000000003</v>
      </c>
      <c r="D24" s="6">
        <v>46.22</v>
      </c>
      <c r="E24" s="6">
        <v>47.67</v>
      </c>
      <c r="G24" s="1"/>
      <c r="H24" s="1"/>
      <c r="I24" s="6"/>
      <c r="J24" s="6"/>
      <c r="K24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F2AE-AB0E-4EFB-91B3-96F2194F7BD9}">
  <dimension ref="A1:H27"/>
  <sheetViews>
    <sheetView workbookViewId="0">
      <selection activeCell="F14" sqref="F14:H24"/>
    </sheetView>
  </sheetViews>
  <sheetFormatPr defaultRowHeight="15" x14ac:dyDescent="0.25"/>
  <sheetData>
    <row r="1" spans="1:8" x14ac:dyDescent="0.25">
      <c r="A1" s="1" t="s">
        <v>2</v>
      </c>
      <c r="B1" s="1" t="s">
        <v>3</v>
      </c>
      <c r="C1" s="1">
        <v>1</v>
      </c>
      <c r="D1" s="1">
        <v>10</v>
      </c>
      <c r="E1" s="1">
        <v>30</v>
      </c>
    </row>
    <row r="2" spans="1:8" x14ac:dyDescent="0.25">
      <c r="A2" s="1">
        <v>1</v>
      </c>
      <c r="B2" s="1">
        <v>1</v>
      </c>
      <c r="C2" s="6">
        <v>14.89</v>
      </c>
      <c r="D2" s="6">
        <v>33</v>
      </c>
      <c r="E2" s="6">
        <v>42.44</v>
      </c>
    </row>
    <row r="3" spans="1:8" x14ac:dyDescent="0.25">
      <c r="A3" s="1">
        <v>3</v>
      </c>
      <c r="B3" s="1">
        <v>1</v>
      </c>
      <c r="C3" s="6">
        <v>35.44</v>
      </c>
      <c r="D3" s="6">
        <v>43.44</v>
      </c>
      <c r="E3" s="6">
        <v>24.44</v>
      </c>
    </row>
    <row r="4" spans="1:8" x14ac:dyDescent="0.25">
      <c r="A4" s="1">
        <v>6</v>
      </c>
      <c r="B4" s="1">
        <v>1</v>
      </c>
      <c r="C4" s="6">
        <v>29.67</v>
      </c>
      <c r="D4" s="6">
        <v>40.56</v>
      </c>
      <c r="E4" s="6">
        <v>39.44</v>
      </c>
    </row>
    <row r="5" spans="1:8" x14ac:dyDescent="0.25">
      <c r="A5" s="1">
        <v>7</v>
      </c>
      <c r="B5" s="1">
        <v>1</v>
      </c>
      <c r="C5" s="6">
        <v>46.78</v>
      </c>
      <c r="D5" s="6">
        <v>53.33</v>
      </c>
      <c r="E5" s="6">
        <v>44</v>
      </c>
    </row>
    <row r="6" spans="1:8" x14ac:dyDescent="0.25">
      <c r="A6" s="3">
        <v>9</v>
      </c>
      <c r="B6" s="3">
        <v>1</v>
      </c>
      <c r="C6" s="10">
        <v>18</v>
      </c>
      <c r="D6" s="10"/>
      <c r="E6" s="10">
        <v>26.67</v>
      </c>
    </row>
    <row r="7" spans="1:8" x14ac:dyDescent="0.25">
      <c r="A7" s="1">
        <v>11</v>
      </c>
      <c r="B7" s="1">
        <v>1</v>
      </c>
      <c r="C7" s="6">
        <v>11.44</v>
      </c>
      <c r="D7" s="6">
        <v>27.22</v>
      </c>
      <c r="E7" s="6">
        <v>36.78</v>
      </c>
    </row>
    <row r="8" spans="1:8" x14ac:dyDescent="0.25">
      <c r="A8" s="1">
        <v>13</v>
      </c>
      <c r="B8" s="1">
        <v>1</v>
      </c>
      <c r="C8" s="6">
        <v>19.89</v>
      </c>
      <c r="D8" s="6">
        <v>50.67</v>
      </c>
      <c r="E8" s="6">
        <v>49</v>
      </c>
    </row>
    <row r="9" spans="1:8" x14ac:dyDescent="0.25">
      <c r="A9" s="1">
        <v>15</v>
      </c>
      <c r="B9" s="1">
        <v>1</v>
      </c>
      <c r="C9" s="6">
        <v>48.89</v>
      </c>
      <c r="D9" s="6">
        <v>49.11</v>
      </c>
      <c r="E9" s="6">
        <v>43.33</v>
      </c>
    </row>
    <row r="10" spans="1:8" x14ac:dyDescent="0.25">
      <c r="A10" s="1">
        <v>17</v>
      </c>
      <c r="B10" s="1">
        <v>1</v>
      </c>
      <c r="C10" s="6">
        <v>35.44</v>
      </c>
      <c r="D10" s="6">
        <v>36.22</v>
      </c>
      <c r="E10" s="6">
        <v>36.44</v>
      </c>
    </row>
    <row r="11" spans="1:8" x14ac:dyDescent="0.25">
      <c r="A11" s="1">
        <v>22</v>
      </c>
      <c r="B11" s="1">
        <v>1</v>
      </c>
      <c r="C11" s="6">
        <v>37.78</v>
      </c>
      <c r="D11" s="6">
        <v>49.33</v>
      </c>
      <c r="E11" s="6">
        <v>33</v>
      </c>
    </row>
    <row r="12" spans="1:8" x14ac:dyDescent="0.25">
      <c r="A12" s="1">
        <v>24</v>
      </c>
      <c r="B12" s="1">
        <v>1</v>
      </c>
      <c r="C12" s="6">
        <v>47.44</v>
      </c>
      <c r="D12" s="6">
        <v>34.67</v>
      </c>
      <c r="E12" s="6">
        <v>51.44</v>
      </c>
    </row>
    <row r="13" spans="1:8" x14ac:dyDescent="0.25">
      <c r="A13" s="1">
        <v>25</v>
      </c>
      <c r="B13" s="1">
        <v>1</v>
      </c>
      <c r="C13" s="6">
        <v>30.89</v>
      </c>
      <c r="D13" s="6">
        <v>42.89</v>
      </c>
      <c r="E13" s="6">
        <v>40.44</v>
      </c>
    </row>
    <row r="14" spans="1:8" x14ac:dyDescent="0.25">
      <c r="A14" s="1">
        <v>2</v>
      </c>
      <c r="B14" s="1">
        <v>2</v>
      </c>
      <c r="C14" s="6">
        <v>34.11</v>
      </c>
      <c r="D14" s="6">
        <v>28.44</v>
      </c>
      <c r="E14" s="6">
        <v>27</v>
      </c>
      <c r="F14">
        <f>(C14/10)</f>
        <v>3.411</v>
      </c>
      <c r="G14">
        <f>(D14/10)</f>
        <v>2.8440000000000003</v>
      </c>
      <c r="H14">
        <f>(E14/10)</f>
        <v>2.7</v>
      </c>
    </row>
    <row r="15" spans="1:8" x14ac:dyDescent="0.25">
      <c r="A15" s="1">
        <v>4</v>
      </c>
      <c r="B15" s="1">
        <v>2</v>
      </c>
      <c r="C15" s="6">
        <v>28.56</v>
      </c>
      <c r="D15" s="6">
        <v>33.33</v>
      </c>
      <c r="E15" s="6">
        <v>32.22</v>
      </c>
      <c r="F15">
        <f t="shared" ref="F15:H24" si="0">(C15/10)</f>
        <v>2.8559999999999999</v>
      </c>
      <c r="G15">
        <f t="shared" si="0"/>
        <v>3.3329999999999997</v>
      </c>
      <c r="H15">
        <f t="shared" si="0"/>
        <v>3.222</v>
      </c>
    </row>
    <row r="16" spans="1:8" x14ac:dyDescent="0.25">
      <c r="A16" s="3">
        <v>10</v>
      </c>
      <c r="B16" s="3">
        <v>2</v>
      </c>
      <c r="C16" s="10">
        <v>24.32</v>
      </c>
      <c r="D16" s="10">
        <v>23</v>
      </c>
      <c r="E16" s="10">
        <v>27.22</v>
      </c>
      <c r="F16">
        <f t="shared" si="0"/>
        <v>2.4319999999999999</v>
      </c>
      <c r="G16">
        <f t="shared" si="0"/>
        <v>2.2999999999999998</v>
      </c>
      <c r="H16">
        <f t="shared" si="0"/>
        <v>2.722</v>
      </c>
    </row>
    <row r="17" spans="1:8" x14ac:dyDescent="0.25">
      <c r="A17" s="1">
        <v>14</v>
      </c>
      <c r="B17" s="1">
        <v>2</v>
      </c>
      <c r="C17" s="6">
        <v>25.67</v>
      </c>
      <c r="D17" s="6">
        <v>40.22</v>
      </c>
      <c r="E17" s="6">
        <v>50</v>
      </c>
      <c r="F17">
        <f t="shared" si="0"/>
        <v>2.5670000000000002</v>
      </c>
      <c r="G17">
        <f t="shared" si="0"/>
        <v>4.0220000000000002</v>
      </c>
      <c r="H17">
        <f t="shared" si="0"/>
        <v>5</v>
      </c>
    </row>
    <row r="18" spans="1:8" x14ac:dyDescent="0.25">
      <c r="A18" s="3">
        <v>16</v>
      </c>
      <c r="B18" s="3">
        <v>2</v>
      </c>
      <c r="C18" s="10">
        <v>14.67</v>
      </c>
      <c r="D18" s="10">
        <v>3.44</v>
      </c>
      <c r="E18" s="10"/>
      <c r="F18">
        <f t="shared" si="0"/>
        <v>1.4670000000000001</v>
      </c>
      <c r="G18">
        <f t="shared" si="0"/>
        <v>0.34399999999999997</v>
      </c>
      <c r="H18">
        <f t="shared" si="0"/>
        <v>0</v>
      </c>
    </row>
    <row r="19" spans="1:8" x14ac:dyDescent="0.25">
      <c r="A19" s="1">
        <v>18</v>
      </c>
      <c r="B19" s="1">
        <v>2</v>
      </c>
      <c r="C19" s="6">
        <v>29.89</v>
      </c>
      <c r="D19" s="6">
        <v>42.44</v>
      </c>
      <c r="E19" s="6">
        <v>31.78</v>
      </c>
      <c r="F19">
        <f t="shared" si="0"/>
        <v>2.9889999999999999</v>
      </c>
      <c r="G19">
        <f t="shared" si="0"/>
        <v>4.2439999999999998</v>
      </c>
      <c r="H19">
        <f t="shared" si="0"/>
        <v>3.1779999999999999</v>
      </c>
    </row>
    <row r="20" spans="1:8" x14ac:dyDescent="0.25">
      <c r="A20" s="1">
        <v>19</v>
      </c>
      <c r="B20" s="1">
        <v>2</v>
      </c>
      <c r="C20" s="6">
        <v>25.56</v>
      </c>
      <c r="D20" s="6">
        <v>39.67</v>
      </c>
      <c r="E20" s="6">
        <v>34.56</v>
      </c>
      <c r="F20">
        <f t="shared" si="0"/>
        <v>2.556</v>
      </c>
      <c r="G20">
        <f t="shared" si="0"/>
        <v>3.9670000000000001</v>
      </c>
      <c r="H20">
        <f t="shared" si="0"/>
        <v>3.4560000000000004</v>
      </c>
    </row>
    <row r="21" spans="1:8" x14ac:dyDescent="0.25">
      <c r="A21" s="1">
        <v>20</v>
      </c>
      <c r="B21" s="1">
        <v>2</v>
      </c>
      <c r="C21" s="6">
        <v>29</v>
      </c>
      <c r="D21" s="6">
        <v>49.56</v>
      </c>
      <c r="E21" s="6">
        <v>44.33</v>
      </c>
      <c r="F21">
        <f t="shared" si="0"/>
        <v>2.9</v>
      </c>
      <c r="G21">
        <f t="shared" si="0"/>
        <v>4.9560000000000004</v>
      </c>
      <c r="H21">
        <f t="shared" si="0"/>
        <v>4.4329999999999998</v>
      </c>
    </row>
    <row r="22" spans="1:8" x14ac:dyDescent="0.25">
      <c r="A22" s="1">
        <v>21</v>
      </c>
      <c r="B22" s="1">
        <v>2</v>
      </c>
      <c r="C22" s="6">
        <v>37</v>
      </c>
      <c r="D22" s="6">
        <v>47.78</v>
      </c>
      <c r="E22" s="6">
        <v>42.78</v>
      </c>
      <c r="F22">
        <f t="shared" si="0"/>
        <v>3.7</v>
      </c>
      <c r="G22">
        <f t="shared" si="0"/>
        <v>4.7780000000000005</v>
      </c>
      <c r="H22">
        <f t="shared" si="0"/>
        <v>4.2780000000000005</v>
      </c>
    </row>
    <row r="23" spans="1:8" x14ac:dyDescent="0.25">
      <c r="A23" s="1">
        <v>23</v>
      </c>
      <c r="B23" s="1">
        <v>2</v>
      </c>
      <c r="C23" s="6">
        <v>13.67</v>
      </c>
      <c r="D23" s="6">
        <v>50.22</v>
      </c>
      <c r="E23" s="6">
        <v>49.56</v>
      </c>
      <c r="F23">
        <f t="shared" si="0"/>
        <v>1.367</v>
      </c>
      <c r="G23">
        <f t="shared" si="0"/>
        <v>5.0220000000000002</v>
      </c>
      <c r="H23">
        <f t="shared" si="0"/>
        <v>4.9560000000000004</v>
      </c>
    </row>
    <row r="24" spans="1:8" x14ac:dyDescent="0.25">
      <c r="A24" s="1">
        <v>26</v>
      </c>
      <c r="B24" s="1">
        <v>2</v>
      </c>
      <c r="C24" s="6">
        <v>5.1100000000000003</v>
      </c>
      <c r="D24" s="6">
        <v>46.22</v>
      </c>
      <c r="E24" s="6">
        <v>47.67</v>
      </c>
      <c r="F24">
        <f t="shared" si="0"/>
        <v>0.51100000000000001</v>
      </c>
      <c r="G24">
        <f t="shared" si="0"/>
        <v>4.6219999999999999</v>
      </c>
      <c r="H24">
        <f t="shared" si="0"/>
        <v>4.7670000000000003</v>
      </c>
    </row>
    <row r="27" spans="1:8" x14ac:dyDescent="0.25">
      <c r="A27" s="7">
        <f>AVERAGE(C14:C24)</f>
        <v>24.323636363636368</v>
      </c>
    </row>
  </sheetData>
  <sortState xmlns:xlrd2="http://schemas.microsoft.com/office/spreadsheetml/2017/richdata2" ref="A2:E24">
    <sortCondition ref="B2:B2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>
      <pane ySplit="1" topLeftCell="A2" activePane="bottomLeft" state="frozen"/>
      <selection pane="bottomLeft" activeCell="I17" sqref="I17"/>
    </sheetView>
  </sheetViews>
  <sheetFormatPr defaultColWidth="8.85546875" defaultRowHeight="15" x14ac:dyDescent="0.25"/>
  <cols>
    <col min="1" max="5" width="8.85546875" style="17"/>
    <col min="6" max="16384" width="8.85546875" style="16"/>
  </cols>
  <sheetData>
    <row r="1" spans="1:5" x14ac:dyDescent="0.25">
      <c r="A1" s="17" t="s">
        <v>2</v>
      </c>
      <c r="B1" s="17" t="s">
        <v>3</v>
      </c>
      <c r="C1" s="17" t="s">
        <v>13</v>
      </c>
      <c r="D1" s="17">
        <v>10</v>
      </c>
      <c r="E1" s="17" t="s">
        <v>14</v>
      </c>
    </row>
    <row r="2" spans="1:5" x14ac:dyDescent="0.25">
      <c r="A2" s="18">
        <v>1</v>
      </c>
      <c r="B2" s="18">
        <v>1</v>
      </c>
      <c r="C2" s="21">
        <v>33</v>
      </c>
      <c r="D2" s="21">
        <v>24</v>
      </c>
      <c r="E2" s="21"/>
    </row>
    <row r="3" spans="1:5" x14ac:dyDescent="0.25">
      <c r="A3" s="17">
        <v>2</v>
      </c>
      <c r="B3" s="17">
        <v>2</v>
      </c>
      <c r="C3" s="22">
        <v>33</v>
      </c>
      <c r="D3" s="22">
        <v>5</v>
      </c>
      <c r="E3" s="22">
        <v>2</v>
      </c>
    </row>
    <row r="4" spans="1:5" x14ac:dyDescent="0.25">
      <c r="A4" s="17">
        <v>3</v>
      </c>
      <c r="B4" s="17">
        <v>1</v>
      </c>
      <c r="C4" s="22">
        <v>37</v>
      </c>
      <c r="D4" s="22">
        <v>48</v>
      </c>
      <c r="E4" s="22">
        <v>45</v>
      </c>
    </row>
    <row r="5" spans="1:5" x14ac:dyDescent="0.25">
      <c r="A5" s="17">
        <v>4</v>
      </c>
      <c r="B5" s="17">
        <v>2</v>
      </c>
      <c r="C5" s="22">
        <v>29</v>
      </c>
      <c r="D5" s="22">
        <v>40</v>
      </c>
      <c r="E5" s="22">
        <v>13</v>
      </c>
    </row>
    <row r="6" spans="1:5" x14ac:dyDescent="0.25">
      <c r="A6" s="17">
        <v>6</v>
      </c>
      <c r="B6" s="17">
        <v>1</v>
      </c>
      <c r="C6" s="22">
        <v>41</v>
      </c>
      <c r="D6" s="22">
        <v>42</v>
      </c>
      <c r="E6" s="22">
        <v>39</v>
      </c>
    </row>
    <row r="7" spans="1:5" x14ac:dyDescent="0.25">
      <c r="A7" s="17">
        <v>7</v>
      </c>
      <c r="B7" s="17">
        <v>1</v>
      </c>
      <c r="C7" s="22">
        <v>31</v>
      </c>
      <c r="D7" s="22">
        <v>47</v>
      </c>
      <c r="E7" s="22">
        <v>9</v>
      </c>
    </row>
    <row r="8" spans="1:5" x14ac:dyDescent="0.25">
      <c r="A8" s="17">
        <v>9</v>
      </c>
      <c r="B8" s="17">
        <v>1</v>
      </c>
      <c r="C8" s="22">
        <v>19</v>
      </c>
      <c r="D8" s="22">
        <v>44</v>
      </c>
      <c r="E8" s="22">
        <v>43</v>
      </c>
    </row>
    <row r="9" spans="1:5" x14ac:dyDescent="0.25">
      <c r="A9" s="17">
        <v>10</v>
      </c>
      <c r="B9" s="17">
        <v>2</v>
      </c>
      <c r="C9" s="22">
        <v>36</v>
      </c>
      <c r="D9" s="22">
        <v>42</v>
      </c>
      <c r="E9" s="22">
        <v>34</v>
      </c>
    </row>
    <row r="10" spans="1:5" x14ac:dyDescent="0.25">
      <c r="A10" s="17">
        <v>11</v>
      </c>
      <c r="B10" s="17">
        <v>1</v>
      </c>
      <c r="C10" s="22">
        <v>45</v>
      </c>
      <c r="D10" s="22">
        <v>52</v>
      </c>
      <c r="E10" s="22">
        <v>47</v>
      </c>
    </row>
    <row r="11" spans="1:5" x14ac:dyDescent="0.25">
      <c r="A11" s="17">
        <v>13</v>
      </c>
      <c r="B11" s="17">
        <v>1</v>
      </c>
      <c r="C11" s="22">
        <v>23</v>
      </c>
      <c r="D11" s="22">
        <v>21</v>
      </c>
      <c r="E11" s="22">
        <v>0</v>
      </c>
    </row>
    <row r="12" spans="1:5" x14ac:dyDescent="0.25">
      <c r="A12" s="17">
        <v>14</v>
      </c>
      <c r="B12" s="17">
        <v>2</v>
      </c>
      <c r="C12" s="22">
        <v>21</v>
      </c>
      <c r="D12" s="22">
        <v>48</v>
      </c>
      <c r="E12" s="22">
        <v>56</v>
      </c>
    </row>
    <row r="13" spans="1:5" x14ac:dyDescent="0.25">
      <c r="A13" s="17">
        <v>15</v>
      </c>
      <c r="B13" s="17">
        <v>1</v>
      </c>
      <c r="C13" s="22">
        <v>23</v>
      </c>
      <c r="D13" s="22">
        <v>10</v>
      </c>
      <c r="E13" s="22">
        <v>52</v>
      </c>
    </row>
    <row r="14" spans="1:5" x14ac:dyDescent="0.25">
      <c r="A14" s="17">
        <v>16</v>
      </c>
      <c r="B14" s="17">
        <v>2</v>
      </c>
      <c r="C14" s="22">
        <v>39</v>
      </c>
      <c r="D14" s="22">
        <v>51</v>
      </c>
      <c r="E14" s="22">
        <v>0</v>
      </c>
    </row>
    <row r="15" spans="1:5" x14ac:dyDescent="0.25">
      <c r="A15" s="17">
        <v>17</v>
      </c>
      <c r="B15" s="17">
        <v>1</v>
      </c>
      <c r="C15" s="22">
        <v>29</v>
      </c>
      <c r="D15" s="22">
        <v>24</v>
      </c>
      <c r="E15" s="22">
        <v>44</v>
      </c>
    </row>
    <row r="16" spans="1:5" x14ac:dyDescent="0.25">
      <c r="A16" s="17">
        <v>18</v>
      </c>
      <c r="B16" s="17">
        <v>2</v>
      </c>
      <c r="C16" s="22">
        <v>38</v>
      </c>
      <c r="D16" s="22">
        <v>27</v>
      </c>
      <c r="E16" s="22">
        <v>37</v>
      </c>
    </row>
    <row r="17" spans="1:5" x14ac:dyDescent="0.25">
      <c r="A17" s="17">
        <v>19</v>
      </c>
      <c r="B17" s="17">
        <v>2</v>
      </c>
      <c r="C17" s="22">
        <v>11</v>
      </c>
      <c r="D17" s="22">
        <v>53</v>
      </c>
      <c r="E17" s="22">
        <v>9</v>
      </c>
    </row>
    <row r="18" spans="1:5" x14ac:dyDescent="0.25">
      <c r="A18" s="17">
        <v>20</v>
      </c>
      <c r="B18" s="17">
        <v>2</v>
      </c>
      <c r="C18" s="22">
        <v>6</v>
      </c>
      <c r="D18" s="22">
        <v>39</v>
      </c>
      <c r="E18" s="22">
        <v>31</v>
      </c>
    </row>
    <row r="19" spans="1:5" x14ac:dyDescent="0.25">
      <c r="A19" s="17">
        <v>21</v>
      </c>
      <c r="B19" s="17">
        <v>2</v>
      </c>
      <c r="C19" s="22">
        <v>41</v>
      </c>
      <c r="D19" s="22">
        <v>24</v>
      </c>
      <c r="E19" s="22">
        <v>22</v>
      </c>
    </row>
    <row r="20" spans="1:5" x14ac:dyDescent="0.25">
      <c r="A20" s="17">
        <v>22</v>
      </c>
      <c r="B20" s="17">
        <v>1</v>
      </c>
      <c r="C20" s="22">
        <v>38</v>
      </c>
      <c r="D20" s="22">
        <v>48</v>
      </c>
      <c r="E20" s="22">
        <v>36</v>
      </c>
    </row>
    <row r="21" spans="1:5" x14ac:dyDescent="0.25">
      <c r="A21" s="18">
        <v>23</v>
      </c>
      <c r="B21" s="18">
        <v>2</v>
      </c>
      <c r="C21" s="21">
        <v>27</v>
      </c>
      <c r="D21" s="21">
        <v>0</v>
      </c>
      <c r="E21" s="21">
        <v>35</v>
      </c>
    </row>
    <row r="22" spans="1:5" x14ac:dyDescent="0.25">
      <c r="A22" s="17">
        <v>24</v>
      </c>
      <c r="B22" s="17">
        <v>1</v>
      </c>
      <c r="C22" s="22">
        <v>47</v>
      </c>
      <c r="D22" s="22">
        <v>46</v>
      </c>
      <c r="E22" s="22">
        <v>39</v>
      </c>
    </row>
    <row r="23" spans="1:5" x14ac:dyDescent="0.25">
      <c r="A23" s="17">
        <v>25</v>
      </c>
      <c r="B23" s="17">
        <v>1</v>
      </c>
      <c r="C23" s="22">
        <v>17</v>
      </c>
      <c r="D23" s="22">
        <v>40</v>
      </c>
      <c r="E23" s="22">
        <v>48</v>
      </c>
    </row>
    <row r="24" spans="1:5" x14ac:dyDescent="0.25">
      <c r="A24" s="17">
        <v>26</v>
      </c>
      <c r="B24" s="17">
        <v>2</v>
      </c>
      <c r="C24" s="22">
        <v>0</v>
      </c>
      <c r="D24" s="22">
        <v>36</v>
      </c>
      <c r="E24" s="22">
        <v>39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workbookViewId="0">
      <selection activeCell="E8" sqref="E8"/>
    </sheetView>
  </sheetViews>
  <sheetFormatPr defaultRowHeight="15" x14ac:dyDescent="0.25"/>
  <cols>
    <col min="1" max="6" width="8.85546875" style="1"/>
  </cols>
  <sheetData>
    <row r="1" spans="1:6" x14ac:dyDescent="0.25">
      <c r="A1" s="1" t="s">
        <v>2</v>
      </c>
      <c r="B1" s="1" t="s">
        <v>3</v>
      </c>
      <c r="C1" s="1" t="s">
        <v>13</v>
      </c>
      <c r="D1" s="1">
        <v>10</v>
      </c>
      <c r="E1" s="11" t="s">
        <v>15</v>
      </c>
      <c r="F1" s="1" t="s">
        <v>14</v>
      </c>
    </row>
    <row r="2" spans="1:6" x14ac:dyDescent="0.25">
      <c r="A2" s="1">
        <v>1</v>
      </c>
      <c r="B2" s="1">
        <v>1</v>
      </c>
      <c r="C2" s="1">
        <v>51</v>
      </c>
      <c r="D2" s="6">
        <v>33</v>
      </c>
      <c r="E2" s="11">
        <v>47</v>
      </c>
      <c r="F2" s="1">
        <v>53</v>
      </c>
    </row>
    <row r="3" spans="1:6" x14ac:dyDescent="0.25">
      <c r="A3" s="1">
        <v>2</v>
      </c>
      <c r="B3" s="1">
        <v>2</v>
      </c>
      <c r="C3" s="1">
        <v>5</v>
      </c>
      <c r="D3" s="6">
        <v>28.44</v>
      </c>
      <c r="E3" s="13">
        <v>41</v>
      </c>
      <c r="F3" s="1">
        <v>49</v>
      </c>
    </row>
    <row r="4" spans="1:6" x14ac:dyDescent="0.25">
      <c r="A4" s="1">
        <v>3</v>
      </c>
      <c r="B4" s="1">
        <v>1</v>
      </c>
      <c r="C4" s="1">
        <v>44</v>
      </c>
      <c r="D4" s="6">
        <v>43.44</v>
      </c>
      <c r="E4" s="13">
        <v>36</v>
      </c>
      <c r="F4" s="1">
        <v>45</v>
      </c>
    </row>
    <row r="5" spans="1:6" x14ac:dyDescent="0.25">
      <c r="A5" s="1">
        <v>4</v>
      </c>
      <c r="B5" s="1">
        <v>2</v>
      </c>
      <c r="C5" s="1">
        <v>33</v>
      </c>
      <c r="D5" s="6">
        <v>33.33</v>
      </c>
      <c r="E5" s="13">
        <v>45</v>
      </c>
      <c r="F5" s="1">
        <v>39</v>
      </c>
    </row>
    <row r="6" spans="1:6" x14ac:dyDescent="0.25">
      <c r="A6" s="1">
        <v>6</v>
      </c>
      <c r="B6" s="1">
        <v>1</v>
      </c>
      <c r="C6" s="1">
        <v>38</v>
      </c>
      <c r="D6" s="6">
        <v>40.56</v>
      </c>
      <c r="E6" s="13">
        <v>46</v>
      </c>
      <c r="F6" s="1">
        <v>54</v>
      </c>
    </row>
    <row r="7" spans="1:6" x14ac:dyDescent="0.25">
      <c r="A7" s="1">
        <v>7</v>
      </c>
      <c r="B7" s="1">
        <v>1</v>
      </c>
      <c r="C7" s="1">
        <v>40</v>
      </c>
      <c r="D7" s="6">
        <v>53.33</v>
      </c>
      <c r="E7" s="13">
        <v>12</v>
      </c>
      <c r="F7" s="1">
        <v>46</v>
      </c>
    </row>
    <row r="8" spans="1:6" x14ac:dyDescent="0.25">
      <c r="A8" s="3">
        <v>9</v>
      </c>
      <c r="B8" s="3">
        <v>1</v>
      </c>
      <c r="C8" s="3">
        <v>25</v>
      </c>
      <c r="D8" s="10"/>
      <c r="E8" s="10">
        <v>2</v>
      </c>
      <c r="F8" s="3">
        <v>47</v>
      </c>
    </row>
    <row r="9" spans="1:6" x14ac:dyDescent="0.25">
      <c r="A9" s="3">
        <v>10</v>
      </c>
      <c r="B9" s="3">
        <v>2</v>
      </c>
      <c r="C9" s="3"/>
      <c r="D9" s="10">
        <v>23</v>
      </c>
      <c r="E9" s="10">
        <v>56</v>
      </c>
      <c r="F9" s="3">
        <v>30</v>
      </c>
    </row>
    <row r="10" spans="1:6" x14ac:dyDescent="0.25">
      <c r="A10" s="1">
        <v>11</v>
      </c>
      <c r="B10" s="1">
        <v>1</v>
      </c>
      <c r="C10" s="1">
        <v>46</v>
      </c>
      <c r="D10" s="6">
        <v>27.22</v>
      </c>
      <c r="E10" s="13">
        <v>36</v>
      </c>
      <c r="F10" s="1">
        <v>44</v>
      </c>
    </row>
    <row r="11" spans="1:6" x14ac:dyDescent="0.25">
      <c r="A11" s="1">
        <v>13</v>
      </c>
      <c r="B11" s="1">
        <v>1</v>
      </c>
      <c r="C11" s="1">
        <v>42</v>
      </c>
      <c r="D11" s="6">
        <v>50.67</v>
      </c>
      <c r="E11" s="13">
        <v>44</v>
      </c>
      <c r="F11" s="1">
        <v>47</v>
      </c>
    </row>
    <row r="12" spans="1:6" x14ac:dyDescent="0.25">
      <c r="A12" s="1">
        <v>14</v>
      </c>
      <c r="B12" s="1">
        <v>2</v>
      </c>
      <c r="C12" s="1">
        <v>27</v>
      </c>
      <c r="D12" s="6">
        <v>40.22</v>
      </c>
      <c r="E12" s="13">
        <v>41</v>
      </c>
      <c r="F12" s="1">
        <v>51</v>
      </c>
    </row>
    <row r="13" spans="1:6" x14ac:dyDescent="0.25">
      <c r="A13" s="1">
        <v>15</v>
      </c>
      <c r="B13" s="1">
        <v>1</v>
      </c>
      <c r="C13" s="1">
        <v>51</v>
      </c>
      <c r="D13" s="6">
        <v>49.11</v>
      </c>
      <c r="E13" s="13">
        <v>50</v>
      </c>
      <c r="F13" s="1">
        <v>16</v>
      </c>
    </row>
    <row r="14" spans="1:6" x14ac:dyDescent="0.25">
      <c r="A14" s="3">
        <v>16</v>
      </c>
      <c r="B14" s="3">
        <v>2</v>
      </c>
      <c r="C14" s="3">
        <v>22</v>
      </c>
      <c r="D14" s="10">
        <v>3.44</v>
      </c>
      <c r="E14" s="10">
        <v>0</v>
      </c>
      <c r="F14" s="3">
        <v>48</v>
      </c>
    </row>
    <row r="15" spans="1:6" x14ac:dyDescent="0.25">
      <c r="A15" s="1">
        <v>17</v>
      </c>
      <c r="B15" s="1">
        <v>1</v>
      </c>
      <c r="C15" s="1">
        <v>39</v>
      </c>
      <c r="D15" s="6">
        <v>36.22</v>
      </c>
      <c r="E15" s="13">
        <v>44</v>
      </c>
      <c r="F15" s="1">
        <v>39</v>
      </c>
    </row>
    <row r="16" spans="1:6" x14ac:dyDescent="0.25">
      <c r="A16" s="1">
        <v>18</v>
      </c>
      <c r="B16" s="1">
        <v>2</v>
      </c>
      <c r="C16" s="1">
        <v>15</v>
      </c>
      <c r="D16" s="6">
        <v>42.44</v>
      </c>
      <c r="E16" s="13">
        <v>45</v>
      </c>
      <c r="F16" s="1">
        <v>41</v>
      </c>
    </row>
    <row r="17" spans="1:11" x14ac:dyDescent="0.25">
      <c r="A17" s="1">
        <v>19</v>
      </c>
      <c r="B17" s="1">
        <v>2</v>
      </c>
      <c r="C17" s="1">
        <v>46</v>
      </c>
      <c r="D17" s="6">
        <v>39.67</v>
      </c>
      <c r="E17" s="13">
        <v>44</v>
      </c>
      <c r="F17" s="1">
        <v>37</v>
      </c>
      <c r="K17" t="s">
        <v>16</v>
      </c>
    </row>
    <row r="18" spans="1:11" x14ac:dyDescent="0.25">
      <c r="A18" s="1">
        <v>20</v>
      </c>
      <c r="B18" s="1">
        <v>2</v>
      </c>
      <c r="C18" s="1">
        <v>38</v>
      </c>
      <c r="D18" s="6">
        <v>49.56</v>
      </c>
      <c r="E18" s="13">
        <v>50</v>
      </c>
      <c r="F18" s="1">
        <v>46</v>
      </c>
    </row>
    <row r="19" spans="1:11" x14ac:dyDescent="0.25">
      <c r="A19" s="1">
        <v>21</v>
      </c>
      <c r="B19" s="1">
        <v>2</v>
      </c>
      <c r="C19" s="1">
        <v>46</v>
      </c>
      <c r="D19" s="6">
        <v>47.78</v>
      </c>
      <c r="E19" s="13">
        <v>42</v>
      </c>
      <c r="F19" s="1">
        <v>26</v>
      </c>
    </row>
    <row r="20" spans="1:11" x14ac:dyDescent="0.25">
      <c r="A20" s="1">
        <v>22</v>
      </c>
      <c r="B20" s="1">
        <v>1</v>
      </c>
      <c r="C20" s="1">
        <v>47</v>
      </c>
      <c r="D20" s="6">
        <v>49.33</v>
      </c>
      <c r="E20" s="13">
        <v>48</v>
      </c>
      <c r="F20" s="1">
        <v>55</v>
      </c>
    </row>
    <row r="21" spans="1:11" x14ac:dyDescent="0.25">
      <c r="A21" s="1">
        <v>23</v>
      </c>
      <c r="B21" s="1">
        <v>2</v>
      </c>
      <c r="C21" s="1">
        <v>45</v>
      </c>
      <c r="D21" s="6">
        <v>50.22</v>
      </c>
      <c r="E21" s="13">
        <v>49</v>
      </c>
      <c r="F21" s="1">
        <v>38</v>
      </c>
    </row>
    <row r="22" spans="1:11" x14ac:dyDescent="0.25">
      <c r="A22" s="1">
        <v>24</v>
      </c>
      <c r="B22" s="1">
        <v>1</v>
      </c>
      <c r="C22" s="1">
        <v>41</v>
      </c>
      <c r="D22" s="6">
        <v>34.67</v>
      </c>
      <c r="E22" s="13">
        <v>42</v>
      </c>
      <c r="F22" s="1">
        <v>47</v>
      </c>
    </row>
    <row r="23" spans="1:11" x14ac:dyDescent="0.25">
      <c r="A23" s="1">
        <v>25</v>
      </c>
      <c r="B23" s="1">
        <v>1</v>
      </c>
      <c r="C23" s="1">
        <v>11</v>
      </c>
      <c r="D23" s="6">
        <v>42.89</v>
      </c>
      <c r="E23" s="13">
        <v>38</v>
      </c>
      <c r="F23" s="1">
        <v>45</v>
      </c>
    </row>
    <row r="24" spans="1:11" x14ac:dyDescent="0.25">
      <c r="A24" s="1">
        <v>26</v>
      </c>
      <c r="B24" s="1">
        <v>2</v>
      </c>
      <c r="C24" s="1">
        <v>33</v>
      </c>
      <c r="D24" s="6">
        <v>46.22</v>
      </c>
      <c r="E24" s="13">
        <v>49</v>
      </c>
      <c r="F24" s="1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4"/>
  <sheetViews>
    <sheetView workbookViewId="0">
      <pane ySplit="1" topLeftCell="A2" activePane="bottomLeft" state="frozen"/>
      <selection pane="bottomLeft" activeCell="M22" sqref="M22"/>
    </sheetView>
  </sheetViews>
  <sheetFormatPr defaultColWidth="8.85546875" defaultRowHeight="15" x14ac:dyDescent="0.25"/>
  <cols>
    <col min="1" max="5" width="8.85546875" style="17"/>
    <col min="6" max="16384" width="8.85546875" style="16"/>
  </cols>
  <sheetData>
    <row r="1" spans="1:5" x14ac:dyDescent="0.25">
      <c r="A1" s="17" t="s">
        <v>2</v>
      </c>
      <c r="B1" s="17" t="s">
        <v>3</v>
      </c>
      <c r="C1" s="17" t="s">
        <v>13</v>
      </c>
      <c r="D1" s="17">
        <v>10</v>
      </c>
      <c r="E1" s="17" t="s">
        <v>14</v>
      </c>
    </row>
    <row r="2" spans="1:5" x14ac:dyDescent="0.25">
      <c r="A2" s="17">
        <v>1</v>
      </c>
      <c r="B2" s="17">
        <v>1</v>
      </c>
      <c r="C2" s="17">
        <v>37.22</v>
      </c>
      <c r="D2" s="17">
        <v>30.44</v>
      </c>
      <c r="E2" s="17">
        <v>11.89</v>
      </c>
    </row>
    <row r="3" spans="1:5" x14ac:dyDescent="0.25">
      <c r="A3" s="17">
        <v>2</v>
      </c>
      <c r="B3" s="17">
        <v>2</v>
      </c>
      <c r="C3" s="17">
        <v>23.67</v>
      </c>
      <c r="D3" s="17">
        <v>18.22</v>
      </c>
      <c r="E3" s="17">
        <v>1</v>
      </c>
    </row>
    <row r="4" spans="1:5" x14ac:dyDescent="0.25">
      <c r="A4" s="17">
        <v>3</v>
      </c>
      <c r="B4" s="17">
        <v>1</v>
      </c>
      <c r="C4" s="17">
        <v>43.11</v>
      </c>
      <c r="D4" s="17">
        <v>35.22</v>
      </c>
      <c r="E4" s="17">
        <v>32.89</v>
      </c>
    </row>
    <row r="5" spans="1:5" x14ac:dyDescent="0.25">
      <c r="A5" s="17">
        <v>4</v>
      </c>
      <c r="B5" s="17">
        <v>2</v>
      </c>
      <c r="C5" s="17">
        <v>13.89</v>
      </c>
      <c r="D5" s="17">
        <v>30.67</v>
      </c>
      <c r="E5" s="17">
        <v>36.33</v>
      </c>
    </row>
    <row r="6" spans="1:5" x14ac:dyDescent="0.25">
      <c r="A6" s="17">
        <v>6</v>
      </c>
      <c r="B6" s="17">
        <v>1</v>
      </c>
      <c r="C6" s="17">
        <v>43.33</v>
      </c>
      <c r="D6" s="17">
        <v>31</v>
      </c>
      <c r="E6" s="17">
        <v>23.56</v>
      </c>
    </row>
    <row r="7" spans="1:5" x14ac:dyDescent="0.25">
      <c r="A7" s="17">
        <v>7</v>
      </c>
      <c r="B7" s="17">
        <v>1</v>
      </c>
      <c r="C7" s="17">
        <v>42.44</v>
      </c>
      <c r="D7" s="17">
        <v>48</v>
      </c>
      <c r="E7" s="17">
        <v>34.89</v>
      </c>
    </row>
    <row r="8" spans="1:5" x14ac:dyDescent="0.25">
      <c r="A8" s="17">
        <v>9</v>
      </c>
      <c r="B8" s="17">
        <v>1</v>
      </c>
      <c r="C8" s="17">
        <v>29.22</v>
      </c>
      <c r="D8" s="17">
        <v>27.33</v>
      </c>
      <c r="E8" s="17">
        <v>27.56</v>
      </c>
    </row>
    <row r="9" spans="1:5" x14ac:dyDescent="0.25">
      <c r="A9" s="18">
        <v>10</v>
      </c>
      <c r="B9" s="18">
        <v>2</v>
      </c>
      <c r="C9" s="18">
        <v>29.89</v>
      </c>
      <c r="D9" s="18">
        <v>28.78</v>
      </c>
      <c r="E9" s="18"/>
    </row>
    <row r="10" spans="1:5" x14ac:dyDescent="0.25">
      <c r="A10" s="17">
        <v>11</v>
      </c>
      <c r="B10" s="17">
        <v>1</v>
      </c>
      <c r="C10" s="17">
        <v>34.44</v>
      </c>
      <c r="D10" s="17">
        <v>29</v>
      </c>
      <c r="E10" s="17">
        <v>40.67</v>
      </c>
    </row>
    <row r="11" spans="1:5" x14ac:dyDescent="0.25">
      <c r="A11" s="17">
        <v>13</v>
      </c>
      <c r="B11" s="17">
        <v>1</v>
      </c>
      <c r="C11" s="17">
        <v>14.33</v>
      </c>
      <c r="D11" s="17">
        <v>30.11</v>
      </c>
      <c r="E11" s="17">
        <v>37.78</v>
      </c>
    </row>
    <row r="12" spans="1:5" x14ac:dyDescent="0.25">
      <c r="A12" s="17">
        <v>14</v>
      </c>
      <c r="B12" s="17">
        <v>2</v>
      </c>
      <c r="C12" s="17">
        <v>85</v>
      </c>
      <c r="D12" s="17">
        <v>15.44</v>
      </c>
      <c r="E12" s="17">
        <v>12.78</v>
      </c>
    </row>
    <row r="13" spans="1:5" x14ac:dyDescent="0.25">
      <c r="A13" s="18">
        <v>15</v>
      </c>
      <c r="B13" s="18">
        <v>1</v>
      </c>
      <c r="C13" s="18"/>
      <c r="D13" s="18"/>
      <c r="E13" s="18">
        <v>43</v>
      </c>
    </row>
    <row r="14" spans="1:5" x14ac:dyDescent="0.25">
      <c r="A14" s="18">
        <v>16</v>
      </c>
      <c r="B14" s="18">
        <v>2</v>
      </c>
      <c r="C14" s="18"/>
      <c r="D14" s="18">
        <v>35.89</v>
      </c>
      <c r="E14" s="18"/>
    </row>
    <row r="15" spans="1:5" x14ac:dyDescent="0.25">
      <c r="A15" s="17">
        <v>17</v>
      </c>
      <c r="B15" s="17">
        <v>1</v>
      </c>
      <c r="C15" s="17">
        <v>46.44</v>
      </c>
      <c r="D15" s="17">
        <v>19.89</v>
      </c>
      <c r="E15" s="17">
        <v>35.22</v>
      </c>
    </row>
    <row r="16" spans="1:5" x14ac:dyDescent="0.25">
      <c r="A16" s="17">
        <v>18</v>
      </c>
      <c r="B16" s="17">
        <v>2</v>
      </c>
      <c r="C16" s="17">
        <v>24.56</v>
      </c>
      <c r="D16" s="17">
        <v>15</v>
      </c>
      <c r="E16" s="17">
        <v>19.559999999999999</v>
      </c>
    </row>
    <row r="17" spans="1:5" x14ac:dyDescent="0.25">
      <c r="A17" s="17">
        <v>19</v>
      </c>
      <c r="B17" s="17">
        <v>2</v>
      </c>
      <c r="C17" s="17">
        <v>10.220000000000001</v>
      </c>
      <c r="D17" s="17">
        <v>46.33</v>
      </c>
      <c r="E17" s="17">
        <v>44.33</v>
      </c>
    </row>
    <row r="18" spans="1:5" x14ac:dyDescent="0.25">
      <c r="A18" s="17">
        <v>20</v>
      </c>
      <c r="B18" s="17">
        <v>2</v>
      </c>
      <c r="C18" s="17">
        <v>27.22</v>
      </c>
      <c r="D18" s="17">
        <v>30.78</v>
      </c>
      <c r="E18" s="17">
        <v>16.670000000000002</v>
      </c>
    </row>
    <row r="19" spans="1:5" x14ac:dyDescent="0.25">
      <c r="A19" s="17">
        <v>21</v>
      </c>
      <c r="B19" s="17">
        <v>2</v>
      </c>
      <c r="C19" s="17">
        <v>35.22</v>
      </c>
      <c r="D19" s="17">
        <v>34.78</v>
      </c>
      <c r="E19" s="17">
        <v>15.67</v>
      </c>
    </row>
    <row r="20" spans="1:5" x14ac:dyDescent="0.25">
      <c r="A20" s="17">
        <v>22</v>
      </c>
      <c r="B20" s="17">
        <v>1</v>
      </c>
      <c r="C20" s="17">
        <v>40.11</v>
      </c>
      <c r="D20" s="17">
        <v>38.56</v>
      </c>
      <c r="E20" s="17">
        <v>23.56</v>
      </c>
    </row>
    <row r="21" spans="1:5" x14ac:dyDescent="0.25">
      <c r="A21" s="18">
        <v>23</v>
      </c>
      <c r="B21" s="18">
        <v>2</v>
      </c>
      <c r="C21" s="18">
        <v>35</v>
      </c>
      <c r="D21" s="18">
        <v>18.329999999999998</v>
      </c>
      <c r="E21" s="18"/>
    </row>
    <row r="22" spans="1:5" x14ac:dyDescent="0.25">
      <c r="A22" s="17">
        <v>24</v>
      </c>
      <c r="B22" s="17">
        <v>1</v>
      </c>
      <c r="C22" s="17">
        <v>40.67</v>
      </c>
      <c r="D22" s="17">
        <v>42.56</v>
      </c>
      <c r="E22" s="17">
        <v>35.22</v>
      </c>
    </row>
    <row r="23" spans="1:5" x14ac:dyDescent="0.25">
      <c r="A23" s="17">
        <v>25</v>
      </c>
      <c r="B23" s="17">
        <v>1</v>
      </c>
      <c r="C23" s="17">
        <v>40.89</v>
      </c>
      <c r="D23" s="17">
        <v>26.11</v>
      </c>
      <c r="E23" s="17">
        <v>43</v>
      </c>
    </row>
    <row r="24" spans="1:5" x14ac:dyDescent="0.25">
      <c r="A24" s="18">
        <v>26</v>
      </c>
      <c r="B24" s="18">
        <v>2</v>
      </c>
      <c r="C24" s="18"/>
      <c r="D24" s="18">
        <v>13.67</v>
      </c>
      <c r="E24" s="18">
        <v>18.329999999999998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selection activeCell="D8" sqref="D8"/>
    </sheetView>
  </sheetViews>
  <sheetFormatPr defaultRowHeight="15" x14ac:dyDescent="0.25"/>
  <cols>
    <col min="1" max="5" width="8.85546875" style="1"/>
  </cols>
  <sheetData>
    <row r="1" spans="1:5" x14ac:dyDescent="0.25">
      <c r="A1" s="1" t="s">
        <v>2</v>
      </c>
      <c r="B1" s="1" t="s">
        <v>3</v>
      </c>
      <c r="C1" s="1" t="s">
        <v>13</v>
      </c>
      <c r="D1" s="1">
        <v>10</v>
      </c>
      <c r="E1" s="1" t="s">
        <v>14</v>
      </c>
    </row>
    <row r="2" spans="1:5" x14ac:dyDescent="0.25">
      <c r="A2" s="1">
        <v>1</v>
      </c>
      <c r="B2" s="1">
        <v>1</v>
      </c>
      <c r="C2" s="1">
        <v>35.56</v>
      </c>
      <c r="D2" s="6">
        <v>33</v>
      </c>
      <c r="E2" s="1">
        <v>46.44</v>
      </c>
    </row>
    <row r="3" spans="1:5" x14ac:dyDescent="0.25">
      <c r="A3" s="1">
        <v>2</v>
      </c>
      <c r="B3" s="1">
        <v>2</v>
      </c>
      <c r="C3" s="1">
        <v>17.559999999999999</v>
      </c>
      <c r="D3" s="6">
        <v>28.44</v>
      </c>
      <c r="E3" s="1">
        <v>39.56</v>
      </c>
    </row>
    <row r="4" spans="1:5" x14ac:dyDescent="0.25">
      <c r="A4" s="1">
        <v>3</v>
      </c>
      <c r="B4" s="1">
        <v>1</v>
      </c>
      <c r="C4" s="1">
        <v>37.11</v>
      </c>
      <c r="D4" s="6">
        <v>43.44</v>
      </c>
      <c r="E4" s="1">
        <v>50.33</v>
      </c>
    </row>
    <row r="5" spans="1:5" x14ac:dyDescent="0.25">
      <c r="A5" s="1">
        <v>4</v>
      </c>
      <c r="B5" s="1">
        <v>2</v>
      </c>
      <c r="C5" s="1">
        <v>38.44</v>
      </c>
      <c r="D5" s="6">
        <v>33.33</v>
      </c>
      <c r="E5" s="1">
        <v>39.56</v>
      </c>
    </row>
    <row r="6" spans="1:5" x14ac:dyDescent="0.25">
      <c r="A6" s="1">
        <v>6</v>
      </c>
      <c r="B6" s="1">
        <v>1</v>
      </c>
      <c r="C6" s="1">
        <v>35.33</v>
      </c>
      <c r="D6" s="6">
        <v>40.56</v>
      </c>
      <c r="E6" s="1">
        <v>36.33</v>
      </c>
    </row>
    <row r="7" spans="1:5" x14ac:dyDescent="0.25">
      <c r="A7" s="1">
        <v>7</v>
      </c>
      <c r="B7" s="1">
        <v>1</v>
      </c>
      <c r="C7" s="1">
        <v>43.44</v>
      </c>
      <c r="D7" s="6">
        <v>53.33</v>
      </c>
      <c r="E7" s="1">
        <v>55.78</v>
      </c>
    </row>
    <row r="8" spans="1:5" x14ac:dyDescent="0.25">
      <c r="A8" s="3">
        <v>9</v>
      </c>
      <c r="B8" s="3">
        <v>1</v>
      </c>
      <c r="C8" s="3">
        <v>48.11</v>
      </c>
      <c r="D8" s="10"/>
      <c r="E8" s="3">
        <v>18.440000000000001</v>
      </c>
    </row>
    <row r="9" spans="1:5" x14ac:dyDescent="0.25">
      <c r="A9" s="3">
        <v>10</v>
      </c>
      <c r="B9" s="3">
        <v>2</v>
      </c>
      <c r="C9" s="3"/>
      <c r="D9" s="10">
        <v>23</v>
      </c>
      <c r="E9" s="3"/>
    </row>
    <row r="10" spans="1:5" x14ac:dyDescent="0.25">
      <c r="A10" s="1">
        <v>11</v>
      </c>
      <c r="B10" s="1">
        <v>1</v>
      </c>
      <c r="C10" s="1">
        <v>48.44</v>
      </c>
      <c r="D10" s="6">
        <v>27.22</v>
      </c>
      <c r="E10" s="1">
        <v>35.11</v>
      </c>
    </row>
    <row r="11" spans="1:5" x14ac:dyDescent="0.25">
      <c r="A11" s="1">
        <v>13</v>
      </c>
      <c r="B11" s="1">
        <v>1</v>
      </c>
      <c r="C11" s="1">
        <v>48.44</v>
      </c>
      <c r="D11" s="6">
        <v>50.67</v>
      </c>
      <c r="E11" s="1">
        <v>46.33</v>
      </c>
    </row>
    <row r="12" spans="1:5" x14ac:dyDescent="0.25">
      <c r="A12" s="1">
        <v>14</v>
      </c>
      <c r="B12" s="1">
        <v>2</v>
      </c>
      <c r="C12" s="1">
        <v>31.67</v>
      </c>
      <c r="D12" s="6">
        <v>40.22</v>
      </c>
      <c r="E12" s="1">
        <v>46.33</v>
      </c>
    </row>
    <row r="13" spans="1:5" x14ac:dyDescent="0.25">
      <c r="A13" s="1">
        <v>15</v>
      </c>
      <c r="B13" s="1">
        <v>1</v>
      </c>
      <c r="C13" s="1">
        <v>45.89</v>
      </c>
      <c r="D13" s="6">
        <v>49.11</v>
      </c>
      <c r="E13" s="1">
        <v>46.22</v>
      </c>
    </row>
    <row r="14" spans="1:5" x14ac:dyDescent="0.25">
      <c r="A14" s="3">
        <v>16</v>
      </c>
      <c r="B14" s="3">
        <v>2</v>
      </c>
      <c r="C14" s="3"/>
      <c r="D14" s="10">
        <v>3.44</v>
      </c>
      <c r="E14" s="3">
        <v>22.22</v>
      </c>
    </row>
    <row r="15" spans="1:5" x14ac:dyDescent="0.25">
      <c r="A15" s="1">
        <v>17</v>
      </c>
      <c r="B15" s="1">
        <v>1</v>
      </c>
      <c r="C15" s="1">
        <v>48.78</v>
      </c>
      <c r="D15" s="6">
        <v>36.22</v>
      </c>
      <c r="E15" s="1">
        <v>30.89</v>
      </c>
    </row>
    <row r="16" spans="1:5" x14ac:dyDescent="0.25">
      <c r="A16" s="1">
        <v>18</v>
      </c>
      <c r="B16" s="1">
        <v>2</v>
      </c>
      <c r="C16" s="1">
        <v>42.22</v>
      </c>
      <c r="D16" s="6">
        <v>42.44</v>
      </c>
      <c r="E16" s="1">
        <v>28.22</v>
      </c>
    </row>
    <row r="17" spans="1:5" x14ac:dyDescent="0.25">
      <c r="A17" s="1">
        <v>19</v>
      </c>
      <c r="B17" s="1">
        <v>2</v>
      </c>
      <c r="C17" s="1">
        <v>48.33</v>
      </c>
      <c r="D17" s="6">
        <v>39.67</v>
      </c>
      <c r="E17" s="1">
        <v>49.89</v>
      </c>
    </row>
    <row r="18" spans="1:5" x14ac:dyDescent="0.25">
      <c r="A18" s="1">
        <v>20</v>
      </c>
      <c r="B18" s="1">
        <v>2</v>
      </c>
      <c r="C18" s="1">
        <v>48.78</v>
      </c>
      <c r="D18" s="6">
        <v>49.56</v>
      </c>
      <c r="E18" s="1">
        <v>31.22</v>
      </c>
    </row>
    <row r="19" spans="1:5" x14ac:dyDescent="0.25">
      <c r="A19" s="1">
        <v>21</v>
      </c>
      <c r="B19" s="1">
        <v>2</v>
      </c>
      <c r="C19" s="1">
        <v>47.56</v>
      </c>
      <c r="D19" s="6">
        <v>47.78</v>
      </c>
      <c r="E19" s="1">
        <v>27.89</v>
      </c>
    </row>
    <row r="20" spans="1:5" x14ac:dyDescent="0.25">
      <c r="A20" s="1">
        <v>22</v>
      </c>
      <c r="B20" s="1">
        <v>1</v>
      </c>
      <c r="C20" s="1">
        <v>42</v>
      </c>
      <c r="D20" s="6">
        <v>49.33</v>
      </c>
      <c r="E20" s="1">
        <v>44.44</v>
      </c>
    </row>
    <row r="21" spans="1:5" x14ac:dyDescent="0.25">
      <c r="A21" s="1">
        <v>23</v>
      </c>
      <c r="B21" s="1">
        <v>2</v>
      </c>
      <c r="C21" s="1">
        <v>44.89</v>
      </c>
      <c r="D21" s="6">
        <v>50.22</v>
      </c>
      <c r="E21" s="1">
        <v>43.67</v>
      </c>
    </row>
    <row r="22" spans="1:5" x14ac:dyDescent="0.25">
      <c r="A22" s="1">
        <v>24</v>
      </c>
      <c r="B22" s="1">
        <v>1</v>
      </c>
      <c r="C22" s="1">
        <v>45.11</v>
      </c>
      <c r="D22" s="6">
        <v>34.67</v>
      </c>
      <c r="E22" s="1">
        <v>44.22</v>
      </c>
    </row>
    <row r="23" spans="1:5" x14ac:dyDescent="0.25">
      <c r="A23" s="1">
        <v>25</v>
      </c>
      <c r="B23" s="1">
        <v>1</v>
      </c>
      <c r="C23" s="1">
        <v>36.44</v>
      </c>
      <c r="D23" s="6">
        <v>42.89</v>
      </c>
      <c r="E23" s="1">
        <v>42</v>
      </c>
    </row>
    <row r="24" spans="1:5" x14ac:dyDescent="0.25">
      <c r="A24" s="1">
        <v>26</v>
      </c>
      <c r="B24" s="1">
        <v>2</v>
      </c>
      <c r="C24" s="1">
        <v>32.89</v>
      </c>
      <c r="D24" s="6">
        <v>46.22</v>
      </c>
      <c r="E24" s="1">
        <v>47.33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4"/>
  <sheetViews>
    <sheetView workbookViewId="0">
      <selection activeCell="I23" sqref="I23"/>
    </sheetView>
  </sheetViews>
  <sheetFormatPr defaultColWidth="8.85546875" defaultRowHeight="15" x14ac:dyDescent="0.25"/>
  <cols>
    <col min="1" max="5" width="8.85546875" style="17"/>
    <col min="6" max="16384" width="8.85546875" style="16"/>
  </cols>
  <sheetData>
    <row r="1" spans="1:5" x14ac:dyDescent="0.25">
      <c r="A1" s="17" t="s">
        <v>2</v>
      </c>
      <c r="B1" s="17" t="s">
        <v>3</v>
      </c>
      <c r="C1" s="17" t="s">
        <v>13</v>
      </c>
      <c r="D1" s="17">
        <v>10</v>
      </c>
      <c r="E1" s="17" t="s">
        <v>14</v>
      </c>
    </row>
    <row r="2" spans="1:5" x14ac:dyDescent="0.25">
      <c r="A2" s="17">
        <v>1</v>
      </c>
      <c r="B2" s="17">
        <v>1</v>
      </c>
      <c r="C2" s="19">
        <v>38</v>
      </c>
      <c r="D2" s="19">
        <v>29.33</v>
      </c>
      <c r="E2" s="19">
        <v>10.57</v>
      </c>
    </row>
    <row r="3" spans="1:5" x14ac:dyDescent="0.25">
      <c r="A3" s="17">
        <v>2</v>
      </c>
      <c r="B3" s="17">
        <v>2</v>
      </c>
      <c r="C3" s="19">
        <v>22.46</v>
      </c>
      <c r="D3" s="19">
        <v>14.75</v>
      </c>
      <c r="E3" s="19">
        <v>2.46</v>
      </c>
    </row>
    <row r="4" spans="1:5" x14ac:dyDescent="0.25">
      <c r="A4" s="17">
        <v>3</v>
      </c>
      <c r="B4" s="17">
        <v>1</v>
      </c>
      <c r="C4" s="19">
        <v>44</v>
      </c>
      <c r="D4" s="19">
        <v>28.06</v>
      </c>
      <c r="E4" s="19">
        <v>34.67</v>
      </c>
    </row>
    <row r="5" spans="1:5" x14ac:dyDescent="0.25">
      <c r="A5" s="17">
        <v>4</v>
      </c>
      <c r="B5" s="17">
        <v>2</v>
      </c>
      <c r="C5" s="19">
        <v>15.21</v>
      </c>
      <c r="D5" s="19">
        <v>33.72</v>
      </c>
      <c r="E5" s="19">
        <v>37.33</v>
      </c>
    </row>
    <row r="6" spans="1:5" x14ac:dyDescent="0.25">
      <c r="A6" s="17">
        <v>6</v>
      </c>
      <c r="B6" s="17">
        <v>1</v>
      </c>
      <c r="C6" s="19">
        <v>43.08</v>
      </c>
      <c r="D6" s="19">
        <v>28.44</v>
      </c>
      <c r="E6" s="19">
        <v>22.92</v>
      </c>
    </row>
    <row r="7" spans="1:5" x14ac:dyDescent="0.25">
      <c r="A7" s="17">
        <v>7</v>
      </c>
      <c r="B7" s="17">
        <v>1</v>
      </c>
      <c r="C7" s="19">
        <v>41.15</v>
      </c>
      <c r="D7" s="19">
        <v>45.17</v>
      </c>
      <c r="E7" s="19">
        <v>36.5</v>
      </c>
    </row>
    <row r="8" spans="1:5" x14ac:dyDescent="0.25">
      <c r="A8" s="17">
        <v>9</v>
      </c>
      <c r="B8" s="17">
        <v>1</v>
      </c>
      <c r="C8" s="19">
        <v>29.21</v>
      </c>
      <c r="D8" s="19">
        <v>31.11</v>
      </c>
      <c r="E8" s="19">
        <v>25.21</v>
      </c>
    </row>
    <row r="9" spans="1:5" x14ac:dyDescent="0.25">
      <c r="A9" s="17">
        <v>10</v>
      </c>
      <c r="B9" s="17">
        <v>2</v>
      </c>
      <c r="C9" s="19">
        <v>30.9</v>
      </c>
      <c r="D9" s="19">
        <v>29.06</v>
      </c>
      <c r="E9" s="19">
        <v>31.4</v>
      </c>
    </row>
    <row r="10" spans="1:5" x14ac:dyDescent="0.25">
      <c r="A10" s="17">
        <v>11</v>
      </c>
      <c r="B10" s="17">
        <v>1</v>
      </c>
      <c r="C10" s="19">
        <v>35.36</v>
      </c>
      <c r="D10" s="19">
        <v>35.28</v>
      </c>
      <c r="E10" s="19">
        <v>37.71</v>
      </c>
    </row>
    <row r="11" spans="1:5" x14ac:dyDescent="0.25">
      <c r="A11" s="17">
        <v>13</v>
      </c>
      <c r="B11" s="17">
        <v>1</v>
      </c>
      <c r="C11" s="19">
        <v>16.71</v>
      </c>
      <c r="D11" s="19">
        <v>35.4</v>
      </c>
      <c r="E11" s="19">
        <v>40.1</v>
      </c>
    </row>
    <row r="12" spans="1:5" x14ac:dyDescent="0.25">
      <c r="A12" s="17">
        <v>14</v>
      </c>
      <c r="B12" s="17">
        <v>2</v>
      </c>
      <c r="C12" s="19">
        <v>85.55</v>
      </c>
      <c r="D12" s="19">
        <v>30.76</v>
      </c>
      <c r="E12" s="19">
        <v>7.87</v>
      </c>
    </row>
    <row r="13" spans="1:5" x14ac:dyDescent="0.25">
      <c r="A13" s="18">
        <v>15</v>
      </c>
      <c r="B13" s="18">
        <v>1</v>
      </c>
      <c r="C13" s="20">
        <v>25.6</v>
      </c>
      <c r="D13" s="20"/>
      <c r="E13" s="20">
        <v>32.57</v>
      </c>
    </row>
    <row r="14" spans="1:5" x14ac:dyDescent="0.25">
      <c r="A14" s="17">
        <v>16</v>
      </c>
      <c r="B14" s="17">
        <v>2</v>
      </c>
      <c r="C14" s="19">
        <v>40.6</v>
      </c>
      <c r="D14" s="19">
        <v>38.61</v>
      </c>
      <c r="E14" s="19">
        <v>36.6</v>
      </c>
    </row>
    <row r="15" spans="1:5" x14ac:dyDescent="0.25">
      <c r="A15" s="17">
        <v>17</v>
      </c>
      <c r="B15" s="17">
        <v>1</v>
      </c>
      <c r="C15" s="19">
        <v>64.81</v>
      </c>
      <c r="D15" s="19">
        <v>23.68</v>
      </c>
      <c r="E15" s="19">
        <v>33.380000000000003</v>
      </c>
    </row>
    <row r="16" spans="1:5" x14ac:dyDescent="0.25">
      <c r="A16" s="17">
        <v>18</v>
      </c>
      <c r="B16" s="17">
        <v>2</v>
      </c>
      <c r="C16" s="19">
        <v>19.79</v>
      </c>
      <c r="D16" s="19">
        <v>16.82</v>
      </c>
      <c r="E16" s="19">
        <v>25.29</v>
      </c>
    </row>
    <row r="17" spans="1:5" x14ac:dyDescent="0.25">
      <c r="A17" s="17">
        <v>19</v>
      </c>
      <c r="B17" s="17">
        <v>2</v>
      </c>
      <c r="C17" s="19">
        <v>6.33</v>
      </c>
      <c r="D17" s="19">
        <v>47.24</v>
      </c>
      <c r="E17" s="19">
        <v>61.62</v>
      </c>
    </row>
    <row r="18" spans="1:5" x14ac:dyDescent="0.25">
      <c r="A18" s="17">
        <v>20</v>
      </c>
      <c r="B18" s="17">
        <v>2</v>
      </c>
      <c r="C18" s="19">
        <v>28.67</v>
      </c>
      <c r="D18" s="19">
        <v>39.29</v>
      </c>
      <c r="E18" s="19">
        <v>16.190000000000001</v>
      </c>
    </row>
    <row r="19" spans="1:5" x14ac:dyDescent="0.25">
      <c r="A19" s="17">
        <v>21</v>
      </c>
      <c r="B19" s="17">
        <v>2</v>
      </c>
      <c r="C19" s="19">
        <v>33.15</v>
      </c>
      <c r="D19" s="19">
        <v>35.08</v>
      </c>
      <c r="E19" s="19">
        <v>14.1</v>
      </c>
    </row>
    <row r="20" spans="1:5" x14ac:dyDescent="0.25">
      <c r="A20" s="17">
        <v>22</v>
      </c>
      <c r="B20" s="17">
        <v>1</v>
      </c>
      <c r="C20" s="19">
        <v>38.520000000000003</v>
      </c>
      <c r="D20" s="19">
        <v>37.6</v>
      </c>
      <c r="E20" s="19">
        <v>26.52</v>
      </c>
    </row>
    <row r="21" spans="1:5" x14ac:dyDescent="0.25">
      <c r="A21" s="17">
        <v>23</v>
      </c>
      <c r="B21" s="17">
        <v>2</v>
      </c>
      <c r="C21" s="19">
        <v>37.89</v>
      </c>
      <c r="D21" s="19">
        <v>19.399999999999999</v>
      </c>
      <c r="E21" s="19">
        <v>29</v>
      </c>
    </row>
    <row r="22" spans="1:5" x14ac:dyDescent="0.25">
      <c r="A22" s="17">
        <v>24</v>
      </c>
      <c r="B22" s="17">
        <v>1</v>
      </c>
      <c r="C22" s="19">
        <v>43.14</v>
      </c>
      <c r="D22" s="19">
        <v>38.4</v>
      </c>
      <c r="E22" s="19">
        <v>37.619999999999997</v>
      </c>
    </row>
    <row r="23" spans="1:5" x14ac:dyDescent="0.25">
      <c r="A23" s="17">
        <v>25</v>
      </c>
      <c r="B23" s="17">
        <v>1</v>
      </c>
      <c r="C23" s="19">
        <v>40.950000000000003</v>
      </c>
      <c r="D23" s="19">
        <v>30.32</v>
      </c>
      <c r="E23" s="19">
        <v>38.950000000000003</v>
      </c>
    </row>
    <row r="24" spans="1:5" x14ac:dyDescent="0.25">
      <c r="A24" s="17">
        <v>26</v>
      </c>
      <c r="B24" s="17">
        <v>2</v>
      </c>
      <c r="C24" s="19">
        <v>4</v>
      </c>
      <c r="D24" s="19">
        <v>15.33</v>
      </c>
      <c r="E24" s="19">
        <v>17.190000000000001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"/>
  <sheetViews>
    <sheetView workbookViewId="0">
      <pane ySplit="1" topLeftCell="A2" activePane="bottomLeft" state="frozen"/>
      <selection pane="bottomLeft" sqref="A1:E24"/>
    </sheetView>
  </sheetViews>
  <sheetFormatPr defaultRowHeight="15" x14ac:dyDescent="0.25"/>
  <cols>
    <col min="1" max="2" width="8.85546875" style="5"/>
    <col min="3" max="5" width="8.85546875" style="8"/>
  </cols>
  <sheetData>
    <row r="1" spans="1:5" x14ac:dyDescent="0.25">
      <c r="A1" s="5" t="s">
        <v>2</v>
      </c>
      <c r="B1" s="5" t="s">
        <v>3</v>
      </c>
      <c r="C1" s="8" t="s">
        <v>13</v>
      </c>
      <c r="D1" s="8">
        <v>10</v>
      </c>
      <c r="E1" s="8" t="s">
        <v>14</v>
      </c>
    </row>
    <row r="2" spans="1:5" x14ac:dyDescent="0.25">
      <c r="A2" s="5">
        <v>1</v>
      </c>
      <c r="B2" s="5">
        <v>1</v>
      </c>
      <c r="C2" s="8">
        <v>35.54</v>
      </c>
      <c r="D2" s="8">
        <v>36.44</v>
      </c>
      <c r="E2" s="8">
        <v>46</v>
      </c>
    </row>
    <row r="3" spans="1:5" x14ac:dyDescent="0.25">
      <c r="A3" s="5">
        <v>2</v>
      </c>
      <c r="B3" s="5">
        <v>2</v>
      </c>
      <c r="C3" s="8">
        <v>20.29</v>
      </c>
      <c r="D3" s="8">
        <v>31.78</v>
      </c>
      <c r="E3" s="8">
        <v>36.5</v>
      </c>
    </row>
    <row r="4" spans="1:5" x14ac:dyDescent="0.25">
      <c r="A4" s="5">
        <v>3</v>
      </c>
      <c r="B4" s="5">
        <v>1</v>
      </c>
      <c r="C4" s="8">
        <v>36.5</v>
      </c>
      <c r="D4" s="8">
        <v>42.47</v>
      </c>
      <c r="E4" s="8">
        <v>50.5</v>
      </c>
    </row>
    <row r="5" spans="1:5" x14ac:dyDescent="0.25">
      <c r="A5" s="5">
        <v>4</v>
      </c>
      <c r="B5" s="5">
        <v>2</v>
      </c>
      <c r="C5" s="8">
        <v>38</v>
      </c>
      <c r="D5" s="8">
        <v>36.28</v>
      </c>
      <c r="E5" s="8">
        <v>40.36</v>
      </c>
    </row>
    <row r="6" spans="1:5" x14ac:dyDescent="0.25">
      <c r="A6" s="5">
        <v>6</v>
      </c>
      <c r="B6" s="5">
        <v>1</v>
      </c>
      <c r="C6" s="8">
        <v>39.79</v>
      </c>
      <c r="D6" s="8">
        <v>38.33</v>
      </c>
      <c r="E6" s="8">
        <v>37.93</v>
      </c>
    </row>
    <row r="7" spans="1:5" x14ac:dyDescent="0.25">
      <c r="A7" s="5">
        <v>7</v>
      </c>
      <c r="B7" s="5">
        <v>1</v>
      </c>
      <c r="C7" s="8">
        <v>43</v>
      </c>
      <c r="D7" s="8">
        <v>44.22</v>
      </c>
      <c r="E7" s="8">
        <v>54.64</v>
      </c>
    </row>
    <row r="8" spans="1:5" x14ac:dyDescent="0.25">
      <c r="A8" s="9">
        <v>9</v>
      </c>
      <c r="B8" s="9">
        <v>1</v>
      </c>
      <c r="C8" s="14">
        <v>47.29</v>
      </c>
      <c r="D8" s="14"/>
      <c r="E8" s="14">
        <v>15.55</v>
      </c>
    </row>
    <row r="9" spans="1:5" x14ac:dyDescent="0.25">
      <c r="A9" s="9">
        <v>10</v>
      </c>
      <c r="B9" s="9">
        <v>2</v>
      </c>
      <c r="C9" s="14"/>
      <c r="D9" s="14">
        <v>23</v>
      </c>
      <c r="E9" s="14"/>
    </row>
    <row r="10" spans="1:5" x14ac:dyDescent="0.25">
      <c r="A10" s="5">
        <v>11</v>
      </c>
      <c r="B10" s="5">
        <v>1</v>
      </c>
      <c r="C10" s="8">
        <v>46.07</v>
      </c>
      <c r="D10" s="8">
        <v>25.11</v>
      </c>
      <c r="E10" s="8">
        <v>36.07</v>
      </c>
    </row>
    <row r="11" spans="1:5" x14ac:dyDescent="0.25">
      <c r="A11" s="5">
        <v>13</v>
      </c>
      <c r="B11" s="5">
        <v>1</v>
      </c>
      <c r="C11" s="8">
        <v>48.1</v>
      </c>
      <c r="D11" s="8">
        <v>55.57</v>
      </c>
      <c r="E11" s="8">
        <v>47.62</v>
      </c>
    </row>
    <row r="12" spans="1:5" x14ac:dyDescent="0.25">
      <c r="A12" s="5">
        <v>14</v>
      </c>
      <c r="B12" s="5">
        <v>2</v>
      </c>
      <c r="C12" s="8">
        <v>34.14</v>
      </c>
      <c r="D12" s="8">
        <v>41.5</v>
      </c>
      <c r="E12" s="8">
        <v>46.67</v>
      </c>
    </row>
    <row r="13" spans="1:5" x14ac:dyDescent="0.25">
      <c r="A13" s="5">
        <v>15</v>
      </c>
      <c r="B13" s="5">
        <v>1</v>
      </c>
      <c r="C13" s="8">
        <v>46.1</v>
      </c>
      <c r="D13" s="8">
        <v>51.48</v>
      </c>
      <c r="E13" s="8">
        <v>47.76</v>
      </c>
    </row>
    <row r="14" spans="1:5" x14ac:dyDescent="0.25">
      <c r="A14" s="9">
        <v>16</v>
      </c>
      <c r="B14" s="9">
        <v>2</v>
      </c>
      <c r="C14" s="14"/>
      <c r="D14" s="14">
        <v>3.1</v>
      </c>
      <c r="E14" s="14">
        <v>20</v>
      </c>
    </row>
    <row r="15" spans="1:5" x14ac:dyDescent="0.25">
      <c r="A15" s="5">
        <v>17</v>
      </c>
      <c r="B15" s="5">
        <v>1</v>
      </c>
      <c r="C15" s="8">
        <v>49.57</v>
      </c>
      <c r="D15" s="8">
        <v>32.53</v>
      </c>
      <c r="E15" s="8">
        <v>27.58</v>
      </c>
    </row>
    <row r="16" spans="1:5" x14ac:dyDescent="0.25">
      <c r="A16" s="5">
        <v>18</v>
      </c>
      <c r="B16" s="5">
        <v>2</v>
      </c>
      <c r="C16" s="8">
        <v>45.63</v>
      </c>
      <c r="D16" s="8">
        <v>41.24</v>
      </c>
      <c r="E16" s="8">
        <v>27.86</v>
      </c>
    </row>
    <row r="17" spans="1:5" x14ac:dyDescent="0.25">
      <c r="A17" s="5">
        <v>19</v>
      </c>
      <c r="B17" s="5">
        <v>2</v>
      </c>
      <c r="C17" s="8">
        <v>47.71</v>
      </c>
      <c r="D17" s="8">
        <v>37.880000000000003</v>
      </c>
      <c r="E17" s="8">
        <v>56.7</v>
      </c>
    </row>
    <row r="18" spans="1:5" x14ac:dyDescent="0.25">
      <c r="A18" s="5">
        <v>20</v>
      </c>
      <c r="B18" s="5">
        <v>2</v>
      </c>
      <c r="C18" s="8">
        <v>46.29</v>
      </c>
      <c r="D18" s="8">
        <v>48.88</v>
      </c>
      <c r="E18" s="8">
        <v>24.1</v>
      </c>
    </row>
    <row r="19" spans="1:5" x14ac:dyDescent="0.25">
      <c r="A19" s="5">
        <v>21</v>
      </c>
      <c r="B19" s="5">
        <v>2</v>
      </c>
      <c r="C19" s="8">
        <v>42.1</v>
      </c>
      <c r="D19" s="8">
        <v>45.84</v>
      </c>
      <c r="E19" s="8">
        <v>28.24</v>
      </c>
    </row>
    <row r="20" spans="1:5" x14ac:dyDescent="0.25">
      <c r="A20" s="5">
        <v>22</v>
      </c>
      <c r="B20" s="5">
        <v>1</v>
      </c>
      <c r="C20" s="8">
        <v>39.33</v>
      </c>
      <c r="D20" s="8">
        <v>43.16</v>
      </c>
      <c r="E20" s="8">
        <v>42.62</v>
      </c>
    </row>
    <row r="21" spans="1:5" x14ac:dyDescent="0.25">
      <c r="A21" s="5">
        <v>23</v>
      </c>
      <c r="B21" s="5">
        <v>2</v>
      </c>
      <c r="C21" s="8">
        <v>41.33</v>
      </c>
      <c r="D21" s="8">
        <v>49</v>
      </c>
      <c r="E21" s="8">
        <v>45.05</v>
      </c>
    </row>
    <row r="22" spans="1:5" x14ac:dyDescent="0.25">
      <c r="A22" s="5">
        <v>24</v>
      </c>
      <c r="B22" s="5">
        <v>1</v>
      </c>
      <c r="C22" s="8">
        <v>45.57</v>
      </c>
      <c r="D22" s="8">
        <v>34.4</v>
      </c>
      <c r="E22" s="8">
        <v>45.05</v>
      </c>
    </row>
    <row r="23" spans="1:5" x14ac:dyDescent="0.25">
      <c r="A23" s="5">
        <v>25</v>
      </c>
      <c r="B23" s="5">
        <v>1</v>
      </c>
      <c r="C23" s="8">
        <v>42.1</v>
      </c>
      <c r="D23" s="8">
        <v>43.4</v>
      </c>
      <c r="E23" s="8">
        <v>49.29</v>
      </c>
    </row>
    <row r="24" spans="1:5" x14ac:dyDescent="0.25">
      <c r="A24" s="5">
        <v>26</v>
      </c>
      <c r="B24" s="5">
        <v>2</v>
      </c>
      <c r="C24" s="8">
        <v>35.619999999999997</v>
      </c>
      <c r="D24" s="8">
        <v>47.92</v>
      </c>
      <c r="E24" s="8">
        <v>46.29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B45A-E7FC-4F0F-85CD-704F33474D51}">
  <dimension ref="A1:N25"/>
  <sheetViews>
    <sheetView workbookViewId="0">
      <selection activeCell="M2" sqref="M2:N12"/>
    </sheetView>
  </sheetViews>
  <sheetFormatPr defaultRowHeight="15" x14ac:dyDescent="0.25"/>
  <sheetData>
    <row r="1" spans="1:14" x14ac:dyDescent="0.25">
      <c r="A1" s="5" t="s">
        <v>2</v>
      </c>
      <c r="B1" s="5" t="s">
        <v>3</v>
      </c>
      <c r="C1" s="8" t="s">
        <v>13</v>
      </c>
      <c r="D1" s="8">
        <v>10</v>
      </c>
      <c r="E1" s="8" t="s">
        <v>14</v>
      </c>
      <c r="H1" s="5" t="s">
        <v>2</v>
      </c>
      <c r="I1" s="5" t="s">
        <v>18</v>
      </c>
      <c r="J1" s="8" t="s">
        <v>13</v>
      </c>
      <c r="K1" s="8">
        <v>10</v>
      </c>
      <c r="L1" s="8" t="s">
        <v>14</v>
      </c>
      <c r="M1" s="8" t="s">
        <v>19</v>
      </c>
      <c r="N1" s="8" t="s">
        <v>20</v>
      </c>
    </row>
    <row r="2" spans="1:14" x14ac:dyDescent="0.25">
      <c r="A2" s="5">
        <v>1</v>
      </c>
      <c r="B2" s="5">
        <v>1</v>
      </c>
      <c r="C2" s="8">
        <v>35.54</v>
      </c>
      <c r="D2" s="8">
        <v>36.44</v>
      </c>
      <c r="E2" s="8">
        <v>46</v>
      </c>
      <c r="H2" s="5">
        <v>2</v>
      </c>
      <c r="I2" s="5">
        <v>2</v>
      </c>
      <c r="J2" s="8">
        <v>20.29</v>
      </c>
      <c r="K2" s="8">
        <v>31.78</v>
      </c>
      <c r="L2" s="8">
        <v>36.5</v>
      </c>
      <c r="M2" s="7">
        <f>(J2-K2)</f>
        <v>-11.490000000000002</v>
      </c>
      <c r="N2" s="7">
        <f>(K2-L2)</f>
        <v>-4.7199999999999989</v>
      </c>
    </row>
    <row r="3" spans="1:14" x14ac:dyDescent="0.25">
      <c r="A3" s="5">
        <v>3</v>
      </c>
      <c r="B3" s="5">
        <v>1</v>
      </c>
      <c r="C3" s="8">
        <v>36.5</v>
      </c>
      <c r="D3" s="8">
        <v>42.47</v>
      </c>
      <c r="E3" s="8">
        <v>50.5</v>
      </c>
      <c r="H3" s="5">
        <v>4</v>
      </c>
      <c r="I3" s="5">
        <v>2</v>
      </c>
      <c r="J3" s="8">
        <v>38</v>
      </c>
      <c r="K3" s="8">
        <v>36.28</v>
      </c>
      <c r="L3" s="8">
        <v>40.36</v>
      </c>
      <c r="M3" s="7">
        <f t="shared" ref="M3:M12" si="0">(J3-K3)</f>
        <v>1.7199999999999989</v>
      </c>
      <c r="N3" s="7">
        <f t="shared" ref="N3:N12" si="1">(K3-L3)</f>
        <v>-4.0799999999999983</v>
      </c>
    </row>
    <row r="4" spans="1:14" x14ac:dyDescent="0.25">
      <c r="A4" s="5">
        <v>6</v>
      </c>
      <c r="B4" s="5">
        <v>1</v>
      </c>
      <c r="C4" s="8">
        <v>39.79</v>
      </c>
      <c r="D4" s="8">
        <v>38.33</v>
      </c>
      <c r="E4" s="8">
        <v>37.93</v>
      </c>
      <c r="H4" s="9">
        <v>10</v>
      </c>
      <c r="I4" s="9">
        <v>2</v>
      </c>
      <c r="J4" s="14">
        <v>39.01</v>
      </c>
      <c r="K4" s="14">
        <v>23</v>
      </c>
      <c r="L4" s="14">
        <v>37.18</v>
      </c>
      <c r="M4" s="7">
        <f t="shared" si="0"/>
        <v>16.009999999999998</v>
      </c>
      <c r="N4" s="7">
        <f t="shared" si="1"/>
        <v>-14.18</v>
      </c>
    </row>
    <row r="5" spans="1:14" x14ac:dyDescent="0.25">
      <c r="A5" s="5">
        <v>7</v>
      </c>
      <c r="B5" s="5">
        <v>1</v>
      </c>
      <c r="C5" s="8">
        <v>43</v>
      </c>
      <c r="D5" s="8">
        <v>44.22</v>
      </c>
      <c r="E5" s="8">
        <v>54.64</v>
      </c>
      <c r="H5" s="5">
        <v>14</v>
      </c>
      <c r="I5" s="5">
        <v>2</v>
      </c>
      <c r="J5" s="8">
        <v>34.14</v>
      </c>
      <c r="K5" s="8">
        <v>41.5</v>
      </c>
      <c r="L5" s="8">
        <v>46.67</v>
      </c>
      <c r="M5" s="7">
        <f t="shared" si="0"/>
        <v>-7.3599999999999994</v>
      </c>
      <c r="N5" s="7">
        <f t="shared" si="1"/>
        <v>-5.1700000000000017</v>
      </c>
    </row>
    <row r="6" spans="1:14" x14ac:dyDescent="0.25">
      <c r="A6" s="9">
        <v>9</v>
      </c>
      <c r="B6" s="9">
        <v>1</v>
      </c>
      <c r="C6" s="14">
        <v>47.29</v>
      </c>
      <c r="D6" s="14"/>
      <c r="E6" s="14">
        <v>15.55</v>
      </c>
      <c r="H6" s="9">
        <v>16</v>
      </c>
      <c r="I6" s="9">
        <v>2</v>
      </c>
      <c r="J6" s="14">
        <v>39.01</v>
      </c>
      <c r="K6" s="14">
        <v>31</v>
      </c>
      <c r="L6" s="14">
        <v>20</v>
      </c>
      <c r="M6" s="7">
        <f t="shared" si="0"/>
        <v>8.009999999999998</v>
      </c>
      <c r="N6" s="7">
        <f t="shared" si="1"/>
        <v>11</v>
      </c>
    </row>
    <row r="7" spans="1:14" x14ac:dyDescent="0.25">
      <c r="A7" s="5">
        <v>11</v>
      </c>
      <c r="B7" s="5">
        <v>1</v>
      </c>
      <c r="C7" s="8">
        <v>46.07</v>
      </c>
      <c r="D7" s="8">
        <v>25.11</v>
      </c>
      <c r="E7" s="8">
        <v>36.07</v>
      </c>
      <c r="H7" s="5">
        <v>18</v>
      </c>
      <c r="I7" s="5">
        <v>2</v>
      </c>
      <c r="J7" s="8">
        <v>45.63</v>
      </c>
      <c r="K7" s="8">
        <v>41.24</v>
      </c>
      <c r="L7" s="8">
        <v>27.86</v>
      </c>
      <c r="M7" s="7">
        <f t="shared" si="0"/>
        <v>4.3900000000000006</v>
      </c>
      <c r="N7" s="7">
        <f t="shared" si="1"/>
        <v>13.380000000000003</v>
      </c>
    </row>
    <row r="8" spans="1:14" x14ac:dyDescent="0.25">
      <c r="A8" s="5">
        <v>13</v>
      </c>
      <c r="B8" s="5">
        <v>1</v>
      </c>
      <c r="C8" s="8">
        <v>48.1</v>
      </c>
      <c r="D8" s="8">
        <v>55.57</v>
      </c>
      <c r="E8" s="8">
        <v>47.62</v>
      </c>
      <c r="H8" s="5">
        <v>19</v>
      </c>
      <c r="I8" s="5">
        <v>2</v>
      </c>
      <c r="J8" s="8">
        <v>47.71</v>
      </c>
      <c r="K8" s="8">
        <v>37.880000000000003</v>
      </c>
      <c r="L8" s="8">
        <v>56.7</v>
      </c>
      <c r="M8" s="7">
        <f t="shared" si="0"/>
        <v>9.8299999999999983</v>
      </c>
      <c r="N8" s="7">
        <f t="shared" si="1"/>
        <v>-18.82</v>
      </c>
    </row>
    <row r="9" spans="1:14" x14ac:dyDescent="0.25">
      <c r="A9" s="5">
        <v>15</v>
      </c>
      <c r="B9" s="5">
        <v>1</v>
      </c>
      <c r="C9" s="8">
        <v>46.1</v>
      </c>
      <c r="D9" s="8">
        <v>51.48</v>
      </c>
      <c r="E9" s="8">
        <v>47.76</v>
      </c>
      <c r="H9" s="5">
        <v>20</v>
      </c>
      <c r="I9" s="5">
        <v>2</v>
      </c>
      <c r="J9" s="8">
        <v>46.29</v>
      </c>
      <c r="K9" s="8">
        <v>48.88</v>
      </c>
      <c r="L9" s="8">
        <v>24.1</v>
      </c>
      <c r="M9" s="7">
        <f t="shared" si="0"/>
        <v>-2.5900000000000034</v>
      </c>
      <c r="N9" s="7">
        <f t="shared" si="1"/>
        <v>24.78</v>
      </c>
    </row>
    <row r="10" spans="1:14" x14ac:dyDescent="0.25">
      <c r="A10" s="5">
        <v>17</v>
      </c>
      <c r="B10" s="5">
        <v>1</v>
      </c>
      <c r="C10" s="8">
        <v>49.57</v>
      </c>
      <c r="D10" s="8">
        <v>32.53</v>
      </c>
      <c r="E10" s="8">
        <v>27.58</v>
      </c>
      <c r="H10" s="5">
        <v>21</v>
      </c>
      <c r="I10" s="5">
        <v>2</v>
      </c>
      <c r="J10" s="8">
        <v>42.1</v>
      </c>
      <c r="K10" s="8">
        <v>45.84</v>
      </c>
      <c r="L10" s="8">
        <v>28.24</v>
      </c>
      <c r="M10" s="7">
        <f t="shared" si="0"/>
        <v>-3.740000000000002</v>
      </c>
      <c r="N10" s="7">
        <f t="shared" si="1"/>
        <v>17.600000000000005</v>
      </c>
    </row>
    <row r="11" spans="1:14" x14ac:dyDescent="0.25">
      <c r="A11" s="5">
        <v>22</v>
      </c>
      <c r="B11" s="5">
        <v>1</v>
      </c>
      <c r="C11" s="8">
        <v>39.33</v>
      </c>
      <c r="D11" s="8">
        <v>43.16</v>
      </c>
      <c r="E11" s="8">
        <v>42.62</v>
      </c>
      <c r="H11" s="5">
        <v>23</v>
      </c>
      <c r="I11" s="5">
        <v>2</v>
      </c>
      <c r="J11" s="8">
        <v>41.33</v>
      </c>
      <c r="K11" s="8">
        <v>49</v>
      </c>
      <c r="L11" s="8">
        <v>45.05</v>
      </c>
      <c r="M11" s="7">
        <f t="shared" si="0"/>
        <v>-7.6700000000000017</v>
      </c>
      <c r="N11" s="7">
        <f t="shared" si="1"/>
        <v>3.9500000000000028</v>
      </c>
    </row>
    <row r="12" spans="1:14" x14ac:dyDescent="0.25">
      <c r="A12" s="5">
        <v>24</v>
      </c>
      <c r="B12" s="5">
        <v>1</v>
      </c>
      <c r="C12" s="8">
        <v>45.57</v>
      </c>
      <c r="D12" s="8">
        <v>34.4</v>
      </c>
      <c r="E12" s="8">
        <v>45.05</v>
      </c>
      <c r="H12" s="5">
        <v>26</v>
      </c>
      <c r="I12" s="5">
        <v>2</v>
      </c>
      <c r="J12" s="8">
        <v>35.619999999999997</v>
      </c>
      <c r="K12" s="8">
        <v>47.92</v>
      </c>
      <c r="L12" s="8">
        <v>46.29</v>
      </c>
      <c r="M12" s="7">
        <f t="shared" si="0"/>
        <v>-12.300000000000004</v>
      </c>
      <c r="N12" s="7">
        <f t="shared" si="1"/>
        <v>1.6300000000000026</v>
      </c>
    </row>
    <row r="13" spans="1:14" x14ac:dyDescent="0.25">
      <c r="A13" s="5">
        <v>25</v>
      </c>
      <c r="B13" s="5">
        <v>1</v>
      </c>
      <c r="C13" s="8">
        <v>42.1</v>
      </c>
      <c r="D13" s="8">
        <v>43.4</v>
      </c>
      <c r="E13" s="8">
        <v>49.29</v>
      </c>
    </row>
    <row r="14" spans="1:14" x14ac:dyDescent="0.25">
      <c r="A14" s="5">
        <v>2</v>
      </c>
      <c r="B14" s="5">
        <v>2</v>
      </c>
      <c r="C14" s="8">
        <v>20.29</v>
      </c>
      <c r="D14" s="8">
        <v>31.78</v>
      </c>
      <c r="E14" s="8">
        <v>36.5</v>
      </c>
    </row>
    <row r="15" spans="1:14" x14ac:dyDescent="0.25">
      <c r="A15" s="5">
        <v>4</v>
      </c>
      <c r="B15" s="5">
        <v>2</v>
      </c>
      <c r="C15" s="8">
        <v>38</v>
      </c>
      <c r="D15" s="8">
        <v>36.28</v>
      </c>
      <c r="E15" s="8">
        <v>40.36</v>
      </c>
    </row>
    <row r="16" spans="1:14" x14ac:dyDescent="0.25">
      <c r="A16" s="9">
        <v>10</v>
      </c>
      <c r="B16" s="9">
        <v>2</v>
      </c>
      <c r="C16" s="14">
        <v>39.01</v>
      </c>
      <c r="D16" s="14">
        <v>23</v>
      </c>
      <c r="E16" s="14">
        <v>37.18</v>
      </c>
    </row>
    <row r="17" spans="1:5" x14ac:dyDescent="0.25">
      <c r="A17" s="5">
        <v>14</v>
      </c>
      <c r="B17" s="5">
        <v>2</v>
      </c>
      <c r="C17" s="8">
        <v>34.14</v>
      </c>
      <c r="D17" s="8">
        <v>41.5</v>
      </c>
      <c r="E17" s="8">
        <v>46.67</v>
      </c>
    </row>
    <row r="18" spans="1:5" x14ac:dyDescent="0.25">
      <c r="A18" s="9">
        <v>16</v>
      </c>
      <c r="B18" s="9">
        <v>2</v>
      </c>
      <c r="C18" s="14">
        <v>39.01</v>
      </c>
      <c r="D18" s="14">
        <v>3.1</v>
      </c>
      <c r="E18" s="14">
        <v>20</v>
      </c>
    </row>
    <row r="19" spans="1:5" x14ac:dyDescent="0.25">
      <c r="A19" s="5">
        <v>18</v>
      </c>
      <c r="B19" s="5">
        <v>2</v>
      </c>
      <c r="C19" s="8">
        <v>45.63</v>
      </c>
      <c r="D19" s="8">
        <v>41.24</v>
      </c>
      <c r="E19" s="8">
        <v>27.86</v>
      </c>
    </row>
    <row r="20" spans="1:5" x14ac:dyDescent="0.25">
      <c r="A20" s="5">
        <v>19</v>
      </c>
      <c r="B20" s="5">
        <v>2</v>
      </c>
      <c r="C20" s="8">
        <v>47.71</v>
      </c>
      <c r="D20" s="8">
        <v>37.880000000000003</v>
      </c>
      <c r="E20" s="8">
        <v>56.7</v>
      </c>
    </row>
    <row r="21" spans="1:5" x14ac:dyDescent="0.25">
      <c r="A21" s="5">
        <v>20</v>
      </c>
      <c r="B21" s="5">
        <v>2</v>
      </c>
      <c r="C21" s="8">
        <v>46.29</v>
      </c>
      <c r="D21" s="8">
        <v>48.88</v>
      </c>
      <c r="E21" s="8">
        <v>24.1</v>
      </c>
    </row>
    <row r="22" spans="1:5" x14ac:dyDescent="0.25">
      <c r="A22" s="5">
        <v>21</v>
      </c>
      <c r="B22" s="5">
        <v>2</v>
      </c>
      <c r="C22" s="8">
        <v>42.1</v>
      </c>
      <c r="D22" s="8">
        <v>45.84</v>
      </c>
      <c r="E22" s="8">
        <v>28.24</v>
      </c>
    </row>
    <row r="23" spans="1:5" x14ac:dyDescent="0.25">
      <c r="A23" s="5">
        <v>23</v>
      </c>
      <c r="B23" s="5">
        <v>2</v>
      </c>
      <c r="C23" s="8">
        <v>41.33</v>
      </c>
      <c r="D23" s="8">
        <v>49</v>
      </c>
      <c r="E23" s="8">
        <v>45.05</v>
      </c>
    </row>
    <row r="24" spans="1:5" x14ac:dyDescent="0.25">
      <c r="A24" s="5">
        <v>26</v>
      </c>
      <c r="B24" s="5">
        <v>2</v>
      </c>
      <c r="C24" s="8">
        <v>35.619999999999997</v>
      </c>
      <c r="D24" s="8">
        <v>47.92</v>
      </c>
      <c r="E24" s="8">
        <v>46.29</v>
      </c>
    </row>
    <row r="25" spans="1:5" x14ac:dyDescent="0.25">
      <c r="C25" s="7"/>
      <c r="E25" s="7"/>
    </row>
  </sheetData>
  <sortState xmlns:xlrd2="http://schemas.microsoft.com/office/spreadsheetml/2017/richdata2" ref="A2:E24">
    <sortCondition ref="B2:B24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9"/>
  <sheetViews>
    <sheetView zoomScale="85" zoomScaleNormal="85"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1" width="8.85546875" style="1"/>
    <col min="2" max="2" width="10.5703125" style="1" bestFit="1" customWidth="1"/>
    <col min="3" max="6" width="8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</row>
    <row r="2" spans="1:6" x14ac:dyDescent="0.25">
      <c r="A2" s="1">
        <v>1</v>
      </c>
      <c r="B2" s="2">
        <v>43780</v>
      </c>
      <c r="C2" s="1">
        <v>1</v>
      </c>
      <c r="D2" s="1">
        <v>1</v>
      </c>
      <c r="E2" s="1">
        <v>1</v>
      </c>
      <c r="F2" s="1">
        <v>0.8</v>
      </c>
    </row>
    <row r="3" spans="1:6" x14ac:dyDescent="0.25">
      <c r="A3" s="1">
        <v>1</v>
      </c>
      <c r="B3" s="2">
        <v>43782</v>
      </c>
      <c r="C3" s="1">
        <v>1</v>
      </c>
      <c r="D3" s="1">
        <v>1</v>
      </c>
      <c r="E3" s="1">
        <v>10</v>
      </c>
      <c r="F3" s="1">
        <v>1</v>
      </c>
    </row>
    <row r="4" spans="1:6" x14ac:dyDescent="0.25">
      <c r="A4" s="1">
        <v>1</v>
      </c>
      <c r="B4" s="2">
        <v>43784</v>
      </c>
      <c r="C4" s="1">
        <v>1</v>
      </c>
      <c r="D4" s="1">
        <v>1</v>
      </c>
      <c r="E4" s="1">
        <v>30</v>
      </c>
      <c r="F4" s="1">
        <v>1</v>
      </c>
    </row>
    <row r="5" spans="1:6" x14ac:dyDescent="0.25">
      <c r="A5" s="1">
        <v>1</v>
      </c>
      <c r="B5" s="2">
        <v>43784</v>
      </c>
      <c r="C5" s="1">
        <v>2</v>
      </c>
      <c r="D5" s="1">
        <v>2</v>
      </c>
      <c r="E5" s="1">
        <v>1</v>
      </c>
      <c r="F5" s="1">
        <v>0.2</v>
      </c>
    </row>
    <row r="6" spans="1:6" x14ac:dyDescent="0.25">
      <c r="A6" s="1">
        <v>1</v>
      </c>
      <c r="B6" s="2">
        <v>43780</v>
      </c>
      <c r="C6" s="1">
        <v>2</v>
      </c>
      <c r="D6" s="1">
        <v>2</v>
      </c>
      <c r="E6" s="1">
        <v>10</v>
      </c>
      <c r="F6" s="1">
        <v>1</v>
      </c>
    </row>
    <row r="7" spans="1:6" x14ac:dyDescent="0.25">
      <c r="A7" s="1">
        <v>1</v>
      </c>
      <c r="B7" s="2">
        <v>43782</v>
      </c>
      <c r="C7" s="1">
        <v>2</v>
      </c>
      <c r="D7" s="1">
        <v>2</v>
      </c>
      <c r="E7" s="1">
        <v>30</v>
      </c>
      <c r="F7" s="1">
        <v>1.4</v>
      </c>
    </row>
    <row r="8" spans="1:6" x14ac:dyDescent="0.25">
      <c r="A8" s="1">
        <v>1</v>
      </c>
      <c r="B8" s="2">
        <v>43782</v>
      </c>
      <c r="C8" s="1">
        <v>3</v>
      </c>
      <c r="D8" s="1">
        <v>1</v>
      </c>
      <c r="E8" s="1">
        <v>1</v>
      </c>
      <c r="F8" s="1">
        <v>0.4</v>
      </c>
    </row>
    <row r="9" spans="1:6" x14ac:dyDescent="0.25">
      <c r="A9" s="1">
        <v>1</v>
      </c>
      <c r="B9" s="2">
        <v>43784</v>
      </c>
      <c r="C9" s="1">
        <v>3</v>
      </c>
      <c r="D9" s="1">
        <v>1</v>
      </c>
      <c r="E9" s="1">
        <v>10</v>
      </c>
      <c r="F9" s="1">
        <v>0.8</v>
      </c>
    </row>
    <row r="10" spans="1:6" x14ac:dyDescent="0.25">
      <c r="A10" s="1">
        <v>1</v>
      </c>
      <c r="B10" s="2">
        <v>43780</v>
      </c>
      <c r="C10" s="1">
        <v>3</v>
      </c>
      <c r="D10" s="1">
        <v>1</v>
      </c>
      <c r="E10" s="1">
        <v>30</v>
      </c>
      <c r="F10" s="1">
        <v>1</v>
      </c>
    </row>
    <row r="11" spans="1:6" x14ac:dyDescent="0.25">
      <c r="A11" s="1">
        <v>1</v>
      </c>
      <c r="B11" s="2">
        <v>43780</v>
      </c>
      <c r="C11" s="1">
        <v>4</v>
      </c>
      <c r="D11" s="1">
        <v>2</v>
      </c>
      <c r="E11" s="1">
        <v>1</v>
      </c>
      <c r="F11" s="1">
        <v>0.2</v>
      </c>
    </row>
    <row r="12" spans="1:6" x14ac:dyDescent="0.25">
      <c r="A12" s="1">
        <v>1</v>
      </c>
      <c r="B12" s="2">
        <v>43782</v>
      </c>
      <c r="C12" s="1">
        <v>4</v>
      </c>
      <c r="D12" s="1">
        <v>2</v>
      </c>
      <c r="E12" s="1">
        <v>10</v>
      </c>
      <c r="F12" s="1">
        <v>1.2</v>
      </c>
    </row>
    <row r="13" spans="1:6" x14ac:dyDescent="0.25">
      <c r="A13" s="1">
        <v>1</v>
      </c>
      <c r="B13" s="2">
        <v>43784</v>
      </c>
      <c r="C13" s="1">
        <v>4</v>
      </c>
      <c r="D13" s="1">
        <v>2</v>
      </c>
      <c r="E13" s="1">
        <v>30</v>
      </c>
      <c r="F13" s="1">
        <v>1.4</v>
      </c>
    </row>
    <row r="14" spans="1:6" x14ac:dyDescent="0.25">
      <c r="A14" s="1">
        <v>1</v>
      </c>
      <c r="B14" s="2">
        <v>43784</v>
      </c>
      <c r="C14" s="1">
        <v>6</v>
      </c>
      <c r="D14" s="1">
        <v>1</v>
      </c>
      <c r="E14" s="1">
        <v>1</v>
      </c>
      <c r="F14" s="1">
        <v>2.4</v>
      </c>
    </row>
    <row r="15" spans="1:6" x14ac:dyDescent="0.25">
      <c r="A15" s="1">
        <v>1</v>
      </c>
      <c r="B15" s="2">
        <v>43780</v>
      </c>
      <c r="C15" s="1">
        <v>6</v>
      </c>
      <c r="D15" s="1">
        <v>1</v>
      </c>
      <c r="E15" s="1">
        <v>10</v>
      </c>
      <c r="F15" s="1">
        <v>1</v>
      </c>
    </row>
    <row r="16" spans="1:6" x14ac:dyDescent="0.25">
      <c r="A16" s="1">
        <v>1</v>
      </c>
      <c r="B16" s="2">
        <v>43782</v>
      </c>
      <c r="C16" s="1">
        <v>6</v>
      </c>
      <c r="D16" s="1">
        <v>1</v>
      </c>
      <c r="E16" s="1">
        <v>30</v>
      </c>
      <c r="F16" s="1">
        <v>1.4</v>
      </c>
    </row>
    <row r="17" spans="1:6" x14ac:dyDescent="0.25">
      <c r="A17" s="1">
        <v>1</v>
      </c>
      <c r="B17" s="2">
        <v>43782</v>
      </c>
      <c r="C17" s="1">
        <v>7</v>
      </c>
      <c r="D17" s="1">
        <v>1</v>
      </c>
      <c r="E17" s="1">
        <v>1</v>
      </c>
      <c r="F17" s="1">
        <v>0.6</v>
      </c>
    </row>
    <row r="18" spans="1:6" x14ac:dyDescent="0.25">
      <c r="A18" s="1">
        <v>1</v>
      </c>
      <c r="B18" s="2">
        <v>43784</v>
      </c>
      <c r="C18" s="1">
        <v>7</v>
      </c>
      <c r="D18" s="1">
        <v>1</v>
      </c>
      <c r="E18" s="1">
        <v>10</v>
      </c>
      <c r="F18" s="1">
        <v>2.8</v>
      </c>
    </row>
    <row r="19" spans="1:6" x14ac:dyDescent="0.25">
      <c r="A19" s="1">
        <v>1</v>
      </c>
      <c r="B19" s="2">
        <v>43780</v>
      </c>
      <c r="C19" s="1">
        <v>7</v>
      </c>
      <c r="D19" s="1">
        <v>1</v>
      </c>
      <c r="E19" s="1">
        <v>30</v>
      </c>
      <c r="F19" s="1">
        <v>1.4</v>
      </c>
    </row>
    <row r="20" spans="1:6" x14ac:dyDescent="0.25">
      <c r="A20" s="1">
        <v>2</v>
      </c>
      <c r="B20" s="2">
        <v>43787</v>
      </c>
      <c r="C20" s="1">
        <v>1</v>
      </c>
      <c r="D20" s="1">
        <v>1</v>
      </c>
      <c r="E20" s="1">
        <v>1</v>
      </c>
      <c r="F20" s="1">
        <v>0.4</v>
      </c>
    </row>
    <row r="21" spans="1:6" x14ac:dyDescent="0.25">
      <c r="A21" s="1">
        <v>2</v>
      </c>
      <c r="B21" s="2">
        <v>43789</v>
      </c>
      <c r="C21" s="1">
        <v>1</v>
      </c>
      <c r="D21" s="1">
        <v>1</v>
      </c>
      <c r="E21" s="1">
        <v>10</v>
      </c>
      <c r="F21" s="1">
        <v>2</v>
      </c>
    </row>
    <row r="22" spans="1:6" x14ac:dyDescent="0.25">
      <c r="A22" s="1">
        <v>2</v>
      </c>
      <c r="B22" s="2">
        <v>43791</v>
      </c>
      <c r="C22" s="1">
        <v>1</v>
      </c>
      <c r="D22" s="1">
        <v>1</v>
      </c>
      <c r="E22" s="1">
        <v>30</v>
      </c>
      <c r="F22" s="1">
        <v>5.2</v>
      </c>
    </row>
    <row r="23" spans="1:6" x14ac:dyDescent="0.25">
      <c r="A23" s="1">
        <v>2</v>
      </c>
      <c r="B23" s="2">
        <v>43791</v>
      </c>
      <c r="C23" s="1">
        <v>2</v>
      </c>
      <c r="D23" s="1">
        <v>2</v>
      </c>
      <c r="E23" s="1">
        <v>1</v>
      </c>
      <c r="F23" s="1">
        <v>1.6</v>
      </c>
    </row>
    <row r="24" spans="1:6" x14ac:dyDescent="0.25">
      <c r="A24" s="1">
        <v>2</v>
      </c>
      <c r="B24" s="2">
        <v>43787</v>
      </c>
      <c r="C24" s="1">
        <v>2</v>
      </c>
      <c r="D24" s="1">
        <v>2</v>
      </c>
      <c r="E24" s="1">
        <v>10</v>
      </c>
      <c r="F24" s="1">
        <v>0.8</v>
      </c>
    </row>
    <row r="25" spans="1:6" x14ac:dyDescent="0.25">
      <c r="A25" s="1">
        <v>2</v>
      </c>
      <c r="B25" s="2">
        <v>43789</v>
      </c>
      <c r="C25" s="1">
        <v>2</v>
      </c>
      <c r="D25" s="1">
        <v>2</v>
      </c>
      <c r="E25" s="1">
        <v>30</v>
      </c>
      <c r="F25" s="1">
        <v>1</v>
      </c>
    </row>
    <row r="26" spans="1:6" x14ac:dyDescent="0.25">
      <c r="A26" s="1">
        <v>2</v>
      </c>
      <c r="B26" s="2">
        <v>43789</v>
      </c>
      <c r="C26" s="1">
        <v>3</v>
      </c>
      <c r="D26" s="1">
        <v>1</v>
      </c>
      <c r="E26" s="1">
        <v>1</v>
      </c>
      <c r="F26" s="1">
        <v>1.8</v>
      </c>
    </row>
    <row r="27" spans="1:6" x14ac:dyDescent="0.25">
      <c r="A27" s="1">
        <v>2</v>
      </c>
      <c r="B27" s="2">
        <v>43791</v>
      </c>
      <c r="C27" s="1">
        <v>3</v>
      </c>
      <c r="D27" s="1">
        <v>1</v>
      </c>
      <c r="E27" s="1">
        <v>10</v>
      </c>
      <c r="F27" s="1">
        <v>3.2</v>
      </c>
    </row>
    <row r="28" spans="1:6" x14ac:dyDescent="0.25">
      <c r="A28" s="1">
        <v>2</v>
      </c>
      <c r="B28" s="2">
        <v>43787</v>
      </c>
      <c r="C28" s="1">
        <v>3</v>
      </c>
      <c r="D28" s="1">
        <v>1</v>
      </c>
      <c r="E28" s="1">
        <v>30</v>
      </c>
      <c r="F28" s="1">
        <v>0.4</v>
      </c>
    </row>
    <row r="29" spans="1:6" x14ac:dyDescent="0.25">
      <c r="A29" s="1">
        <v>2</v>
      </c>
      <c r="B29" s="2">
        <v>43787</v>
      </c>
      <c r="C29" s="1">
        <v>4</v>
      </c>
      <c r="D29" s="1">
        <v>2</v>
      </c>
      <c r="E29" s="1">
        <v>1</v>
      </c>
      <c r="F29" s="1">
        <v>0.6</v>
      </c>
    </row>
    <row r="30" spans="1:6" x14ac:dyDescent="0.25">
      <c r="A30" s="1">
        <v>2</v>
      </c>
      <c r="B30" s="2">
        <v>43789</v>
      </c>
      <c r="C30" s="1">
        <v>4</v>
      </c>
      <c r="D30" s="1">
        <v>2</v>
      </c>
      <c r="E30" s="1">
        <v>10</v>
      </c>
      <c r="F30" s="1">
        <v>2.2000000000000002</v>
      </c>
    </row>
    <row r="31" spans="1:6" x14ac:dyDescent="0.25">
      <c r="A31" s="1">
        <v>2</v>
      </c>
      <c r="B31" s="2">
        <v>43791</v>
      </c>
      <c r="C31" s="1">
        <v>4</v>
      </c>
      <c r="D31" s="1">
        <v>2</v>
      </c>
      <c r="E31" s="1">
        <v>30</v>
      </c>
      <c r="F31" s="1">
        <v>2.2000000000000002</v>
      </c>
    </row>
    <row r="32" spans="1:6" x14ac:dyDescent="0.25">
      <c r="A32" s="1">
        <v>2</v>
      </c>
      <c r="B32" s="2">
        <v>43791</v>
      </c>
      <c r="C32" s="1">
        <v>6</v>
      </c>
      <c r="D32" s="1">
        <v>1</v>
      </c>
      <c r="E32" s="1">
        <v>1</v>
      </c>
      <c r="F32" s="1">
        <v>2</v>
      </c>
    </row>
    <row r="33" spans="1:6" x14ac:dyDescent="0.25">
      <c r="A33" s="1">
        <v>2</v>
      </c>
      <c r="B33" s="2">
        <v>43787</v>
      </c>
      <c r="C33" s="1">
        <v>6</v>
      </c>
      <c r="D33" s="1">
        <v>1</v>
      </c>
      <c r="E33" s="1">
        <v>10</v>
      </c>
      <c r="F33" s="1">
        <v>1.4</v>
      </c>
    </row>
    <row r="34" spans="1:6" x14ac:dyDescent="0.25">
      <c r="A34" s="1">
        <v>2</v>
      </c>
      <c r="B34" s="2">
        <v>43789</v>
      </c>
      <c r="C34" s="1">
        <v>6</v>
      </c>
      <c r="D34" s="1">
        <v>1</v>
      </c>
      <c r="E34" s="1">
        <v>30</v>
      </c>
      <c r="F34" s="1">
        <v>2</v>
      </c>
    </row>
    <row r="35" spans="1:6" x14ac:dyDescent="0.25">
      <c r="A35" s="1">
        <v>2</v>
      </c>
      <c r="B35" s="2">
        <v>43789</v>
      </c>
      <c r="C35" s="1">
        <v>7</v>
      </c>
      <c r="D35" s="1">
        <v>1</v>
      </c>
      <c r="E35" s="1">
        <v>1</v>
      </c>
      <c r="F35" s="1">
        <v>3.6</v>
      </c>
    </row>
    <row r="36" spans="1:6" x14ac:dyDescent="0.25">
      <c r="A36" s="1">
        <v>2</v>
      </c>
      <c r="B36" s="2">
        <v>43791</v>
      </c>
      <c r="C36" s="1">
        <v>7</v>
      </c>
      <c r="D36" s="1">
        <v>1</v>
      </c>
      <c r="E36" s="1">
        <v>10</v>
      </c>
      <c r="F36" s="1">
        <v>4.4000000000000004</v>
      </c>
    </row>
    <row r="37" spans="1:6" x14ac:dyDescent="0.25">
      <c r="A37" s="1">
        <v>2</v>
      </c>
      <c r="B37" s="2">
        <v>43787</v>
      </c>
      <c r="C37" s="1">
        <v>7</v>
      </c>
      <c r="D37" s="1">
        <v>1</v>
      </c>
      <c r="E37" s="1">
        <v>30</v>
      </c>
      <c r="F37" s="1">
        <v>1.2</v>
      </c>
    </row>
    <row r="38" spans="1:6" x14ac:dyDescent="0.25">
      <c r="A38" s="1">
        <v>1</v>
      </c>
      <c r="B38" s="2">
        <v>43808</v>
      </c>
      <c r="C38" s="1">
        <v>9</v>
      </c>
      <c r="D38" s="1">
        <v>1</v>
      </c>
      <c r="E38" s="1">
        <v>1</v>
      </c>
      <c r="F38" s="1">
        <v>0.2</v>
      </c>
    </row>
    <row r="39" spans="1:6" x14ac:dyDescent="0.25">
      <c r="A39" s="1">
        <v>1</v>
      </c>
      <c r="B39" s="2">
        <v>43810</v>
      </c>
      <c r="C39" s="1">
        <v>9</v>
      </c>
      <c r="D39" s="1">
        <v>1</v>
      </c>
      <c r="E39" s="1">
        <v>10</v>
      </c>
      <c r="F39" s="1">
        <v>1</v>
      </c>
    </row>
    <row r="40" spans="1:6" x14ac:dyDescent="0.25">
      <c r="A40" s="1">
        <v>1</v>
      </c>
      <c r="B40" s="2">
        <v>43509</v>
      </c>
      <c r="C40" s="1">
        <v>9</v>
      </c>
      <c r="D40" s="1">
        <v>1</v>
      </c>
      <c r="E40" s="1">
        <v>30</v>
      </c>
      <c r="F40" s="1">
        <v>2</v>
      </c>
    </row>
    <row r="41" spans="1:6" x14ac:dyDescent="0.25">
      <c r="A41" s="1">
        <v>1</v>
      </c>
      <c r="B41" s="2">
        <v>43812</v>
      </c>
      <c r="C41" s="1">
        <v>10</v>
      </c>
      <c r="D41" s="1">
        <v>2</v>
      </c>
      <c r="E41" s="1">
        <v>1</v>
      </c>
      <c r="F41" s="1">
        <v>0.2</v>
      </c>
    </row>
    <row r="42" spans="1:6" x14ac:dyDescent="0.25">
      <c r="A42" s="1">
        <v>1</v>
      </c>
      <c r="B42" s="2">
        <v>43808</v>
      </c>
      <c r="C42" s="1">
        <v>10</v>
      </c>
      <c r="D42" s="1">
        <v>2</v>
      </c>
      <c r="E42" s="1">
        <v>10</v>
      </c>
      <c r="F42" s="1">
        <v>1.6</v>
      </c>
    </row>
    <row r="43" spans="1:6" x14ac:dyDescent="0.25">
      <c r="A43" s="1">
        <v>1</v>
      </c>
      <c r="B43" s="2">
        <v>43810</v>
      </c>
      <c r="C43" s="1">
        <v>10</v>
      </c>
      <c r="D43" s="1">
        <v>2</v>
      </c>
      <c r="E43" s="1">
        <v>30</v>
      </c>
      <c r="F43" s="1">
        <v>1.1000000000000001</v>
      </c>
    </row>
    <row r="44" spans="1:6" x14ac:dyDescent="0.25">
      <c r="A44" s="1">
        <v>1</v>
      </c>
      <c r="B44" s="2">
        <v>43810</v>
      </c>
      <c r="C44" s="1">
        <v>11</v>
      </c>
      <c r="D44" s="1">
        <v>1</v>
      </c>
      <c r="E44" s="1">
        <v>1</v>
      </c>
      <c r="F44" s="1">
        <v>1</v>
      </c>
    </row>
    <row r="45" spans="1:6" x14ac:dyDescent="0.25">
      <c r="A45" s="1">
        <v>1</v>
      </c>
      <c r="B45" s="2">
        <v>43812</v>
      </c>
      <c r="C45" s="1">
        <v>11</v>
      </c>
      <c r="D45" s="1">
        <v>1</v>
      </c>
      <c r="E45" s="1">
        <v>10</v>
      </c>
      <c r="F45" s="1">
        <v>1</v>
      </c>
    </row>
    <row r="46" spans="1:6" x14ac:dyDescent="0.25">
      <c r="A46" s="1">
        <v>1</v>
      </c>
      <c r="B46" s="2">
        <v>43808</v>
      </c>
      <c r="C46" s="1">
        <v>11</v>
      </c>
      <c r="D46" s="1">
        <v>1</v>
      </c>
      <c r="E46" s="1">
        <v>30</v>
      </c>
      <c r="F46" s="1">
        <v>1</v>
      </c>
    </row>
    <row r="47" spans="1:6" x14ac:dyDescent="0.25">
      <c r="A47" s="1">
        <v>2</v>
      </c>
      <c r="B47" s="2">
        <v>43817</v>
      </c>
      <c r="C47" s="1">
        <v>9</v>
      </c>
      <c r="D47" s="1">
        <v>1</v>
      </c>
      <c r="E47" s="1">
        <v>1</v>
      </c>
      <c r="F47" s="1">
        <v>1</v>
      </c>
    </row>
    <row r="48" spans="1:6" x14ac:dyDescent="0.25">
      <c r="A48" s="1">
        <v>2</v>
      </c>
      <c r="B48" s="2">
        <v>43819</v>
      </c>
      <c r="C48" s="1">
        <v>9</v>
      </c>
      <c r="D48" s="1">
        <v>1</v>
      </c>
      <c r="E48" s="1">
        <v>10</v>
      </c>
      <c r="F48" s="1">
        <v>0.4</v>
      </c>
    </row>
    <row r="49" spans="1:6" x14ac:dyDescent="0.25">
      <c r="A49" s="1">
        <v>2</v>
      </c>
      <c r="B49" s="2">
        <v>43815</v>
      </c>
      <c r="C49" s="1">
        <v>9</v>
      </c>
      <c r="D49" s="1">
        <v>1</v>
      </c>
      <c r="E49" s="1">
        <v>30</v>
      </c>
      <c r="F49" s="1">
        <v>0.8</v>
      </c>
    </row>
    <row r="50" spans="1:6" x14ac:dyDescent="0.25">
      <c r="A50" s="1">
        <v>2</v>
      </c>
      <c r="B50" s="2">
        <v>43815</v>
      </c>
      <c r="C50" s="1">
        <v>10</v>
      </c>
      <c r="D50" s="1">
        <v>2</v>
      </c>
      <c r="E50" s="1">
        <v>1</v>
      </c>
      <c r="F50" s="1">
        <v>0.01</v>
      </c>
    </row>
    <row r="51" spans="1:6" x14ac:dyDescent="0.25">
      <c r="A51" s="1">
        <v>2</v>
      </c>
      <c r="B51" s="2">
        <v>43817</v>
      </c>
      <c r="C51" s="1">
        <v>10</v>
      </c>
      <c r="D51" s="1">
        <v>2</v>
      </c>
      <c r="E51" s="1">
        <v>10</v>
      </c>
      <c r="F51" s="1">
        <v>0.8</v>
      </c>
    </row>
    <row r="52" spans="1:6" x14ac:dyDescent="0.25">
      <c r="A52" s="1">
        <v>2</v>
      </c>
      <c r="B52" s="2">
        <v>43819</v>
      </c>
      <c r="C52" s="1">
        <v>10</v>
      </c>
      <c r="D52" s="1">
        <v>2</v>
      </c>
      <c r="E52" s="1">
        <v>30</v>
      </c>
      <c r="F52" s="1">
        <v>1.2</v>
      </c>
    </row>
    <row r="53" spans="1:6" x14ac:dyDescent="0.25">
      <c r="A53" s="1">
        <v>2</v>
      </c>
      <c r="B53" s="2">
        <v>43819</v>
      </c>
      <c r="C53" s="1">
        <v>11</v>
      </c>
      <c r="D53" s="1">
        <v>1</v>
      </c>
      <c r="E53" s="1">
        <v>1</v>
      </c>
      <c r="F53" s="1">
        <v>0.8</v>
      </c>
    </row>
    <row r="54" spans="1:6" x14ac:dyDescent="0.25">
      <c r="A54" s="1">
        <v>2</v>
      </c>
      <c r="B54" s="2">
        <v>43815</v>
      </c>
      <c r="C54" s="1">
        <v>11</v>
      </c>
      <c r="D54" s="1">
        <v>1</v>
      </c>
      <c r="E54" s="1">
        <v>10</v>
      </c>
      <c r="F54" s="1">
        <v>1.2</v>
      </c>
    </row>
    <row r="55" spans="1:6" x14ac:dyDescent="0.25">
      <c r="A55" s="1">
        <v>2</v>
      </c>
      <c r="B55" s="2">
        <v>43817</v>
      </c>
      <c r="C55" s="1">
        <v>11</v>
      </c>
      <c r="D55" s="1">
        <v>1</v>
      </c>
      <c r="E55" s="1">
        <v>30</v>
      </c>
      <c r="F55" s="1">
        <v>0.6</v>
      </c>
    </row>
    <row r="56" spans="1:6" x14ac:dyDescent="0.25">
      <c r="A56" s="1">
        <v>1</v>
      </c>
      <c r="B56" s="2">
        <v>43887</v>
      </c>
      <c r="C56" s="1">
        <v>13</v>
      </c>
      <c r="D56" s="1">
        <v>1</v>
      </c>
      <c r="E56" s="1">
        <v>1</v>
      </c>
      <c r="F56" s="1">
        <v>0</v>
      </c>
    </row>
    <row r="57" spans="1:6" x14ac:dyDescent="0.25">
      <c r="A57" s="1">
        <v>1</v>
      </c>
      <c r="B57" s="2">
        <v>43889</v>
      </c>
      <c r="C57" s="1">
        <v>13</v>
      </c>
      <c r="D57" s="1">
        <v>1</v>
      </c>
      <c r="E57" s="1">
        <v>10</v>
      </c>
      <c r="F57" s="1">
        <v>1.6</v>
      </c>
    </row>
    <row r="58" spans="1:6" x14ac:dyDescent="0.25">
      <c r="A58" s="1">
        <v>1</v>
      </c>
      <c r="B58" s="2">
        <v>43885</v>
      </c>
      <c r="C58" s="1">
        <v>13</v>
      </c>
      <c r="D58" s="1">
        <v>1</v>
      </c>
      <c r="E58" s="1">
        <v>30</v>
      </c>
      <c r="F58" s="1">
        <v>0.2</v>
      </c>
    </row>
    <row r="59" spans="1:6" x14ac:dyDescent="0.25">
      <c r="A59" s="1">
        <v>1</v>
      </c>
      <c r="B59" s="2">
        <v>43885</v>
      </c>
      <c r="C59" s="1">
        <v>14</v>
      </c>
      <c r="D59" s="1">
        <v>2</v>
      </c>
      <c r="E59" s="1">
        <v>1</v>
      </c>
      <c r="F59" s="1">
        <v>1</v>
      </c>
    </row>
    <row r="60" spans="1:6" x14ac:dyDescent="0.25">
      <c r="A60" s="1">
        <v>1</v>
      </c>
      <c r="B60" s="2">
        <v>43887</v>
      </c>
      <c r="C60" s="1">
        <v>14</v>
      </c>
      <c r="D60" s="1">
        <v>2</v>
      </c>
      <c r="E60" s="1">
        <v>10</v>
      </c>
      <c r="F60" s="1">
        <v>1.6</v>
      </c>
    </row>
    <row r="61" spans="1:6" x14ac:dyDescent="0.25">
      <c r="A61" s="1">
        <v>1</v>
      </c>
      <c r="B61" s="2">
        <v>43899</v>
      </c>
      <c r="C61" s="1">
        <v>14</v>
      </c>
      <c r="D61" s="1">
        <v>2</v>
      </c>
      <c r="E61" s="1">
        <v>30</v>
      </c>
      <c r="F61" s="1">
        <v>2.2000000000000002</v>
      </c>
    </row>
    <row r="62" spans="1:6" x14ac:dyDescent="0.25">
      <c r="A62" s="1">
        <v>1</v>
      </c>
      <c r="B62" s="2">
        <v>43886</v>
      </c>
      <c r="C62" s="1">
        <v>15</v>
      </c>
      <c r="D62" s="1">
        <v>1</v>
      </c>
      <c r="E62" s="1">
        <v>1</v>
      </c>
      <c r="F62" s="1">
        <v>4.5999999999999996</v>
      </c>
    </row>
    <row r="63" spans="1:6" x14ac:dyDescent="0.25">
      <c r="A63" s="1">
        <v>1</v>
      </c>
      <c r="B63" s="2">
        <v>43885</v>
      </c>
      <c r="C63" s="1">
        <v>15</v>
      </c>
      <c r="D63" s="1">
        <v>1</v>
      </c>
      <c r="E63" s="1">
        <v>10</v>
      </c>
      <c r="F63" s="1">
        <v>0.2</v>
      </c>
    </row>
    <row r="64" spans="1:6" x14ac:dyDescent="0.25">
      <c r="A64" s="1">
        <v>1</v>
      </c>
      <c r="B64" s="2">
        <v>43887</v>
      </c>
      <c r="C64" s="1">
        <v>15</v>
      </c>
      <c r="D64" s="1">
        <v>1</v>
      </c>
      <c r="E64" s="1">
        <v>30</v>
      </c>
      <c r="F64" s="1">
        <v>1.4</v>
      </c>
    </row>
    <row r="65" spans="1:6" x14ac:dyDescent="0.25">
      <c r="A65" s="1">
        <v>1</v>
      </c>
      <c r="B65" s="2">
        <v>43887</v>
      </c>
      <c r="C65" s="1">
        <v>16</v>
      </c>
      <c r="D65" s="1">
        <v>2</v>
      </c>
      <c r="E65" s="1">
        <v>1</v>
      </c>
      <c r="F65" s="1">
        <v>0.5</v>
      </c>
    </row>
    <row r="66" spans="1:6" x14ac:dyDescent="0.25">
      <c r="A66" s="1">
        <v>1</v>
      </c>
      <c r="B66" s="2">
        <v>43889</v>
      </c>
      <c r="C66" s="1">
        <v>16</v>
      </c>
      <c r="D66" s="1">
        <v>2</v>
      </c>
      <c r="E66" s="1">
        <v>10</v>
      </c>
      <c r="F66" s="1">
        <v>1.4</v>
      </c>
    </row>
    <row r="67" spans="1:6" x14ac:dyDescent="0.25">
      <c r="A67" s="1">
        <v>1</v>
      </c>
      <c r="B67" s="2">
        <v>43885</v>
      </c>
      <c r="C67" s="1">
        <v>16</v>
      </c>
      <c r="D67" s="1">
        <v>2</v>
      </c>
      <c r="E67" s="1">
        <v>30</v>
      </c>
      <c r="F67" s="1">
        <v>1.2</v>
      </c>
    </row>
    <row r="68" spans="1:6" x14ac:dyDescent="0.25">
      <c r="A68" s="1">
        <v>1</v>
      </c>
      <c r="B68" s="2">
        <v>43885</v>
      </c>
      <c r="C68" s="1">
        <v>17</v>
      </c>
      <c r="D68" s="1">
        <v>1</v>
      </c>
      <c r="E68" s="1">
        <v>1</v>
      </c>
      <c r="F68" s="1">
        <v>1</v>
      </c>
    </row>
    <row r="69" spans="1:6" x14ac:dyDescent="0.25">
      <c r="A69" s="1">
        <v>1</v>
      </c>
      <c r="B69" s="2">
        <v>43887</v>
      </c>
      <c r="C69" s="1">
        <v>17</v>
      </c>
      <c r="D69" s="1">
        <v>1</v>
      </c>
      <c r="E69" s="1">
        <v>10</v>
      </c>
      <c r="F69" s="1">
        <v>0.3</v>
      </c>
    </row>
    <row r="70" spans="1:6" x14ac:dyDescent="0.25">
      <c r="A70" s="1">
        <v>1</v>
      </c>
      <c r="B70" s="2">
        <v>43889</v>
      </c>
      <c r="C70" s="1">
        <v>17</v>
      </c>
      <c r="D70" s="1">
        <v>1</v>
      </c>
      <c r="E70" s="1">
        <v>30</v>
      </c>
      <c r="F70" s="1">
        <v>1.2</v>
      </c>
    </row>
    <row r="71" spans="1:6" x14ac:dyDescent="0.25">
      <c r="A71" s="1">
        <v>1</v>
      </c>
      <c r="B71" s="2">
        <v>43889</v>
      </c>
      <c r="C71" s="1">
        <v>18</v>
      </c>
      <c r="D71" s="1">
        <v>2</v>
      </c>
      <c r="E71" s="1">
        <v>1</v>
      </c>
      <c r="F71" s="1">
        <v>1.3</v>
      </c>
    </row>
    <row r="72" spans="1:6" x14ac:dyDescent="0.25">
      <c r="A72" s="1">
        <v>1</v>
      </c>
      <c r="B72" s="2">
        <v>43885</v>
      </c>
      <c r="C72" s="1">
        <v>18</v>
      </c>
      <c r="D72" s="1">
        <v>2</v>
      </c>
      <c r="E72" s="1">
        <v>10</v>
      </c>
      <c r="F72" s="1">
        <v>0.8</v>
      </c>
    </row>
    <row r="73" spans="1:6" x14ac:dyDescent="0.25">
      <c r="A73" s="1">
        <v>1</v>
      </c>
      <c r="B73" s="2">
        <v>43887</v>
      </c>
      <c r="C73" s="1">
        <v>18</v>
      </c>
      <c r="D73" s="1">
        <v>2</v>
      </c>
      <c r="E73" s="1">
        <v>30</v>
      </c>
      <c r="F73" s="1">
        <v>5.4</v>
      </c>
    </row>
    <row r="74" spans="1:6" x14ac:dyDescent="0.25">
      <c r="A74" s="1">
        <v>1</v>
      </c>
      <c r="B74" s="2">
        <v>43887</v>
      </c>
      <c r="C74" s="1">
        <v>19</v>
      </c>
      <c r="D74" s="1">
        <v>2</v>
      </c>
      <c r="E74" s="1">
        <v>1</v>
      </c>
      <c r="F74" s="1">
        <v>0.6</v>
      </c>
    </row>
    <row r="75" spans="1:6" x14ac:dyDescent="0.25">
      <c r="A75" s="1">
        <v>1</v>
      </c>
      <c r="B75" s="2">
        <v>43889</v>
      </c>
      <c r="C75" s="1">
        <v>19</v>
      </c>
      <c r="D75" s="1">
        <v>2</v>
      </c>
      <c r="E75" s="1">
        <v>10</v>
      </c>
      <c r="F75" s="1">
        <v>6.2</v>
      </c>
    </row>
    <row r="76" spans="1:6" x14ac:dyDescent="0.25">
      <c r="A76" s="1">
        <v>1</v>
      </c>
      <c r="B76" s="2">
        <v>43885</v>
      </c>
      <c r="C76" s="1">
        <v>19</v>
      </c>
      <c r="D76" s="1">
        <v>2</v>
      </c>
      <c r="E76" s="1">
        <v>30</v>
      </c>
      <c r="F76" s="1">
        <v>3.6</v>
      </c>
    </row>
    <row r="77" spans="1:6" x14ac:dyDescent="0.25">
      <c r="A77" s="1">
        <v>1</v>
      </c>
      <c r="B77" s="2">
        <v>43885</v>
      </c>
      <c r="C77" s="1">
        <v>20</v>
      </c>
      <c r="D77" s="1">
        <v>2</v>
      </c>
      <c r="E77" s="1">
        <v>1</v>
      </c>
      <c r="F77" s="1">
        <v>0.4</v>
      </c>
    </row>
    <row r="78" spans="1:6" x14ac:dyDescent="0.25">
      <c r="A78" s="1">
        <v>1</v>
      </c>
      <c r="B78" s="2">
        <v>43887</v>
      </c>
      <c r="C78" s="1">
        <v>20</v>
      </c>
      <c r="D78" s="1">
        <v>2</v>
      </c>
      <c r="E78" s="1">
        <v>10</v>
      </c>
      <c r="F78" s="1">
        <v>2.2000000000000002</v>
      </c>
    </row>
    <row r="79" spans="1:6" x14ac:dyDescent="0.25">
      <c r="A79" s="1">
        <v>1</v>
      </c>
      <c r="B79" s="2">
        <v>43889</v>
      </c>
      <c r="C79" s="1">
        <v>20</v>
      </c>
      <c r="D79" s="1">
        <v>2</v>
      </c>
      <c r="E79" s="1">
        <v>30</v>
      </c>
      <c r="F79" s="1">
        <v>6</v>
      </c>
    </row>
    <row r="80" spans="1:6" x14ac:dyDescent="0.25">
      <c r="A80" s="1">
        <v>2</v>
      </c>
      <c r="B80" s="2">
        <v>43892</v>
      </c>
      <c r="C80" s="1">
        <v>13</v>
      </c>
      <c r="D80" s="1">
        <v>1</v>
      </c>
      <c r="E80" s="1">
        <v>1</v>
      </c>
      <c r="F80" s="1">
        <v>1.4</v>
      </c>
    </row>
    <row r="81" spans="1:6" x14ac:dyDescent="0.25">
      <c r="A81" s="1">
        <v>2</v>
      </c>
      <c r="B81" s="2">
        <v>43894</v>
      </c>
      <c r="C81" s="1">
        <v>13</v>
      </c>
      <c r="D81" s="1">
        <v>1</v>
      </c>
      <c r="E81" s="1">
        <v>10</v>
      </c>
      <c r="F81" s="1">
        <v>3.6</v>
      </c>
    </row>
    <row r="82" spans="1:6" x14ac:dyDescent="0.25">
      <c r="A82" s="1">
        <v>2</v>
      </c>
      <c r="B82" s="2">
        <v>43896</v>
      </c>
      <c r="C82" s="1">
        <v>13</v>
      </c>
      <c r="D82" s="1">
        <v>1</v>
      </c>
      <c r="E82" s="1">
        <v>30</v>
      </c>
      <c r="F82" s="1">
        <v>3.2</v>
      </c>
    </row>
    <row r="83" spans="1:6" x14ac:dyDescent="0.25">
      <c r="A83" s="1">
        <v>2</v>
      </c>
      <c r="B83" s="2">
        <v>43896</v>
      </c>
      <c r="C83" s="1">
        <v>14</v>
      </c>
      <c r="D83" s="1">
        <v>2</v>
      </c>
      <c r="E83" s="1">
        <v>1</v>
      </c>
      <c r="F83" s="1">
        <v>2.6</v>
      </c>
    </row>
    <row r="84" spans="1:6" x14ac:dyDescent="0.25">
      <c r="A84" s="1">
        <v>2</v>
      </c>
      <c r="B84" s="2">
        <v>43892</v>
      </c>
      <c r="C84" s="1">
        <v>14</v>
      </c>
      <c r="D84" s="1">
        <v>2</v>
      </c>
      <c r="E84" s="1">
        <v>10</v>
      </c>
      <c r="F84" s="1">
        <v>1.6</v>
      </c>
    </row>
    <row r="85" spans="1:6" x14ac:dyDescent="0.25">
      <c r="A85" s="1">
        <v>2</v>
      </c>
      <c r="B85" s="2">
        <v>43894</v>
      </c>
      <c r="C85" s="1">
        <v>14</v>
      </c>
      <c r="D85" s="1">
        <v>2</v>
      </c>
      <c r="E85" s="1">
        <v>30</v>
      </c>
      <c r="F85" s="1">
        <v>4.2</v>
      </c>
    </row>
    <row r="86" spans="1:6" x14ac:dyDescent="0.25">
      <c r="A86" s="1">
        <v>2</v>
      </c>
      <c r="B86" s="2">
        <v>43894</v>
      </c>
      <c r="C86" s="1">
        <v>15</v>
      </c>
      <c r="D86" s="1">
        <v>1</v>
      </c>
      <c r="E86" s="1">
        <v>1</v>
      </c>
      <c r="F86" s="1">
        <v>3.6</v>
      </c>
    </row>
    <row r="87" spans="1:6" x14ac:dyDescent="0.25">
      <c r="A87" s="1">
        <v>2</v>
      </c>
      <c r="B87" s="2">
        <v>43896</v>
      </c>
      <c r="C87" s="1">
        <v>15</v>
      </c>
      <c r="D87" s="1">
        <v>1</v>
      </c>
      <c r="E87" s="1">
        <v>10</v>
      </c>
      <c r="F87" s="1">
        <v>3</v>
      </c>
    </row>
    <row r="88" spans="1:6" x14ac:dyDescent="0.25">
      <c r="A88" s="1">
        <v>2</v>
      </c>
      <c r="B88" s="2">
        <v>43892</v>
      </c>
      <c r="C88" s="1">
        <v>15</v>
      </c>
      <c r="D88" s="1">
        <v>1</v>
      </c>
      <c r="E88" s="1">
        <v>30</v>
      </c>
      <c r="F88" s="1">
        <v>3.6</v>
      </c>
    </row>
    <row r="89" spans="1:6" x14ac:dyDescent="0.25">
      <c r="A89" s="3">
        <v>2</v>
      </c>
      <c r="B89" s="4">
        <v>43892</v>
      </c>
      <c r="C89" s="3">
        <v>16</v>
      </c>
      <c r="D89" s="3">
        <v>2</v>
      </c>
      <c r="E89" s="3">
        <v>1</v>
      </c>
      <c r="F89" s="3">
        <v>0.2</v>
      </c>
    </row>
    <row r="90" spans="1:6" x14ac:dyDescent="0.25">
      <c r="A90" s="3">
        <v>2</v>
      </c>
      <c r="B90" s="4">
        <v>43894</v>
      </c>
      <c r="C90" s="3">
        <v>16</v>
      </c>
      <c r="D90" s="3">
        <v>2</v>
      </c>
      <c r="E90" s="3">
        <v>10</v>
      </c>
      <c r="F90" s="3">
        <v>0.6</v>
      </c>
    </row>
    <row r="91" spans="1:6" x14ac:dyDescent="0.25">
      <c r="A91" s="3">
        <v>2</v>
      </c>
      <c r="B91" s="4">
        <v>43896</v>
      </c>
      <c r="C91" s="3">
        <v>16</v>
      </c>
      <c r="D91" s="3">
        <v>2</v>
      </c>
      <c r="E91" s="3">
        <v>30</v>
      </c>
      <c r="F91" s="3">
        <v>0.01</v>
      </c>
    </row>
    <row r="92" spans="1:6" x14ac:dyDescent="0.25">
      <c r="A92" s="1">
        <v>2</v>
      </c>
      <c r="B92" s="2">
        <v>43896</v>
      </c>
      <c r="C92" s="1">
        <v>17</v>
      </c>
      <c r="D92" s="1">
        <v>1</v>
      </c>
      <c r="E92" s="1">
        <v>1</v>
      </c>
      <c r="F92" s="1">
        <v>4.5999999999999996</v>
      </c>
    </row>
    <row r="93" spans="1:6" x14ac:dyDescent="0.25">
      <c r="A93" s="1">
        <v>2</v>
      </c>
      <c r="B93" s="2">
        <v>43892</v>
      </c>
      <c r="C93" s="1">
        <v>17</v>
      </c>
      <c r="D93" s="1">
        <v>1</v>
      </c>
      <c r="E93" s="1">
        <v>10</v>
      </c>
      <c r="F93" s="1">
        <v>1.2</v>
      </c>
    </row>
    <row r="94" spans="1:6" x14ac:dyDescent="0.25">
      <c r="A94" s="1">
        <v>2</v>
      </c>
      <c r="B94" s="2">
        <v>43894</v>
      </c>
      <c r="C94" s="1">
        <v>17</v>
      </c>
      <c r="D94" s="1">
        <v>1</v>
      </c>
      <c r="E94" s="1">
        <v>30</v>
      </c>
      <c r="F94" s="1">
        <v>2.4</v>
      </c>
    </row>
    <row r="95" spans="1:6" x14ac:dyDescent="0.25">
      <c r="A95" s="1">
        <v>2</v>
      </c>
      <c r="B95" s="2">
        <v>43894</v>
      </c>
      <c r="C95" s="1">
        <v>18</v>
      </c>
      <c r="D95" s="1">
        <v>2</v>
      </c>
      <c r="E95" s="1">
        <v>1</v>
      </c>
      <c r="F95" s="1">
        <v>2</v>
      </c>
    </row>
    <row r="96" spans="1:6" x14ac:dyDescent="0.25">
      <c r="A96" s="1">
        <v>2</v>
      </c>
      <c r="B96" s="2">
        <v>43896</v>
      </c>
      <c r="C96" s="1">
        <v>18</v>
      </c>
      <c r="D96" s="1">
        <v>2</v>
      </c>
      <c r="E96" s="1">
        <v>10</v>
      </c>
      <c r="F96" s="1">
        <v>4.2</v>
      </c>
    </row>
    <row r="97" spans="1:6" x14ac:dyDescent="0.25">
      <c r="A97" s="1">
        <v>2</v>
      </c>
      <c r="B97" s="2">
        <v>43892</v>
      </c>
      <c r="C97" s="1">
        <v>18</v>
      </c>
      <c r="D97" s="1">
        <v>2</v>
      </c>
      <c r="E97" s="1">
        <v>30</v>
      </c>
      <c r="F97" s="1">
        <v>2.6</v>
      </c>
    </row>
    <row r="98" spans="1:6" x14ac:dyDescent="0.25">
      <c r="A98" s="1">
        <v>2</v>
      </c>
      <c r="B98" s="2">
        <v>43892</v>
      </c>
      <c r="C98" s="1">
        <v>19</v>
      </c>
      <c r="D98" s="1">
        <v>2</v>
      </c>
      <c r="E98" s="1">
        <v>1</v>
      </c>
      <c r="F98" s="1">
        <v>1</v>
      </c>
    </row>
    <row r="99" spans="1:6" x14ac:dyDescent="0.25">
      <c r="A99" s="1">
        <v>2</v>
      </c>
      <c r="B99" s="2">
        <v>43894</v>
      </c>
      <c r="C99" s="1">
        <v>19</v>
      </c>
      <c r="D99" s="1">
        <v>2</v>
      </c>
      <c r="E99" s="1">
        <v>10</v>
      </c>
      <c r="F99" s="1">
        <v>2.4</v>
      </c>
    </row>
    <row r="100" spans="1:6" x14ac:dyDescent="0.25">
      <c r="A100" s="1">
        <v>2</v>
      </c>
      <c r="B100" s="2">
        <v>43896</v>
      </c>
      <c r="C100" s="1">
        <v>19</v>
      </c>
      <c r="D100" s="1">
        <v>2</v>
      </c>
      <c r="E100" s="1">
        <v>30</v>
      </c>
      <c r="F100" s="1">
        <v>2</v>
      </c>
    </row>
    <row r="101" spans="1:6" x14ac:dyDescent="0.25">
      <c r="A101" s="1">
        <v>2</v>
      </c>
      <c r="B101" s="2">
        <v>43896</v>
      </c>
      <c r="C101" s="1">
        <v>20</v>
      </c>
      <c r="D101" s="1">
        <v>2</v>
      </c>
      <c r="E101" s="1">
        <v>1</v>
      </c>
      <c r="F101" s="1">
        <v>2</v>
      </c>
    </row>
    <row r="102" spans="1:6" x14ac:dyDescent="0.25">
      <c r="A102" s="1">
        <v>2</v>
      </c>
      <c r="B102" s="2">
        <v>43892</v>
      </c>
      <c r="C102" s="1">
        <v>20</v>
      </c>
      <c r="D102" s="1">
        <v>2</v>
      </c>
      <c r="E102" s="1">
        <v>10</v>
      </c>
      <c r="F102" s="1">
        <v>4.2</v>
      </c>
    </row>
    <row r="103" spans="1:6" x14ac:dyDescent="0.25">
      <c r="A103" s="1">
        <v>2</v>
      </c>
      <c r="B103" s="2">
        <v>43894</v>
      </c>
      <c r="C103" s="1">
        <v>20</v>
      </c>
      <c r="D103" s="1">
        <v>2</v>
      </c>
      <c r="E103" s="1">
        <v>30</v>
      </c>
      <c r="F103" s="1">
        <v>1.8</v>
      </c>
    </row>
    <row r="104" spans="1:6" x14ac:dyDescent="0.25">
      <c r="A104" s="1">
        <v>1</v>
      </c>
      <c r="B104" s="2">
        <v>43955</v>
      </c>
      <c r="C104" s="1">
        <v>21</v>
      </c>
      <c r="D104" s="1">
        <v>2</v>
      </c>
      <c r="E104" s="1">
        <v>1</v>
      </c>
      <c r="F104" s="1">
        <v>0.4</v>
      </c>
    </row>
    <row r="105" spans="1:6" x14ac:dyDescent="0.25">
      <c r="A105" s="1">
        <v>1</v>
      </c>
      <c r="B105" s="2">
        <v>43957</v>
      </c>
      <c r="C105" s="1">
        <v>21</v>
      </c>
      <c r="D105" s="1">
        <v>2</v>
      </c>
      <c r="E105" s="1">
        <v>10</v>
      </c>
      <c r="F105" s="1">
        <v>2</v>
      </c>
    </row>
    <row r="106" spans="1:6" x14ac:dyDescent="0.25">
      <c r="A106" s="1">
        <v>1</v>
      </c>
      <c r="B106" s="2">
        <v>43969</v>
      </c>
      <c r="C106" s="1">
        <v>21</v>
      </c>
      <c r="D106" s="1">
        <v>2</v>
      </c>
      <c r="E106" s="1">
        <v>30</v>
      </c>
      <c r="F106" s="1">
        <v>3.2</v>
      </c>
    </row>
    <row r="107" spans="1:6" x14ac:dyDescent="0.25">
      <c r="A107" s="1">
        <v>1</v>
      </c>
      <c r="B107" s="2">
        <v>43959</v>
      </c>
      <c r="C107" s="1">
        <v>22</v>
      </c>
      <c r="D107" s="1">
        <v>1</v>
      </c>
      <c r="E107" s="1">
        <v>1</v>
      </c>
      <c r="F107" s="1">
        <v>0.8</v>
      </c>
    </row>
    <row r="108" spans="1:6" x14ac:dyDescent="0.25">
      <c r="A108" s="1">
        <v>1</v>
      </c>
      <c r="B108" s="2">
        <v>43955</v>
      </c>
      <c r="C108" s="1">
        <v>22</v>
      </c>
      <c r="D108" s="1">
        <v>1</v>
      </c>
      <c r="E108" s="1">
        <v>10</v>
      </c>
      <c r="F108" s="1">
        <v>2</v>
      </c>
    </row>
    <row r="109" spans="1:6" x14ac:dyDescent="0.25">
      <c r="A109" s="1">
        <v>1</v>
      </c>
      <c r="B109" s="2">
        <v>43957</v>
      </c>
      <c r="C109" s="1">
        <v>22</v>
      </c>
      <c r="D109" s="1">
        <v>1</v>
      </c>
      <c r="E109" s="1">
        <v>30</v>
      </c>
      <c r="F109" s="1">
        <v>2.2000000000000002</v>
      </c>
    </row>
    <row r="110" spans="1:6" x14ac:dyDescent="0.25">
      <c r="A110" s="1">
        <v>1</v>
      </c>
      <c r="B110" s="2">
        <v>43957</v>
      </c>
      <c r="C110" s="1">
        <v>23</v>
      </c>
      <c r="D110" s="1">
        <v>2</v>
      </c>
      <c r="E110" s="1">
        <v>1</v>
      </c>
      <c r="F110" s="1">
        <v>0.01</v>
      </c>
    </row>
    <row r="111" spans="1:6" x14ac:dyDescent="0.25">
      <c r="A111" s="1">
        <v>1</v>
      </c>
      <c r="B111" s="2">
        <v>43959</v>
      </c>
      <c r="C111" s="1">
        <v>23</v>
      </c>
      <c r="D111" s="1">
        <v>2</v>
      </c>
      <c r="E111" s="1">
        <v>10</v>
      </c>
      <c r="F111" s="1">
        <v>1.4</v>
      </c>
    </row>
    <row r="112" spans="1:6" x14ac:dyDescent="0.25">
      <c r="A112" s="1">
        <v>1</v>
      </c>
      <c r="B112" s="2">
        <v>43969</v>
      </c>
      <c r="C112" s="1">
        <v>23</v>
      </c>
      <c r="D112" s="1">
        <v>2</v>
      </c>
      <c r="E112" s="1">
        <v>30</v>
      </c>
      <c r="F112" s="1">
        <v>4</v>
      </c>
    </row>
    <row r="113" spans="1:6" x14ac:dyDescent="0.25">
      <c r="A113" s="1">
        <v>1</v>
      </c>
      <c r="B113" s="2">
        <v>43955</v>
      </c>
      <c r="C113" s="1">
        <v>24</v>
      </c>
      <c r="D113" s="1">
        <v>1</v>
      </c>
      <c r="E113" s="1">
        <v>1</v>
      </c>
      <c r="F113" s="1">
        <v>0.4</v>
      </c>
    </row>
    <row r="114" spans="1:6" x14ac:dyDescent="0.25">
      <c r="A114" s="1">
        <v>1</v>
      </c>
      <c r="B114" s="2">
        <v>43957</v>
      </c>
      <c r="C114" s="1">
        <v>24</v>
      </c>
      <c r="D114" s="1">
        <v>1</v>
      </c>
      <c r="E114" s="1">
        <v>10</v>
      </c>
      <c r="F114" s="1">
        <v>1.8</v>
      </c>
    </row>
    <row r="115" spans="1:6" x14ac:dyDescent="0.25">
      <c r="A115" s="1">
        <v>1</v>
      </c>
      <c r="B115" s="2">
        <v>43959</v>
      </c>
      <c r="C115" s="1">
        <v>24</v>
      </c>
      <c r="D115" s="1">
        <v>1</v>
      </c>
      <c r="E115" s="1">
        <v>30</v>
      </c>
      <c r="F115" s="1">
        <v>2.4</v>
      </c>
    </row>
    <row r="116" spans="1:6" x14ac:dyDescent="0.25">
      <c r="A116" s="1">
        <v>1</v>
      </c>
      <c r="B116" s="2">
        <v>43959</v>
      </c>
      <c r="C116" s="1">
        <v>25</v>
      </c>
      <c r="D116" s="1">
        <v>1</v>
      </c>
      <c r="E116" s="1">
        <v>1</v>
      </c>
      <c r="F116" s="1">
        <v>0.4</v>
      </c>
    </row>
    <row r="117" spans="1:6" x14ac:dyDescent="0.25">
      <c r="A117" s="1">
        <v>1</v>
      </c>
      <c r="B117" s="2">
        <v>43955</v>
      </c>
      <c r="C117" s="1">
        <v>25</v>
      </c>
      <c r="D117" s="1">
        <v>1</v>
      </c>
      <c r="E117" s="1">
        <v>10</v>
      </c>
      <c r="F117" s="1">
        <v>2</v>
      </c>
    </row>
    <row r="118" spans="1:6" x14ac:dyDescent="0.25">
      <c r="A118" s="1">
        <v>1</v>
      </c>
      <c r="B118" s="2">
        <v>43957</v>
      </c>
      <c r="C118" s="1">
        <v>25</v>
      </c>
      <c r="D118" s="1">
        <v>1</v>
      </c>
      <c r="E118" s="1">
        <v>30</v>
      </c>
      <c r="F118" s="1">
        <v>2.5</v>
      </c>
    </row>
    <row r="119" spans="1:6" x14ac:dyDescent="0.25">
      <c r="A119" s="1">
        <v>1</v>
      </c>
      <c r="B119" s="2">
        <v>43957</v>
      </c>
      <c r="C119" s="1">
        <v>26</v>
      </c>
      <c r="D119" s="1">
        <v>2</v>
      </c>
      <c r="E119" s="1">
        <v>1</v>
      </c>
      <c r="F119" s="1">
        <v>0.6</v>
      </c>
    </row>
    <row r="120" spans="1:6" x14ac:dyDescent="0.25">
      <c r="A120" s="1">
        <v>1</v>
      </c>
      <c r="B120" s="2">
        <v>43959</v>
      </c>
      <c r="C120" s="1">
        <v>26</v>
      </c>
      <c r="D120" s="1">
        <v>2</v>
      </c>
      <c r="E120" s="1">
        <v>10</v>
      </c>
      <c r="F120" s="1">
        <v>1.6</v>
      </c>
    </row>
    <row r="121" spans="1:6" x14ac:dyDescent="0.25">
      <c r="A121" s="1">
        <v>1</v>
      </c>
      <c r="B121" s="2">
        <v>43955</v>
      </c>
      <c r="C121" s="1">
        <v>26</v>
      </c>
      <c r="D121" s="1">
        <v>2</v>
      </c>
      <c r="E121" s="1">
        <v>30</v>
      </c>
      <c r="F121" s="1">
        <v>2.6</v>
      </c>
    </row>
    <row r="122" spans="1:6" x14ac:dyDescent="0.25">
      <c r="A122" s="1">
        <v>2</v>
      </c>
      <c r="B122" s="2">
        <v>43966</v>
      </c>
      <c r="C122" s="1">
        <v>21</v>
      </c>
      <c r="D122" s="1">
        <v>2</v>
      </c>
      <c r="E122" s="1">
        <v>1</v>
      </c>
      <c r="F122" s="1">
        <v>2.6</v>
      </c>
    </row>
    <row r="123" spans="1:6" x14ac:dyDescent="0.25">
      <c r="A123" s="1">
        <v>2</v>
      </c>
      <c r="B123" s="2">
        <v>43971</v>
      </c>
      <c r="C123" s="1">
        <v>21</v>
      </c>
      <c r="D123" s="1">
        <v>2</v>
      </c>
      <c r="E123" s="1">
        <v>10</v>
      </c>
      <c r="F123" s="1">
        <v>2.8</v>
      </c>
    </row>
    <row r="124" spans="1:6" x14ac:dyDescent="0.25">
      <c r="A124" s="1">
        <v>2</v>
      </c>
      <c r="B124" s="2">
        <v>43968</v>
      </c>
      <c r="C124" s="1">
        <v>21</v>
      </c>
      <c r="D124" s="1">
        <v>2</v>
      </c>
      <c r="E124" s="1">
        <v>30</v>
      </c>
      <c r="F124" s="1">
        <v>3</v>
      </c>
    </row>
    <row r="125" spans="1:6" x14ac:dyDescent="0.25">
      <c r="A125" s="1">
        <v>2</v>
      </c>
      <c r="B125" s="2">
        <v>43968</v>
      </c>
      <c r="C125" s="1">
        <v>22</v>
      </c>
      <c r="D125" s="1">
        <v>1</v>
      </c>
      <c r="E125" s="1">
        <v>1</v>
      </c>
      <c r="F125" s="1">
        <v>2.8</v>
      </c>
    </row>
    <row r="126" spans="1:6" x14ac:dyDescent="0.25">
      <c r="A126" s="1">
        <v>2</v>
      </c>
      <c r="B126" s="2">
        <v>43966</v>
      </c>
      <c r="C126" s="1">
        <v>22</v>
      </c>
      <c r="D126" s="1">
        <v>1</v>
      </c>
      <c r="E126" s="1">
        <v>10</v>
      </c>
      <c r="F126" s="1">
        <v>2</v>
      </c>
    </row>
    <row r="127" spans="1:6" x14ac:dyDescent="0.25">
      <c r="A127" s="1">
        <v>2</v>
      </c>
      <c r="B127" s="2">
        <v>43962</v>
      </c>
      <c r="C127" s="1">
        <v>22</v>
      </c>
      <c r="D127" s="1">
        <v>1</v>
      </c>
      <c r="E127" s="1">
        <v>30</v>
      </c>
      <c r="F127" s="1">
        <v>2</v>
      </c>
    </row>
    <row r="128" spans="1:6" x14ac:dyDescent="0.25">
      <c r="A128" s="1">
        <v>2</v>
      </c>
      <c r="B128" s="2">
        <v>43962</v>
      </c>
      <c r="C128" s="1">
        <v>23</v>
      </c>
      <c r="D128" s="1">
        <v>2</v>
      </c>
      <c r="E128" s="1">
        <v>1</v>
      </c>
      <c r="F128" s="1">
        <v>0.8</v>
      </c>
    </row>
    <row r="129" spans="1:6" x14ac:dyDescent="0.25">
      <c r="A129" s="1">
        <v>2</v>
      </c>
      <c r="B129" s="2">
        <v>43968</v>
      </c>
      <c r="C129" s="1">
        <v>23</v>
      </c>
      <c r="D129" s="1">
        <v>2</v>
      </c>
      <c r="E129" s="1">
        <v>10</v>
      </c>
      <c r="F129" s="1">
        <v>2.2000000000000002</v>
      </c>
    </row>
    <row r="130" spans="1:6" x14ac:dyDescent="0.25">
      <c r="A130" s="1">
        <v>2</v>
      </c>
      <c r="B130" s="2">
        <v>43966</v>
      </c>
      <c r="C130" s="1">
        <v>23</v>
      </c>
      <c r="D130" s="1">
        <v>2</v>
      </c>
      <c r="E130" s="1">
        <v>30</v>
      </c>
      <c r="F130" s="1">
        <v>3.4</v>
      </c>
    </row>
    <row r="131" spans="1:6" x14ac:dyDescent="0.25">
      <c r="A131" s="1">
        <v>2</v>
      </c>
      <c r="B131" s="2">
        <v>43966</v>
      </c>
      <c r="C131" s="1">
        <v>24</v>
      </c>
      <c r="D131" s="1">
        <v>1</v>
      </c>
      <c r="E131" s="1">
        <v>1</v>
      </c>
      <c r="F131" s="1">
        <v>3</v>
      </c>
    </row>
    <row r="132" spans="1:6" x14ac:dyDescent="0.25">
      <c r="A132" s="1">
        <v>2</v>
      </c>
      <c r="B132" s="2">
        <v>43962</v>
      </c>
      <c r="C132" s="1">
        <v>24</v>
      </c>
      <c r="D132" s="1">
        <v>1</v>
      </c>
      <c r="E132" s="1">
        <v>10</v>
      </c>
      <c r="F132" s="1">
        <v>1.4</v>
      </c>
    </row>
    <row r="133" spans="1:6" x14ac:dyDescent="0.25">
      <c r="A133" s="1">
        <v>2</v>
      </c>
      <c r="B133" s="2">
        <v>43968</v>
      </c>
      <c r="C133" s="1">
        <v>24</v>
      </c>
      <c r="D133" s="1">
        <v>1</v>
      </c>
      <c r="E133" s="1">
        <v>30</v>
      </c>
      <c r="F133" s="1">
        <v>4.5999999999999996</v>
      </c>
    </row>
    <row r="134" spans="1:6" x14ac:dyDescent="0.25">
      <c r="A134" s="1">
        <v>2</v>
      </c>
      <c r="B134" s="2">
        <v>43968</v>
      </c>
      <c r="C134" s="1">
        <v>25</v>
      </c>
      <c r="D134" s="1">
        <v>1</v>
      </c>
      <c r="E134" s="1">
        <v>1</v>
      </c>
      <c r="F134" s="1">
        <v>3</v>
      </c>
    </row>
    <row r="135" spans="1:6" x14ac:dyDescent="0.25">
      <c r="A135" s="1">
        <v>2</v>
      </c>
      <c r="B135" s="2">
        <v>43966</v>
      </c>
      <c r="C135" s="1">
        <v>25</v>
      </c>
      <c r="D135" s="1">
        <v>1</v>
      </c>
      <c r="E135" s="1">
        <v>10</v>
      </c>
      <c r="F135" s="1">
        <v>4.5999999999999996</v>
      </c>
    </row>
    <row r="136" spans="1:6" x14ac:dyDescent="0.25">
      <c r="A136" s="1">
        <v>2</v>
      </c>
      <c r="B136" s="2">
        <v>43969</v>
      </c>
      <c r="C136" s="1">
        <v>25</v>
      </c>
      <c r="D136" s="1">
        <v>1</v>
      </c>
      <c r="E136" s="1">
        <v>30</v>
      </c>
      <c r="F136" s="1">
        <v>4</v>
      </c>
    </row>
    <row r="137" spans="1:6" x14ac:dyDescent="0.25">
      <c r="A137" s="1">
        <v>2</v>
      </c>
      <c r="B137" s="2">
        <v>43962</v>
      </c>
      <c r="C137" s="1">
        <v>26</v>
      </c>
      <c r="D137" s="1">
        <v>2</v>
      </c>
      <c r="E137" s="1">
        <v>1</v>
      </c>
      <c r="F137" s="1">
        <v>0.2</v>
      </c>
    </row>
    <row r="138" spans="1:6" x14ac:dyDescent="0.25">
      <c r="A138" s="1">
        <v>2</v>
      </c>
      <c r="B138" s="2">
        <v>43968</v>
      </c>
      <c r="C138" s="1">
        <v>26</v>
      </c>
      <c r="D138" s="1">
        <v>2</v>
      </c>
      <c r="E138" s="1">
        <v>10</v>
      </c>
      <c r="F138" s="1">
        <v>2.6</v>
      </c>
    </row>
    <row r="139" spans="1:6" x14ac:dyDescent="0.25">
      <c r="A139" s="1">
        <v>2</v>
      </c>
      <c r="B139" s="2">
        <v>43966</v>
      </c>
      <c r="C139" s="1">
        <v>26</v>
      </c>
      <c r="D139" s="1">
        <v>2</v>
      </c>
      <c r="E139" s="1">
        <v>30</v>
      </c>
      <c r="F139" s="1">
        <v>3.6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3E2A-903B-492D-B575-5B61FEBC7B90}">
  <dimension ref="A1:E67"/>
  <sheetViews>
    <sheetView topLeftCell="A40" workbookViewId="0">
      <selection activeCell="E65" sqref="E65:E67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17</v>
      </c>
    </row>
    <row r="2" spans="1:5" x14ac:dyDescent="0.25">
      <c r="A2">
        <v>1</v>
      </c>
      <c r="B2">
        <v>2</v>
      </c>
      <c r="C2">
        <v>2</v>
      </c>
      <c r="D2">
        <v>1</v>
      </c>
      <c r="E2">
        <v>0.2</v>
      </c>
    </row>
    <row r="3" spans="1:5" x14ac:dyDescent="0.25">
      <c r="A3">
        <v>1</v>
      </c>
      <c r="B3">
        <v>2</v>
      </c>
      <c r="C3">
        <v>2</v>
      </c>
      <c r="D3">
        <v>10</v>
      </c>
      <c r="E3">
        <v>1</v>
      </c>
    </row>
    <row r="4" spans="1:5" x14ac:dyDescent="0.25">
      <c r="A4">
        <v>1</v>
      </c>
      <c r="B4">
        <v>2</v>
      </c>
      <c r="C4">
        <v>2</v>
      </c>
      <c r="D4">
        <v>30</v>
      </c>
      <c r="E4">
        <v>1.4</v>
      </c>
    </row>
    <row r="5" spans="1:5" x14ac:dyDescent="0.25">
      <c r="A5">
        <v>1</v>
      </c>
      <c r="B5">
        <v>4</v>
      </c>
      <c r="C5">
        <v>2</v>
      </c>
      <c r="D5">
        <v>1</v>
      </c>
      <c r="E5">
        <v>0.2</v>
      </c>
    </row>
    <row r="6" spans="1:5" x14ac:dyDescent="0.25">
      <c r="A6">
        <v>1</v>
      </c>
      <c r="B6">
        <v>4</v>
      </c>
      <c r="C6">
        <v>2</v>
      </c>
      <c r="D6">
        <v>10</v>
      </c>
      <c r="E6">
        <v>1.2</v>
      </c>
    </row>
    <row r="7" spans="1:5" x14ac:dyDescent="0.25">
      <c r="A7">
        <v>1</v>
      </c>
      <c r="B7">
        <v>4</v>
      </c>
      <c r="C7">
        <v>2</v>
      </c>
      <c r="D7">
        <v>30</v>
      </c>
      <c r="E7">
        <v>1.4</v>
      </c>
    </row>
    <row r="8" spans="1:5" x14ac:dyDescent="0.25">
      <c r="A8">
        <v>1</v>
      </c>
      <c r="B8">
        <v>10</v>
      </c>
      <c r="C8">
        <v>2</v>
      </c>
      <c r="D8">
        <v>1</v>
      </c>
      <c r="E8">
        <v>0.2</v>
      </c>
    </row>
    <row r="9" spans="1:5" x14ac:dyDescent="0.25">
      <c r="A9">
        <v>1</v>
      </c>
      <c r="B9">
        <v>10</v>
      </c>
      <c r="C9">
        <v>2</v>
      </c>
      <c r="D9">
        <v>10</v>
      </c>
      <c r="E9">
        <v>1.6</v>
      </c>
    </row>
    <row r="10" spans="1:5" x14ac:dyDescent="0.25">
      <c r="A10">
        <v>1</v>
      </c>
      <c r="B10">
        <v>10</v>
      </c>
      <c r="C10">
        <v>2</v>
      </c>
      <c r="D10">
        <v>30</v>
      </c>
      <c r="E10">
        <v>1.1000000000000001</v>
      </c>
    </row>
    <row r="11" spans="1:5" x14ac:dyDescent="0.25">
      <c r="A11">
        <v>1</v>
      </c>
      <c r="B11">
        <v>14</v>
      </c>
      <c r="C11">
        <v>2</v>
      </c>
      <c r="D11">
        <v>1</v>
      </c>
      <c r="E11">
        <v>1</v>
      </c>
    </row>
    <row r="12" spans="1:5" x14ac:dyDescent="0.25">
      <c r="A12">
        <v>1</v>
      </c>
      <c r="B12">
        <v>14</v>
      </c>
      <c r="C12">
        <v>2</v>
      </c>
      <c r="D12">
        <v>10</v>
      </c>
      <c r="E12">
        <v>1.6</v>
      </c>
    </row>
    <row r="13" spans="1:5" x14ac:dyDescent="0.25">
      <c r="A13">
        <v>1</v>
      </c>
      <c r="B13">
        <v>14</v>
      </c>
      <c r="C13">
        <v>2</v>
      </c>
      <c r="D13">
        <v>30</v>
      </c>
      <c r="E13">
        <v>2.2000000000000002</v>
      </c>
    </row>
    <row r="14" spans="1:5" x14ac:dyDescent="0.25">
      <c r="A14">
        <v>1</v>
      </c>
      <c r="B14">
        <v>16</v>
      </c>
      <c r="C14">
        <v>2</v>
      </c>
      <c r="D14">
        <v>1</v>
      </c>
      <c r="E14">
        <v>0.5</v>
      </c>
    </row>
    <row r="15" spans="1:5" x14ac:dyDescent="0.25">
      <c r="A15">
        <v>1</v>
      </c>
      <c r="B15">
        <v>16</v>
      </c>
      <c r="C15">
        <v>2</v>
      </c>
      <c r="D15">
        <v>10</v>
      </c>
      <c r="E15">
        <v>1.4</v>
      </c>
    </row>
    <row r="16" spans="1:5" x14ac:dyDescent="0.25">
      <c r="A16">
        <v>1</v>
      </c>
      <c r="B16">
        <v>16</v>
      </c>
      <c r="C16">
        <v>2</v>
      </c>
      <c r="D16">
        <v>30</v>
      </c>
      <c r="E16">
        <v>1.2</v>
      </c>
    </row>
    <row r="17" spans="1:5" x14ac:dyDescent="0.25">
      <c r="A17">
        <v>1</v>
      </c>
      <c r="B17">
        <v>18</v>
      </c>
      <c r="C17">
        <v>2</v>
      </c>
      <c r="D17">
        <v>1</v>
      </c>
      <c r="E17">
        <v>1.3</v>
      </c>
    </row>
    <row r="18" spans="1:5" x14ac:dyDescent="0.25">
      <c r="A18">
        <v>1</v>
      </c>
      <c r="B18">
        <v>18</v>
      </c>
      <c r="C18">
        <v>2</v>
      </c>
      <c r="D18">
        <v>10</v>
      </c>
      <c r="E18">
        <v>0.8</v>
      </c>
    </row>
    <row r="19" spans="1:5" x14ac:dyDescent="0.25">
      <c r="A19">
        <v>1</v>
      </c>
      <c r="B19">
        <v>18</v>
      </c>
      <c r="C19">
        <v>2</v>
      </c>
      <c r="D19">
        <v>30</v>
      </c>
      <c r="E19">
        <v>5.4</v>
      </c>
    </row>
    <row r="20" spans="1:5" x14ac:dyDescent="0.25">
      <c r="A20">
        <v>1</v>
      </c>
      <c r="B20">
        <v>19</v>
      </c>
      <c r="C20">
        <v>2</v>
      </c>
      <c r="D20">
        <v>1</v>
      </c>
      <c r="E20">
        <v>0.6</v>
      </c>
    </row>
    <row r="21" spans="1:5" x14ac:dyDescent="0.25">
      <c r="A21">
        <v>1</v>
      </c>
      <c r="B21">
        <v>19</v>
      </c>
      <c r="C21">
        <v>2</v>
      </c>
      <c r="D21">
        <v>10</v>
      </c>
      <c r="E21">
        <v>6.2</v>
      </c>
    </row>
    <row r="22" spans="1:5" x14ac:dyDescent="0.25">
      <c r="A22">
        <v>1</v>
      </c>
      <c r="B22">
        <v>19</v>
      </c>
      <c r="C22">
        <v>2</v>
      </c>
      <c r="D22">
        <v>30</v>
      </c>
      <c r="E22">
        <v>3.6</v>
      </c>
    </row>
    <row r="23" spans="1:5" x14ac:dyDescent="0.25">
      <c r="A23">
        <v>1</v>
      </c>
      <c r="B23">
        <v>20</v>
      </c>
      <c r="C23">
        <v>2</v>
      </c>
      <c r="D23">
        <v>1</v>
      </c>
      <c r="E23">
        <v>0.4</v>
      </c>
    </row>
    <row r="24" spans="1:5" x14ac:dyDescent="0.25">
      <c r="A24">
        <v>1</v>
      </c>
      <c r="B24">
        <v>20</v>
      </c>
      <c r="C24">
        <v>2</v>
      </c>
      <c r="D24">
        <v>10</v>
      </c>
      <c r="E24">
        <v>2.2000000000000002</v>
      </c>
    </row>
    <row r="25" spans="1:5" x14ac:dyDescent="0.25">
      <c r="A25">
        <v>1</v>
      </c>
      <c r="B25">
        <v>20</v>
      </c>
      <c r="C25">
        <v>2</v>
      </c>
      <c r="D25">
        <v>30</v>
      </c>
      <c r="E25">
        <v>6</v>
      </c>
    </row>
    <row r="26" spans="1:5" x14ac:dyDescent="0.25">
      <c r="A26">
        <v>1</v>
      </c>
      <c r="B26">
        <v>21</v>
      </c>
      <c r="C26">
        <v>2</v>
      </c>
      <c r="D26">
        <v>1</v>
      </c>
      <c r="E26">
        <v>0.4</v>
      </c>
    </row>
    <row r="27" spans="1:5" x14ac:dyDescent="0.25">
      <c r="A27">
        <v>1</v>
      </c>
      <c r="B27">
        <v>21</v>
      </c>
      <c r="C27">
        <v>2</v>
      </c>
      <c r="D27">
        <v>10</v>
      </c>
      <c r="E27">
        <v>2</v>
      </c>
    </row>
    <row r="28" spans="1:5" x14ac:dyDescent="0.25">
      <c r="A28">
        <v>1</v>
      </c>
      <c r="B28">
        <v>21</v>
      </c>
      <c r="C28">
        <v>2</v>
      </c>
      <c r="D28">
        <v>30</v>
      </c>
      <c r="E28">
        <v>3.2</v>
      </c>
    </row>
    <row r="29" spans="1:5" x14ac:dyDescent="0.25">
      <c r="A29">
        <v>1</v>
      </c>
      <c r="B29">
        <v>23</v>
      </c>
      <c r="C29">
        <v>2</v>
      </c>
      <c r="D29">
        <v>1</v>
      </c>
      <c r="E29">
        <v>0.01</v>
      </c>
    </row>
    <row r="30" spans="1:5" x14ac:dyDescent="0.25">
      <c r="A30">
        <v>1</v>
      </c>
      <c r="B30">
        <v>23</v>
      </c>
      <c r="C30">
        <v>2</v>
      </c>
      <c r="D30">
        <v>10</v>
      </c>
      <c r="E30">
        <v>1.4</v>
      </c>
    </row>
    <row r="31" spans="1:5" x14ac:dyDescent="0.25">
      <c r="A31">
        <v>1</v>
      </c>
      <c r="B31">
        <v>23</v>
      </c>
      <c r="C31">
        <v>2</v>
      </c>
      <c r="D31">
        <v>30</v>
      </c>
      <c r="E31">
        <v>4</v>
      </c>
    </row>
    <row r="32" spans="1:5" x14ac:dyDescent="0.25">
      <c r="A32">
        <v>1</v>
      </c>
      <c r="B32">
        <v>26</v>
      </c>
      <c r="C32">
        <v>2</v>
      </c>
      <c r="D32">
        <v>1</v>
      </c>
      <c r="E32">
        <v>0.6</v>
      </c>
    </row>
    <row r="33" spans="1:5" x14ac:dyDescent="0.25">
      <c r="A33">
        <v>1</v>
      </c>
      <c r="B33">
        <v>26</v>
      </c>
      <c r="C33">
        <v>2</v>
      </c>
      <c r="D33">
        <v>10</v>
      </c>
      <c r="E33">
        <v>1.6</v>
      </c>
    </row>
    <row r="34" spans="1:5" x14ac:dyDescent="0.25">
      <c r="A34">
        <v>1</v>
      </c>
      <c r="B34">
        <v>26</v>
      </c>
      <c r="C34">
        <v>2</v>
      </c>
      <c r="D34">
        <v>30</v>
      </c>
      <c r="E34">
        <v>2.6</v>
      </c>
    </row>
    <row r="35" spans="1:5" x14ac:dyDescent="0.25">
      <c r="A35">
        <v>2</v>
      </c>
      <c r="B35">
        <v>2</v>
      </c>
      <c r="C35">
        <v>2</v>
      </c>
      <c r="D35">
        <v>1</v>
      </c>
      <c r="E35">
        <v>1.6</v>
      </c>
    </row>
    <row r="36" spans="1:5" x14ac:dyDescent="0.25">
      <c r="A36">
        <v>2</v>
      </c>
      <c r="B36">
        <v>2</v>
      </c>
      <c r="C36">
        <v>2</v>
      </c>
      <c r="D36">
        <v>10</v>
      </c>
      <c r="E36">
        <v>0.8</v>
      </c>
    </row>
    <row r="37" spans="1:5" x14ac:dyDescent="0.25">
      <c r="A37">
        <v>2</v>
      </c>
      <c r="B37">
        <v>2</v>
      </c>
      <c r="C37">
        <v>2</v>
      </c>
      <c r="D37">
        <v>30</v>
      </c>
      <c r="E37">
        <v>1</v>
      </c>
    </row>
    <row r="38" spans="1:5" x14ac:dyDescent="0.25">
      <c r="A38">
        <v>2</v>
      </c>
      <c r="B38">
        <v>4</v>
      </c>
      <c r="C38">
        <v>2</v>
      </c>
      <c r="D38">
        <v>1</v>
      </c>
      <c r="E38">
        <v>0.6</v>
      </c>
    </row>
    <row r="39" spans="1:5" x14ac:dyDescent="0.25">
      <c r="A39">
        <v>2</v>
      </c>
      <c r="B39">
        <v>4</v>
      </c>
      <c r="C39">
        <v>2</v>
      </c>
      <c r="D39">
        <v>10</v>
      </c>
      <c r="E39">
        <v>2.2000000000000002</v>
      </c>
    </row>
    <row r="40" spans="1:5" x14ac:dyDescent="0.25">
      <c r="A40">
        <v>2</v>
      </c>
      <c r="B40">
        <v>4</v>
      </c>
      <c r="C40">
        <v>2</v>
      </c>
      <c r="D40">
        <v>30</v>
      </c>
      <c r="E40">
        <v>2.2000000000000002</v>
      </c>
    </row>
    <row r="41" spans="1:5" x14ac:dyDescent="0.25">
      <c r="A41">
        <v>2</v>
      </c>
      <c r="B41">
        <v>10</v>
      </c>
      <c r="C41">
        <v>2</v>
      </c>
      <c r="D41">
        <v>1</v>
      </c>
      <c r="E41">
        <v>0.01</v>
      </c>
    </row>
    <row r="42" spans="1:5" x14ac:dyDescent="0.25">
      <c r="A42">
        <v>2</v>
      </c>
      <c r="B42">
        <v>10</v>
      </c>
      <c r="C42">
        <v>2</v>
      </c>
      <c r="D42">
        <v>10</v>
      </c>
      <c r="E42">
        <v>0.8</v>
      </c>
    </row>
    <row r="43" spans="1:5" x14ac:dyDescent="0.25">
      <c r="A43">
        <v>2</v>
      </c>
      <c r="B43">
        <v>10</v>
      </c>
      <c r="C43">
        <v>2</v>
      </c>
      <c r="D43">
        <v>30</v>
      </c>
      <c r="E43">
        <v>1.2</v>
      </c>
    </row>
    <row r="44" spans="1:5" x14ac:dyDescent="0.25">
      <c r="A44">
        <v>2</v>
      </c>
      <c r="B44">
        <v>14</v>
      </c>
      <c r="C44">
        <v>2</v>
      </c>
      <c r="D44">
        <v>1</v>
      </c>
      <c r="E44">
        <v>2.6</v>
      </c>
    </row>
    <row r="45" spans="1:5" x14ac:dyDescent="0.25">
      <c r="A45">
        <v>2</v>
      </c>
      <c r="B45">
        <v>14</v>
      </c>
      <c r="C45">
        <v>2</v>
      </c>
      <c r="D45">
        <v>10</v>
      </c>
      <c r="E45">
        <v>1.6</v>
      </c>
    </row>
    <row r="46" spans="1:5" x14ac:dyDescent="0.25">
      <c r="A46">
        <v>2</v>
      </c>
      <c r="B46">
        <v>14</v>
      </c>
      <c r="C46">
        <v>2</v>
      </c>
      <c r="D46">
        <v>30</v>
      </c>
      <c r="E46">
        <v>4.2</v>
      </c>
    </row>
    <row r="47" spans="1:5" x14ac:dyDescent="0.25">
      <c r="A47">
        <v>2</v>
      </c>
      <c r="B47">
        <v>16</v>
      </c>
      <c r="C47">
        <v>2</v>
      </c>
      <c r="D47">
        <v>1</v>
      </c>
      <c r="E47">
        <v>0.2</v>
      </c>
    </row>
    <row r="48" spans="1:5" x14ac:dyDescent="0.25">
      <c r="A48">
        <v>2</v>
      </c>
      <c r="B48">
        <v>16</v>
      </c>
      <c r="C48">
        <v>2</v>
      </c>
      <c r="D48">
        <v>10</v>
      </c>
      <c r="E48">
        <v>0.6</v>
      </c>
    </row>
    <row r="49" spans="1:5" x14ac:dyDescent="0.25">
      <c r="A49">
        <v>2</v>
      </c>
      <c r="B49">
        <v>16</v>
      </c>
      <c r="C49">
        <v>2</v>
      </c>
      <c r="D49">
        <v>30</v>
      </c>
      <c r="E49">
        <v>0.01</v>
      </c>
    </row>
    <row r="50" spans="1:5" x14ac:dyDescent="0.25">
      <c r="A50">
        <v>2</v>
      </c>
      <c r="B50">
        <v>18</v>
      </c>
      <c r="C50">
        <v>2</v>
      </c>
      <c r="D50">
        <v>1</v>
      </c>
      <c r="E50">
        <v>2</v>
      </c>
    </row>
    <row r="51" spans="1:5" x14ac:dyDescent="0.25">
      <c r="A51">
        <v>2</v>
      </c>
      <c r="B51">
        <v>18</v>
      </c>
      <c r="C51">
        <v>2</v>
      </c>
      <c r="D51">
        <v>10</v>
      </c>
      <c r="E51">
        <v>4.2</v>
      </c>
    </row>
    <row r="52" spans="1:5" x14ac:dyDescent="0.25">
      <c r="A52">
        <v>2</v>
      </c>
      <c r="B52">
        <v>18</v>
      </c>
      <c r="C52">
        <v>2</v>
      </c>
      <c r="D52">
        <v>30</v>
      </c>
      <c r="E52">
        <v>2.6</v>
      </c>
    </row>
    <row r="53" spans="1:5" x14ac:dyDescent="0.25">
      <c r="A53">
        <v>2</v>
      </c>
      <c r="B53">
        <v>19</v>
      </c>
      <c r="C53">
        <v>2</v>
      </c>
      <c r="D53">
        <v>1</v>
      </c>
      <c r="E53">
        <v>1</v>
      </c>
    </row>
    <row r="54" spans="1:5" x14ac:dyDescent="0.25">
      <c r="A54">
        <v>2</v>
      </c>
      <c r="B54">
        <v>19</v>
      </c>
      <c r="C54">
        <v>2</v>
      </c>
      <c r="D54">
        <v>10</v>
      </c>
      <c r="E54">
        <v>2.4</v>
      </c>
    </row>
    <row r="55" spans="1:5" x14ac:dyDescent="0.25">
      <c r="A55">
        <v>2</v>
      </c>
      <c r="B55">
        <v>19</v>
      </c>
      <c r="C55">
        <v>2</v>
      </c>
      <c r="D55">
        <v>30</v>
      </c>
      <c r="E55">
        <v>2</v>
      </c>
    </row>
    <row r="56" spans="1:5" x14ac:dyDescent="0.25">
      <c r="A56">
        <v>2</v>
      </c>
      <c r="B56">
        <v>20</v>
      </c>
      <c r="C56">
        <v>2</v>
      </c>
      <c r="D56">
        <v>1</v>
      </c>
      <c r="E56">
        <v>2</v>
      </c>
    </row>
    <row r="57" spans="1:5" x14ac:dyDescent="0.25">
      <c r="A57">
        <v>2</v>
      </c>
      <c r="B57">
        <v>20</v>
      </c>
      <c r="C57">
        <v>2</v>
      </c>
      <c r="D57">
        <v>10</v>
      </c>
      <c r="E57">
        <v>4.2</v>
      </c>
    </row>
    <row r="58" spans="1:5" x14ac:dyDescent="0.25">
      <c r="A58">
        <v>2</v>
      </c>
      <c r="B58">
        <v>20</v>
      </c>
      <c r="C58">
        <v>2</v>
      </c>
      <c r="D58">
        <v>30</v>
      </c>
      <c r="E58">
        <v>1.8</v>
      </c>
    </row>
    <row r="59" spans="1:5" x14ac:dyDescent="0.25">
      <c r="A59">
        <v>2</v>
      </c>
      <c r="B59">
        <v>21</v>
      </c>
      <c r="C59">
        <v>2</v>
      </c>
      <c r="D59">
        <v>1</v>
      </c>
      <c r="E59">
        <v>2.6</v>
      </c>
    </row>
    <row r="60" spans="1:5" x14ac:dyDescent="0.25">
      <c r="A60">
        <v>2</v>
      </c>
      <c r="B60">
        <v>21</v>
      </c>
      <c r="C60">
        <v>2</v>
      </c>
      <c r="D60">
        <v>10</v>
      </c>
      <c r="E60">
        <v>2.8</v>
      </c>
    </row>
    <row r="61" spans="1:5" x14ac:dyDescent="0.25">
      <c r="A61">
        <v>2</v>
      </c>
      <c r="B61">
        <v>21</v>
      </c>
      <c r="C61">
        <v>2</v>
      </c>
      <c r="D61">
        <v>30</v>
      </c>
      <c r="E61">
        <v>3</v>
      </c>
    </row>
    <row r="62" spans="1:5" x14ac:dyDescent="0.25">
      <c r="A62">
        <v>2</v>
      </c>
      <c r="B62">
        <v>23</v>
      </c>
      <c r="C62">
        <v>2</v>
      </c>
      <c r="D62">
        <v>1</v>
      </c>
      <c r="E62">
        <v>0.8</v>
      </c>
    </row>
    <row r="63" spans="1:5" x14ac:dyDescent="0.25">
      <c r="A63">
        <v>2</v>
      </c>
      <c r="B63">
        <v>23</v>
      </c>
      <c r="C63">
        <v>2</v>
      </c>
      <c r="D63">
        <v>10</v>
      </c>
      <c r="E63">
        <v>2.2000000000000002</v>
      </c>
    </row>
    <row r="64" spans="1:5" x14ac:dyDescent="0.25">
      <c r="A64">
        <v>2</v>
      </c>
      <c r="B64">
        <v>23</v>
      </c>
      <c r="C64">
        <v>2</v>
      </c>
      <c r="D64">
        <v>30</v>
      </c>
      <c r="E64">
        <v>3.4</v>
      </c>
    </row>
    <row r="65" spans="1:5" x14ac:dyDescent="0.25">
      <c r="A65">
        <v>2</v>
      </c>
      <c r="B65">
        <v>26</v>
      </c>
      <c r="C65">
        <v>2</v>
      </c>
      <c r="D65">
        <v>1</v>
      </c>
      <c r="E65">
        <v>0.2</v>
      </c>
    </row>
    <row r="66" spans="1:5" x14ac:dyDescent="0.25">
      <c r="A66">
        <v>2</v>
      </c>
      <c r="B66">
        <v>26</v>
      </c>
      <c r="C66">
        <v>2</v>
      </c>
      <c r="D66">
        <v>10</v>
      </c>
      <c r="E66">
        <v>2.6</v>
      </c>
    </row>
    <row r="67" spans="1:5" x14ac:dyDescent="0.25">
      <c r="A67">
        <v>2</v>
      </c>
      <c r="B67">
        <v>26</v>
      </c>
      <c r="C67">
        <v>2</v>
      </c>
      <c r="D67">
        <v>30</v>
      </c>
      <c r="E67">
        <v>3.6</v>
      </c>
    </row>
  </sheetData>
  <sortState xmlns:xlrd2="http://schemas.microsoft.com/office/spreadsheetml/2017/richdata2" ref="A2:E67">
    <sortCondition ref="A2:A6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8E94-BB13-4BE1-B790-33EDBB7563D8}">
  <dimension ref="A1:N12"/>
  <sheetViews>
    <sheetView tabSelected="1" workbookViewId="0">
      <selection activeCell="B2" sqref="B2:G12"/>
    </sheetView>
  </sheetViews>
  <sheetFormatPr defaultRowHeight="15" x14ac:dyDescent="0.25"/>
  <sheetData>
    <row r="1" spans="1:14" x14ac:dyDescent="0.25">
      <c r="A1" s="5" t="s">
        <v>2</v>
      </c>
      <c r="B1" s="5" t="s">
        <v>21</v>
      </c>
      <c r="C1" s="5" t="s">
        <v>22</v>
      </c>
      <c r="D1" s="5" t="s">
        <v>23</v>
      </c>
      <c r="E1" s="5" t="s">
        <v>26</v>
      </c>
      <c r="F1" s="5" t="s">
        <v>27</v>
      </c>
      <c r="G1" s="5" t="s">
        <v>28</v>
      </c>
      <c r="L1" s="5" t="s">
        <v>24</v>
      </c>
      <c r="N1" t="s">
        <v>25</v>
      </c>
    </row>
    <row r="2" spans="1:14" x14ac:dyDescent="0.25">
      <c r="A2" s="5">
        <v>2</v>
      </c>
      <c r="B2">
        <v>1.6</v>
      </c>
      <c r="C2">
        <v>0.8</v>
      </c>
      <c r="D2">
        <v>1</v>
      </c>
      <c r="E2">
        <f>(C2-B2)</f>
        <v>-0.8</v>
      </c>
      <c r="F2">
        <f>(D2-C2)</f>
        <v>0.19999999999999996</v>
      </c>
      <c r="G2">
        <f>(D2-B2)</f>
        <v>-0.60000000000000009</v>
      </c>
    </row>
    <row r="3" spans="1:14" x14ac:dyDescent="0.25">
      <c r="A3" s="5">
        <v>4</v>
      </c>
      <c r="B3">
        <v>0.6</v>
      </c>
      <c r="C3">
        <v>2.2000000000000002</v>
      </c>
      <c r="D3">
        <v>2.2000000000000002</v>
      </c>
      <c r="E3">
        <f t="shared" ref="E3:E12" si="0">(C3-B3)</f>
        <v>1.6</v>
      </c>
      <c r="F3">
        <f t="shared" ref="F3:F12" si="1">(D3-C3)</f>
        <v>0</v>
      </c>
      <c r="G3">
        <f t="shared" ref="G3:G12" si="2">(D3-B3)</f>
        <v>1.6</v>
      </c>
    </row>
    <row r="4" spans="1:14" x14ac:dyDescent="0.25">
      <c r="A4" s="5">
        <v>10</v>
      </c>
      <c r="B4">
        <v>0.01</v>
      </c>
      <c r="C4">
        <v>0.8</v>
      </c>
      <c r="D4">
        <v>1.2</v>
      </c>
      <c r="E4">
        <f t="shared" si="0"/>
        <v>0.79</v>
      </c>
      <c r="F4">
        <f t="shared" si="1"/>
        <v>0.39999999999999991</v>
      </c>
      <c r="G4">
        <f t="shared" si="2"/>
        <v>1.19</v>
      </c>
    </row>
    <row r="5" spans="1:14" x14ac:dyDescent="0.25">
      <c r="A5" s="5">
        <v>14</v>
      </c>
      <c r="B5">
        <v>2.6</v>
      </c>
      <c r="C5">
        <v>1.6</v>
      </c>
      <c r="D5">
        <v>4.2</v>
      </c>
      <c r="E5">
        <f t="shared" si="0"/>
        <v>-1</v>
      </c>
      <c r="F5">
        <f t="shared" si="1"/>
        <v>2.6</v>
      </c>
      <c r="G5">
        <f t="shared" si="2"/>
        <v>1.6</v>
      </c>
    </row>
    <row r="6" spans="1:14" x14ac:dyDescent="0.25">
      <c r="A6" s="5">
        <v>16</v>
      </c>
      <c r="B6">
        <v>0.2</v>
      </c>
      <c r="C6">
        <v>0.6</v>
      </c>
      <c r="D6">
        <v>0.01</v>
      </c>
      <c r="E6">
        <f t="shared" si="0"/>
        <v>0.39999999999999997</v>
      </c>
      <c r="F6">
        <f t="shared" si="1"/>
        <v>-0.59</v>
      </c>
      <c r="G6">
        <f t="shared" si="2"/>
        <v>-0.19</v>
      </c>
    </row>
    <row r="7" spans="1:14" x14ac:dyDescent="0.25">
      <c r="A7" s="5">
        <v>18</v>
      </c>
      <c r="B7">
        <v>2</v>
      </c>
      <c r="C7">
        <v>4.2</v>
      </c>
      <c r="D7">
        <v>2.6</v>
      </c>
      <c r="E7">
        <f t="shared" si="0"/>
        <v>2.2000000000000002</v>
      </c>
      <c r="F7">
        <f t="shared" si="1"/>
        <v>-1.6</v>
      </c>
      <c r="G7">
        <f t="shared" si="2"/>
        <v>0.60000000000000009</v>
      </c>
    </row>
    <row r="8" spans="1:14" x14ac:dyDescent="0.25">
      <c r="A8" s="5">
        <v>19</v>
      </c>
      <c r="B8">
        <v>1</v>
      </c>
      <c r="C8">
        <v>2.4</v>
      </c>
      <c r="D8">
        <v>2</v>
      </c>
      <c r="E8">
        <f t="shared" si="0"/>
        <v>1.4</v>
      </c>
      <c r="F8">
        <f t="shared" si="1"/>
        <v>-0.39999999999999991</v>
      </c>
      <c r="G8">
        <f t="shared" si="2"/>
        <v>1</v>
      </c>
    </row>
    <row r="9" spans="1:14" x14ac:dyDescent="0.25">
      <c r="A9" s="5">
        <v>20</v>
      </c>
      <c r="B9">
        <v>2</v>
      </c>
      <c r="C9">
        <v>4.2</v>
      </c>
      <c r="D9">
        <v>1.8</v>
      </c>
      <c r="E9">
        <f t="shared" si="0"/>
        <v>2.2000000000000002</v>
      </c>
      <c r="F9">
        <f t="shared" si="1"/>
        <v>-2.4000000000000004</v>
      </c>
      <c r="G9">
        <f t="shared" si="2"/>
        <v>-0.19999999999999996</v>
      </c>
    </row>
    <row r="10" spans="1:14" x14ac:dyDescent="0.25">
      <c r="A10" s="5">
        <v>21</v>
      </c>
      <c r="B10">
        <v>2.6</v>
      </c>
      <c r="C10">
        <v>2.8</v>
      </c>
      <c r="D10">
        <v>3</v>
      </c>
      <c r="E10">
        <f t="shared" si="0"/>
        <v>0.19999999999999973</v>
      </c>
      <c r="F10">
        <f t="shared" si="1"/>
        <v>0.20000000000000018</v>
      </c>
      <c r="G10">
        <f t="shared" si="2"/>
        <v>0.39999999999999991</v>
      </c>
    </row>
    <row r="11" spans="1:14" x14ac:dyDescent="0.25">
      <c r="A11" s="5">
        <v>23</v>
      </c>
      <c r="B11">
        <v>0.8</v>
      </c>
      <c r="C11">
        <v>2.2000000000000002</v>
      </c>
      <c r="D11">
        <v>3.4</v>
      </c>
      <c r="E11">
        <f t="shared" si="0"/>
        <v>1.4000000000000001</v>
      </c>
      <c r="F11">
        <f t="shared" si="1"/>
        <v>1.1999999999999997</v>
      </c>
      <c r="G11">
        <f t="shared" si="2"/>
        <v>2.5999999999999996</v>
      </c>
    </row>
    <row r="12" spans="1:14" x14ac:dyDescent="0.25">
      <c r="A12" s="5">
        <v>26</v>
      </c>
      <c r="B12">
        <v>0.2</v>
      </c>
      <c r="C12">
        <v>2.6</v>
      </c>
      <c r="D12">
        <v>3.6</v>
      </c>
      <c r="E12">
        <f t="shared" si="0"/>
        <v>2.4</v>
      </c>
      <c r="F12">
        <f t="shared" si="1"/>
        <v>1</v>
      </c>
      <c r="G12">
        <f t="shared" si="2"/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10 &amp; 30</vt:lpstr>
      <vt:lpstr>10 &amp; 1</vt:lpstr>
      <vt:lpstr>1%</vt:lpstr>
      <vt:lpstr>10%</vt:lpstr>
      <vt:lpstr>30%</vt:lpstr>
      <vt:lpstr>Discrimination Week 1</vt:lpstr>
      <vt:lpstr>Discrimination Week 2</vt:lpstr>
      <vt:lpstr>LIcks by sex by conditions</vt:lpstr>
      <vt:lpstr>IC 1st Trial Week 1</vt:lpstr>
      <vt:lpstr>IC 1st Trial Week 2</vt:lpstr>
      <vt:lpstr>IC 9 trials Week 1</vt:lpstr>
      <vt:lpstr>IC 9 trials Week 2</vt:lpstr>
      <vt:lpstr>IC All Trials Week 1</vt:lpstr>
      <vt:lpstr>IC All Trials Week 2</vt:lpstr>
      <vt:lpstr>IC trials Licks by sex</vt:lpstr>
      <vt:lpstr>Consumption All</vt:lpstr>
      <vt:lpstr>Consumption males  only</vt:lpstr>
      <vt:lpstr>Intake males only rearranged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Kristina Thompson</dc:creator>
  <cp:keywords/>
  <dc:description/>
  <cp:lastModifiedBy>Howard Casey Cromwell</cp:lastModifiedBy>
  <cp:revision/>
  <dcterms:created xsi:type="dcterms:W3CDTF">2020-11-12T04:28:56Z</dcterms:created>
  <dcterms:modified xsi:type="dcterms:W3CDTF">2025-11-03T15:06:31Z</dcterms:modified>
  <cp:category/>
  <cp:contentStatus/>
</cp:coreProperties>
</file>